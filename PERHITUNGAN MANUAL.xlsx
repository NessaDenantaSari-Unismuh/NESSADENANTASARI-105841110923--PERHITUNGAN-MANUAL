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d555e1a0d3a1d7/Documents/"/>
    </mc:Choice>
  </mc:AlternateContent>
  <xr:revisionPtr revIDLastSave="456" documentId="8_{D7E06633-0C1A-48EF-AEB8-F1E0585261B7}" xr6:coauthVersionLast="47" xr6:coauthVersionMax="47" xr10:uidLastSave="{D2E60EA4-C101-41D6-9421-28429DF8258B}"/>
  <bookViews>
    <workbookView xWindow="-110" yWindow="-110" windowWidth="19420" windowHeight="10300" activeTab="3" xr2:uid="{9D9979B9-1314-4A7A-B4F1-DA815EB9310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Print_Area" localSheetId="0">Sheet1!$B$1:$X$517</definedName>
    <definedName name="_xlnm.Print_Area" localSheetId="1">Sheet2!$A$1:$Q$526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6" i="6" l="1"/>
  <c r="E526" i="6"/>
  <c r="F526" i="6"/>
  <c r="G526" i="6"/>
  <c r="H526" i="6"/>
  <c r="I526" i="6"/>
  <c r="J526" i="6"/>
  <c r="K526" i="6"/>
  <c r="L526" i="6"/>
  <c r="C526" i="6"/>
  <c r="D525" i="6"/>
  <c r="E525" i="6"/>
  <c r="F525" i="6"/>
  <c r="G525" i="6"/>
  <c r="H525" i="6"/>
  <c r="I525" i="6"/>
  <c r="J525" i="6"/>
  <c r="K525" i="6"/>
  <c r="L525" i="6"/>
  <c r="C525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Q2" i="6"/>
  <c r="P2" i="6"/>
  <c r="O2" i="6"/>
  <c r="N2" i="6"/>
  <c r="Q2" i="5"/>
  <c r="Q516" i="5" s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D526" i="5"/>
  <c r="E526" i="5"/>
  <c r="F526" i="5"/>
  <c r="G526" i="5"/>
  <c r="H526" i="5"/>
  <c r="I526" i="5"/>
  <c r="J526" i="5"/>
  <c r="K526" i="5"/>
  <c r="L526" i="5"/>
  <c r="C526" i="5"/>
  <c r="D525" i="5"/>
  <c r="E525" i="5"/>
  <c r="F525" i="5"/>
  <c r="G525" i="5"/>
  <c r="H525" i="5"/>
  <c r="I525" i="5"/>
  <c r="J525" i="5"/>
  <c r="K525" i="5"/>
  <c r="L525" i="5"/>
  <c r="P3" i="5"/>
  <c r="P4" i="5"/>
  <c r="P5" i="5"/>
  <c r="P6" i="5"/>
  <c r="P7" i="5"/>
  <c r="P8" i="5"/>
  <c r="P9" i="5"/>
  <c r="P10" i="5"/>
  <c r="C525" i="5" s="1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2" i="5"/>
  <c r="O514" i="4"/>
  <c r="O515" i="4"/>
  <c r="N515" i="4"/>
  <c r="P515" i="4" s="1"/>
  <c r="Q15" i="4"/>
  <c r="Q85" i="4"/>
  <c r="Q93" i="4"/>
  <c r="Q117" i="4"/>
  <c r="Q118" i="4"/>
  <c r="Q143" i="4"/>
  <c r="Q169" i="4"/>
  <c r="Q194" i="4"/>
  <c r="Q221" i="4"/>
  <c r="Q245" i="4"/>
  <c r="Q246" i="4"/>
  <c r="Q270" i="4"/>
  <c r="Q271" i="4"/>
  <c r="Q346" i="4"/>
  <c r="Q374" i="4"/>
  <c r="Q398" i="4"/>
  <c r="Q516" i="3"/>
  <c r="P18" i="4"/>
  <c r="Q18" i="4" s="1"/>
  <c r="P19" i="4"/>
  <c r="Q19" i="4" s="1"/>
  <c r="P26" i="4"/>
  <c r="Q26" i="4" s="1"/>
  <c r="P43" i="4"/>
  <c r="Q43" i="4" s="1"/>
  <c r="P45" i="4"/>
  <c r="Q45" i="4" s="1"/>
  <c r="P51" i="4"/>
  <c r="Q51" i="4" s="1"/>
  <c r="P69" i="4"/>
  <c r="Q69" i="4" s="1"/>
  <c r="P70" i="4"/>
  <c r="Q70" i="4" s="1"/>
  <c r="P77" i="4"/>
  <c r="Q77" i="4" s="1"/>
  <c r="P97" i="4"/>
  <c r="Q97" i="4" s="1"/>
  <c r="P102" i="4"/>
  <c r="Q102" i="4" s="1"/>
  <c r="P117" i="4"/>
  <c r="P121" i="4"/>
  <c r="Q121" i="4" s="1"/>
  <c r="P122" i="4"/>
  <c r="Q122" i="4" s="1"/>
  <c r="P139" i="4"/>
  <c r="Q139" i="4" s="1"/>
  <c r="P141" i="4"/>
  <c r="Q141" i="4" s="1"/>
  <c r="P142" i="4"/>
  <c r="Q142" i="4" s="1"/>
  <c r="P156" i="4"/>
  <c r="Q156" i="4" s="1"/>
  <c r="P157" i="4"/>
  <c r="Q157" i="4" s="1"/>
  <c r="P169" i="4"/>
  <c r="P170" i="4"/>
  <c r="Q170" i="4" s="1"/>
  <c r="P172" i="4"/>
  <c r="Q172" i="4" s="1"/>
  <c r="P181" i="4"/>
  <c r="Q181" i="4" s="1"/>
  <c r="P185" i="4"/>
  <c r="Q185" i="4" s="1"/>
  <c r="P194" i="4"/>
  <c r="P196" i="4"/>
  <c r="Q196" i="4" s="1"/>
  <c r="P197" i="4"/>
  <c r="Q197" i="4" s="1"/>
  <c r="P209" i="4"/>
  <c r="Q209" i="4" s="1"/>
  <c r="P210" i="4"/>
  <c r="Q210" i="4" s="1"/>
  <c r="P220" i="4"/>
  <c r="Q220" i="4" s="1"/>
  <c r="P221" i="4"/>
  <c r="P233" i="4"/>
  <c r="Q233" i="4" s="1"/>
  <c r="P234" i="4"/>
  <c r="Q234" i="4" s="1"/>
  <c r="P236" i="4"/>
  <c r="Q236" i="4" s="1"/>
  <c r="P245" i="4"/>
  <c r="P249" i="4"/>
  <c r="Q249" i="4" s="1"/>
  <c r="P258" i="4"/>
  <c r="Q258" i="4" s="1"/>
  <c r="P260" i="4"/>
  <c r="Q260" i="4" s="1"/>
  <c r="P261" i="4"/>
  <c r="Q261" i="4" s="1"/>
  <c r="P273" i="4"/>
  <c r="Q273" i="4" s="1"/>
  <c r="P274" i="4"/>
  <c r="Q274" i="4" s="1"/>
  <c r="P282" i="4"/>
  <c r="Q282" i="4" s="1"/>
  <c r="P284" i="4"/>
  <c r="Q284" i="4" s="1"/>
  <c r="P285" i="4"/>
  <c r="Q285" i="4" s="1"/>
  <c r="P293" i="4"/>
  <c r="Q293" i="4" s="1"/>
  <c r="P305" i="4"/>
  <c r="Q305" i="4" s="1"/>
  <c r="P306" i="4"/>
  <c r="Q306" i="4" s="1"/>
  <c r="P314" i="4"/>
  <c r="Q314" i="4" s="1"/>
  <c r="P316" i="4"/>
  <c r="Q316" i="4" s="1"/>
  <c r="P317" i="4"/>
  <c r="Q317" i="4" s="1"/>
  <c r="P325" i="4"/>
  <c r="Q325" i="4" s="1"/>
  <c r="P337" i="4"/>
  <c r="Q337" i="4" s="1"/>
  <c r="P338" i="4"/>
  <c r="Q338" i="4" s="1"/>
  <c r="P346" i="4"/>
  <c r="P348" i="4"/>
  <c r="Q348" i="4" s="1"/>
  <c r="P349" i="4"/>
  <c r="Q349" i="4" s="1"/>
  <c r="P357" i="4"/>
  <c r="Q357" i="4" s="1"/>
  <c r="P369" i="4"/>
  <c r="Q369" i="4" s="1"/>
  <c r="P370" i="4"/>
  <c r="Q370" i="4" s="1"/>
  <c r="P378" i="4"/>
  <c r="Q378" i="4" s="1"/>
  <c r="P380" i="4"/>
  <c r="Q380" i="4" s="1"/>
  <c r="P381" i="4"/>
  <c r="Q381" i="4" s="1"/>
  <c r="P389" i="4"/>
  <c r="Q389" i="4" s="1"/>
  <c r="P401" i="4"/>
  <c r="Q401" i="4" s="1"/>
  <c r="P402" i="4"/>
  <c r="Q402" i="4" s="1"/>
  <c r="P409" i="4"/>
  <c r="Q409" i="4" s="1"/>
  <c r="P410" i="4"/>
  <c r="Q410" i="4" s="1"/>
  <c r="P412" i="4"/>
  <c r="Q412" i="4" s="1"/>
  <c r="P418" i="4"/>
  <c r="Q418" i="4" s="1"/>
  <c r="P420" i="4"/>
  <c r="Q420" i="4" s="1"/>
  <c r="P421" i="4"/>
  <c r="Q421" i="4" s="1"/>
  <c r="P428" i="4"/>
  <c r="Q428" i="4" s="1"/>
  <c r="P429" i="4"/>
  <c r="Q429" i="4" s="1"/>
  <c r="P430" i="4"/>
  <c r="Q430" i="4" s="1"/>
  <c r="P437" i="4"/>
  <c r="Q437" i="4" s="1"/>
  <c r="P438" i="4"/>
  <c r="Q438" i="4" s="1"/>
  <c r="P439" i="4"/>
  <c r="Q439" i="4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2" i="4"/>
  <c r="N3" i="4"/>
  <c r="P3" i="4" s="1"/>
  <c r="Q3" i="4" s="1"/>
  <c r="N4" i="4"/>
  <c r="P4" i="4" s="1"/>
  <c r="Q4" i="4" s="1"/>
  <c r="N5" i="4"/>
  <c r="P5" i="4" s="1"/>
  <c r="Q5" i="4" s="1"/>
  <c r="N6" i="4"/>
  <c r="P6" i="4" s="1"/>
  <c r="Q6" i="4" s="1"/>
  <c r="N7" i="4"/>
  <c r="P7" i="4" s="1"/>
  <c r="Q7" i="4" s="1"/>
  <c r="N8" i="4"/>
  <c r="P8" i="4" s="1"/>
  <c r="Q8" i="4" s="1"/>
  <c r="N9" i="4"/>
  <c r="P9" i="4" s="1"/>
  <c r="Q9" i="4" s="1"/>
  <c r="N10" i="4"/>
  <c r="P10" i="4" s="1"/>
  <c r="Q10" i="4" s="1"/>
  <c r="N11" i="4"/>
  <c r="P11" i="4" s="1"/>
  <c r="Q11" i="4" s="1"/>
  <c r="N12" i="4"/>
  <c r="P12" i="4" s="1"/>
  <c r="Q12" i="4" s="1"/>
  <c r="N13" i="4"/>
  <c r="P13" i="4" s="1"/>
  <c r="Q13" i="4" s="1"/>
  <c r="N14" i="4"/>
  <c r="P14" i="4" s="1"/>
  <c r="Q14" i="4" s="1"/>
  <c r="N15" i="4"/>
  <c r="P15" i="4" s="1"/>
  <c r="N16" i="4"/>
  <c r="P16" i="4" s="1"/>
  <c r="Q16" i="4" s="1"/>
  <c r="N17" i="4"/>
  <c r="P17" i="4" s="1"/>
  <c r="Q17" i="4" s="1"/>
  <c r="N18" i="4"/>
  <c r="N19" i="4"/>
  <c r="N20" i="4"/>
  <c r="P20" i="4" s="1"/>
  <c r="Q20" i="4" s="1"/>
  <c r="N21" i="4"/>
  <c r="P21" i="4" s="1"/>
  <c r="Q21" i="4" s="1"/>
  <c r="N22" i="4"/>
  <c r="P22" i="4" s="1"/>
  <c r="Q22" i="4" s="1"/>
  <c r="N23" i="4"/>
  <c r="P23" i="4" s="1"/>
  <c r="Q23" i="4" s="1"/>
  <c r="N24" i="4"/>
  <c r="P24" i="4" s="1"/>
  <c r="Q24" i="4" s="1"/>
  <c r="N25" i="4"/>
  <c r="P25" i="4" s="1"/>
  <c r="Q25" i="4" s="1"/>
  <c r="N26" i="4"/>
  <c r="N27" i="4"/>
  <c r="P27" i="4" s="1"/>
  <c r="Q27" i="4" s="1"/>
  <c r="N28" i="4"/>
  <c r="P28" i="4" s="1"/>
  <c r="Q28" i="4" s="1"/>
  <c r="N29" i="4"/>
  <c r="P29" i="4" s="1"/>
  <c r="Q29" i="4" s="1"/>
  <c r="N30" i="4"/>
  <c r="P30" i="4" s="1"/>
  <c r="Q30" i="4" s="1"/>
  <c r="N31" i="4"/>
  <c r="P31" i="4" s="1"/>
  <c r="Q31" i="4" s="1"/>
  <c r="N32" i="4"/>
  <c r="P32" i="4" s="1"/>
  <c r="Q32" i="4" s="1"/>
  <c r="N33" i="4"/>
  <c r="P33" i="4" s="1"/>
  <c r="Q33" i="4" s="1"/>
  <c r="N34" i="4"/>
  <c r="P34" i="4" s="1"/>
  <c r="Q34" i="4" s="1"/>
  <c r="N35" i="4"/>
  <c r="P35" i="4" s="1"/>
  <c r="Q35" i="4" s="1"/>
  <c r="N36" i="4"/>
  <c r="P36" i="4" s="1"/>
  <c r="Q36" i="4" s="1"/>
  <c r="N37" i="4"/>
  <c r="P37" i="4" s="1"/>
  <c r="Q37" i="4" s="1"/>
  <c r="N38" i="4"/>
  <c r="P38" i="4" s="1"/>
  <c r="Q38" i="4" s="1"/>
  <c r="N39" i="4"/>
  <c r="P39" i="4" s="1"/>
  <c r="Q39" i="4" s="1"/>
  <c r="N40" i="4"/>
  <c r="P40" i="4" s="1"/>
  <c r="Q40" i="4" s="1"/>
  <c r="N41" i="4"/>
  <c r="P41" i="4" s="1"/>
  <c r="Q41" i="4" s="1"/>
  <c r="N42" i="4"/>
  <c r="P42" i="4" s="1"/>
  <c r="Q42" i="4" s="1"/>
  <c r="N43" i="4"/>
  <c r="N44" i="4"/>
  <c r="P44" i="4" s="1"/>
  <c r="Q44" i="4" s="1"/>
  <c r="N45" i="4"/>
  <c r="N46" i="4"/>
  <c r="P46" i="4" s="1"/>
  <c r="Q46" i="4" s="1"/>
  <c r="N47" i="4"/>
  <c r="P47" i="4" s="1"/>
  <c r="Q47" i="4" s="1"/>
  <c r="N48" i="4"/>
  <c r="P48" i="4" s="1"/>
  <c r="Q48" i="4" s="1"/>
  <c r="N49" i="4"/>
  <c r="P49" i="4" s="1"/>
  <c r="Q49" i="4" s="1"/>
  <c r="N50" i="4"/>
  <c r="P50" i="4" s="1"/>
  <c r="Q50" i="4" s="1"/>
  <c r="N51" i="4"/>
  <c r="N52" i="4"/>
  <c r="P52" i="4" s="1"/>
  <c r="Q52" i="4" s="1"/>
  <c r="N53" i="4"/>
  <c r="P53" i="4" s="1"/>
  <c r="Q53" i="4" s="1"/>
  <c r="N54" i="4"/>
  <c r="P54" i="4" s="1"/>
  <c r="Q54" i="4" s="1"/>
  <c r="N55" i="4"/>
  <c r="P55" i="4" s="1"/>
  <c r="Q55" i="4" s="1"/>
  <c r="N56" i="4"/>
  <c r="P56" i="4" s="1"/>
  <c r="Q56" i="4" s="1"/>
  <c r="N57" i="4"/>
  <c r="P57" i="4" s="1"/>
  <c r="Q57" i="4" s="1"/>
  <c r="N58" i="4"/>
  <c r="P58" i="4" s="1"/>
  <c r="Q58" i="4" s="1"/>
  <c r="N59" i="4"/>
  <c r="P59" i="4" s="1"/>
  <c r="Q59" i="4" s="1"/>
  <c r="N60" i="4"/>
  <c r="P60" i="4" s="1"/>
  <c r="Q60" i="4" s="1"/>
  <c r="N61" i="4"/>
  <c r="P61" i="4" s="1"/>
  <c r="Q61" i="4" s="1"/>
  <c r="N62" i="4"/>
  <c r="P62" i="4" s="1"/>
  <c r="Q62" i="4" s="1"/>
  <c r="N63" i="4"/>
  <c r="P63" i="4" s="1"/>
  <c r="Q63" i="4" s="1"/>
  <c r="N64" i="4"/>
  <c r="P64" i="4" s="1"/>
  <c r="Q64" i="4" s="1"/>
  <c r="N65" i="4"/>
  <c r="P65" i="4" s="1"/>
  <c r="Q65" i="4" s="1"/>
  <c r="N66" i="4"/>
  <c r="P66" i="4" s="1"/>
  <c r="Q66" i="4" s="1"/>
  <c r="N67" i="4"/>
  <c r="P67" i="4" s="1"/>
  <c r="Q67" i="4" s="1"/>
  <c r="N68" i="4"/>
  <c r="P68" i="4" s="1"/>
  <c r="Q68" i="4" s="1"/>
  <c r="N69" i="4"/>
  <c r="N70" i="4"/>
  <c r="N71" i="4"/>
  <c r="P71" i="4" s="1"/>
  <c r="Q71" i="4" s="1"/>
  <c r="N72" i="4"/>
  <c r="P72" i="4" s="1"/>
  <c r="Q72" i="4" s="1"/>
  <c r="N73" i="4"/>
  <c r="P73" i="4" s="1"/>
  <c r="Q73" i="4" s="1"/>
  <c r="N74" i="4"/>
  <c r="P74" i="4" s="1"/>
  <c r="Q74" i="4" s="1"/>
  <c r="N75" i="4"/>
  <c r="P75" i="4" s="1"/>
  <c r="Q75" i="4" s="1"/>
  <c r="N76" i="4"/>
  <c r="P76" i="4" s="1"/>
  <c r="Q76" i="4" s="1"/>
  <c r="N77" i="4"/>
  <c r="N78" i="4"/>
  <c r="P78" i="4" s="1"/>
  <c r="Q78" i="4" s="1"/>
  <c r="N79" i="4"/>
  <c r="P79" i="4" s="1"/>
  <c r="Q79" i="4" s="1"/>
  <c r="N80" i="4"/>
  <c r="P80" i="4" s="1"/>
  <c r="Q80" i="4" s="1"/>
  <c r="N81" i="4"/>
  <c r="P81" i="4" s="1"/>
  <c r="Q81" i="4" s="1"/>
  <c r="N82" i="4"/>
  <c r="P82" i="4" s="1"/>
  <c r="Q82" i="4" s="1"/>
  <c r="N83" i="4"/>
  <c r="P83" i="4" s="1"/>
  <c r="Q83" i="4" s="1"/>
  <c r="N84" i="4"/>
  <c r="P84" i="4" s="1"/>
  <c r="Q84" i="4" s="1"/>
  <c r="N85" i="4"/>
  <c r="P85" i="4" s="1"/>
  <c r="N86" i="4"/>
  <c r="P86" i="4" s="1"/>
  <c r="Q86" i="4" s="1"/>
  <c r="N87" i="4"/>
  <c r="P87" i="4" s="1"/>
  <c r="Q87" i="4" s="1"/>
  <c r="N88" i="4"/>
  <c r="P88" i="4" s="1"/>
  <c r="Q88" i="4" s="1"/>
  <c r="N89" i="4"/>
  <c r="P89" i="4" s="1"/>
  <c r="Q89" i="4" s="1"/>
  <c r="N90" i="4"/>
  <c r="P90" i="4" s="1"/>
  <c r="Q90" i="4" s="1"/>
  <c r="N91" i="4"/>
  <c r="P91" i="4" s="1"/>
  <c r="Q91" i="4" s="1"/>
  <c r="N92" i="4"/>
  <c r="P92" i="4" s="1"/>
  <c r="Q92" i="4" s="1"/>
  <c r="N93" i="4"/>
  <c r="P93" i="4" s="1"/>
  <c r="N94" i="4"/>
  <c r="P94" i="4" s="1"/>
  <c r="Q94" i="4" s="1"/>
  <c r="N95" i="4"/>
  <c r="P95" i="4" s="1"/>
  <c r="Q95" i="4" s="1"/>
  <c r="N96" i="4"/>
  <c r="P96" i="4" s="1"/>
  <c r="Q96" i="4" s="1"/>
  <c r="N97" i="4"/>
  <c r="N98" i="4"/>
  <c r="P98" i="4" s="1"/>
  <c r="Q98" i="4" s="1"/>
  <c r="N99" i="4"/>
  <c r="P99" i="4" s="1"/>
  <c r="Q99" i="4" s="1"/>
  <c r="N100" i="4"/>
  <c r="P100" i="4" s="1"/>
  <c r="Q100" i="4" s="1"/>
  <c r="N101" i="4"/>
  <c r="P101" i="4" s="1"/>
  <c r="Q101" i="4" s="1"/>
  <c r="N102" i="4"/>
  <c r="N103" i="4"/>
  <c r="P103" i="4" s="1"/>
  <c r="Q103" i="4" s="1"/>
  <c r="N104" i="4"/>
  <c r="P104" i="4" s="1"/>
  <c r="Q104" i="4" s="1"/>
  <c r="N105" i="4"/>
  <c r="P105" i="4" s="1"/>
  <c r="Q105" i="4" s="1"/>
  <c r="N106" i="4"/>
  <c r="P106" i="4" s="1"/>
  <c r="Q106" i="4" s="1"/>
  <c r="N107" i="4"/>
  <c r="P107" i="4" s="1"/>
  <c r="Q107" i="4" s="1"/>
  <c r="N108" i="4"/>
  <c r="P108" i="4" s="1"/>
  <c r="Q108" i="4" s="1"/>
  <c r="N109" i="4"/>
  <c r="P109" i="4" s="1"/>
  <c r="Q109" i="4" s="1"/>
  <c r="N110" i="4"/>
  <c r="P110" i="4" s="1"/>
  <c r="Q110" i="4" s="1"/>
  <c r="N111" i="4"/>
  <c r="P111" i="4" s="1"/>
  <c r="Q111" i="4" s="1"/>
  <c r="N112" i="4"/>
  <c r="P112" i="4" s="1"/>
  <c r="Q112" i="4" s="1"/>
  <c r="N113" i="4"/>
  <c r="P113" i="4" s="1"/>
  <c r="Q113" i="4" s="1"/>
  <c r="N114" i="4"/>
  <c r="P114" i="4" s="1"/>
  <c r="Q114" i="4" s="1"/>
  <c r="N115" i="4"/>
  <c r="P115" i="4" s="1"/>
  <c r="Q115" i="4" s="1"/>
  <c r="N116" i="4"/>
  <c r="P116" i="4" s="1"/>
  <c r="Q116" i="4" s="1"/>
  <c r="N117" i="4"/>
  <c r="N118" i="4"/>
  <c r="P118" i="4" s="1"/>
  <c r="N119" i="4"/>
  <c r="P119" i="4" s="1"/>
  <c r="Q119" i="4" s="1"/>
  <c r="N120" i="4"/>
  <c r="P120" i="4" s="1"/>
  <c r="Q120" i="4" s="1"/>
  <c r="N121" i="4"/>
  <c r="N122" i="4"/>
  <c r="N123" i="4"/>
  <c r="P123" i="4" s="1"/>
  <c r="Q123" i="4" s="1"/>
  <c r="N124" i="4"/>
  <c r="P124" i="4" s="1"/>
  <c r="Q124" i="4" s="1"/>
  <c r="N125" i="4"/>
  <c r="P125" i="4" s="1"/>
  <c r="Q125" i="4" s="1"/>
  <c r="N126" i="4"/>
  <c r="P126" i="4" s="1"/>
  <c r="Q126" i="4" s="1"/>
  <c r="N127" i="4"/>
  <c r="P127" i="4" s="1"/>
  <c r="Q127" i="4" s="1"/>
  <c r="N128" i="4"/>
  <c r="P128" i="4" s="1"/>
  <c r="Q128" i="4" s="1"/>
  <c r="N129" i="4"/>
  <c r="P129" i="4" s="1"/>
  <c r="Q129" i="4" s="1"/>
  <c r="N130" i="4"/>
  <c r="P130" i="4" s="1"/>
  <c r="Q130" i="4" s="1"/>
  <c r="N131" i="4"/>
  <c r="P131" i="4" s="1"/>
  <c r="Q131" i="4" s="1"/>
  <c r="N132" i="4"/>
  <c r="P132" i="4" s="1"/>
  <c r="Q132" i="4" s="1"/>
  <c r="N133" i="4"/>
  <c r="P133" i="4" s="1"/>
  <c r="Q133" i="4" s="1"/>
  <c r="N134" i="4"/>
  <c r="P134" i="4" s="1"/>
  <c r="Q134" i="4" s="1"/>
  <c r="N135" i="4"/>
  <c r="P135" i="4" s="1"/>
  <c r="Q135" i="4" s="1"/>
  <c r="N136" i="4"/>
  <c r="P136" i="4" s="1"/>
  <c r="Q136" i="4" s="1"/>
  <c r="N137" i="4"/>
  <c r="P137" i="4" s="1"/>
  <c r="Q137" i="4" s="1"/>
  <c r="N138" i="4"/>
  <c r="P138" i="4" s="1"/>
  <c r="Q138" i="4" s="1"/>
  <c r="N139" i="4"/>
  <c r="N140" i="4"/>
  <c r="P140" i="4" s="1"/>
  <c r="Q140" i="4" s="1"/>
  <c r="N141" i="4"/>
  <c r="N142" i="4"/>
  <c r="N143" i="4"/>
  <c r="P143" i="4" s="1"/>
  <c r="N144" i="4"/>
  <c r="P144" i="4" s="1"/>
  <c r="Q144" i="4" s="1"/>
  <c r="N145" i="4"/>
  <c r="P145" i="4" s="1"/>
  <c r="Q145" i="4" s="1"/>
  <c r="N146" i="4"/>
  <c r="P146" i="4" s="1"/>
  <c r="Q146" i="4" s="1"/>
  <c r="N147" i="4"/>
  <c r="P147" i="4" s="1"/>
  <c r="Q147" i="4" s="1"/>
  <c r="N148" i="4"/>
  <c r="P148" i="4" s="1"/>
  <c r="Q148" i="4" s="1"/>
  <c r="N149" i="4"/>
  <c r="P149" i="4" s="1"/>
  <c r="Q149" i="4" s="1"/>
  <c r="N150" i="4"/>
  <c r="P150" i="4" s="1"/>
  <c r="Q150" i="4" s="1"/>
  <c r="N151" i="4"/>
  <c r="P151" i="4" s="1"/>
  <c r="Q151" i="4" s="1"/>
  <c r="N152" i="4"/>
  <c r="P152" i="4" s="1"/>
  <c r="Q152" i="4" s="1"/>
  <c r="N153" i="4"/>
  <c r="P153" i="4" s="1"/>
  <c r="Q153" i="4" s="1"/>
  <c r="N154" i="4"/>
  <c r="P154" i="4" s="1"/>
  <c r="Q154" i="4" s="1"/>
  <c r="N155" i="4"/>
  <c r="P155" i="4" s="1"/>
  <c r="Q155" i="4" s="1"/>
  <c r="N156" i="4"/>
  <c r="N157" i="4"/>
  <c r="N158" i="4"/>
  <c r="P158" i="4" s="1"/>
  <c r="Q158" i="4" s="1"/>
  <c r="N159" i="4"/>
  <c r="P159" i="4" s="1"/>
  <c r="Q159" i="4" s="1"/>
  <c r="N160" i="4"/>
  <c r="P160" i="4" s="1"/>
  <c r="Q160" i="4" s="1"/>
  <c r="N161" i="4"/>
  <c r="P161" i="4" s="1"/>
  <c r="Q161" i="4" s="1"/>
  <c r="N162" i="4"/>
  <c r="P162" i="4" s="1"/>
  <c r="Q162" i="4" s="1"/>
  <c r="N163" i="4"/>
  <c r="P163" i="4" s="1"/>
  <c r="Q163" i="4" s="1"/>
  <c r="N164" i="4"/>
  <c r="P164" i="4" s="1"/>
  <c r="Q164" i="4" s="1"/>
  <c r="N165" i="4"/>
  <c r="P165" i="4" s="1"/>
  <c r="Q165" i="4" s="1"/>
  <c r="N166" i="4"/>
  <c r="P166" i="4" s="1"/>
  <c r="Q166" i="4" s="1"/>
  <c r="N167" i="4"/>
  <c r="P167" i="4" s="1"/>
  <c r="Q167" i="4" s="1"/>
  <c r="N168" i="4"/>
  <c r="P168" i="4" s="1"/>
  <c r="Q168" i="4" s="1"/>
  <c r="N169" i="4"/>
  <c r="N170" i="4"/>
  <c r="N171" i="4"/>
  <c r="P171" i="4" s="1"/>
  <c r="Q171" i="4" s="1"/>
  <c r="N172" i="4"/>
  <c r="N173" i="4"/>
  <c r="P173" i="4" s="1"/>
  <c r="Q173" i="4" s="1"/>
  <c r="N174" i="4"/>
  <c r="P174" i="4" s="1"/>
  <c r="Q174" i="4" s="1"/>
  <c r="N175" i="4"/>
  <c r="P175" i="4" s="1"/>
  <c r="Q175" i="4" s="1"/>
  <c r="N176" i="4"/>
  <c r="P176" i="4" s="1"/>
  <c r="Q176" i="4" s="1"/>
  <c r="N177" i="4"/>
  <c r="P177" i="4" s="1"/>
  <c r="Q177" i="4" s="1"/>
  <c r="N178" i="4"/>
  <c r="P178" i="4" s="1"/>
  <c r="Q178" i="4" s="1"/>
  <c r="N179" i="4"/>
  <c r="P179" i="4" s="1"/>
  <c r="Q179" i="4" s="1"/>
  <c r="N180" i="4"/>
  <c r="P180" i="4" s="1"/>
  <c r="Q180" i="4" s="1"/>
  <c r="N181" i="4"/>
  <c r="N182" i="4"/>
  <c r="P182" i="4" s="1"/>
  <c r="Q182" i="4" s="1"/>
  <c r="N183" i="4"/>
  <c r="P183" i="4" s="1"/>
  <c r="Q183" i="4" s="1"/>
  <c r="N184" i="4"/>
  <c r="P184" i="4" s="1"/>
  <c r="Q184" i="4" s="1"/>
  <c r="N185" i="4"/>
  <c r="N186" i="4"/>
  <c r="P186" i="4" s="1"/>
  <c r="Q186" i="4" s="1"/>
  <c r="N187" i="4"/>
  <c r="P187" i="4" s="1"/>
  <c r="Q187" i="4" s="1"/>
  <c r="N188" i="4"/>
  <c r="P188" i="4" s="1"/>
  <c r="Q188" i="4" s="1"/>
  <c r="N189" i="4"/>
  <c r="P189" i="4" s="1"/>
  <c r="Q189" i="4" s="1"/>
  <c r="N190" i="4"/>
  <c r="P190" i="4" s="1"/>
  <c r="Q190" i="4" s="1"/>
  <c r="N191" i="4"/>
  <c r="P191" i="4" s="1"/>
  <c r="Q191" i="4" s="1"/>
  <c r="N192" i="4"/>
  <c r="P192" i="4" s="1"/>
  <c r="Q192" i="4" s="1"/>
  <c r="N193" i="4"/>
  <c r="P193" i="4" s="1"/>
  <c r="Q193" i="4" s="1"/>
  <c r="N194" i="4"/>
  <c r="N195" i="4"/>
  <c r="P195" i="4" s="1"/>
  <c r="Q195" i="4" s="1"/>
  <c r="N196" i="4"/>
  <c r="N197" i="4"/>
  <c r="N198" i="4"/>
  <c r="P198" i="4" s="1"/>
  <c r="Q198" i="4" s="1"/>
  <c r="N199" i="4"/>
  <c r="P199" i="4" s="1"/>
  <c r="Q199" i="4" s="1"/>
  <c r="N200" i="4"/>
  <c r="P200" i="4" s="1"/>
  <c r="Q200" i="4" s="1"/>
  <c r="N201" i="4"/>
  <c r="P201" i="4" s="1"/>
  <c r="Q201" i="4" s="1"/>
  <c r="N202" i="4"/>
  <c r="P202" i="4" s="1"/>
  <c r="Q202" i="4" s="1"/>
  <c r="N203" i="4"/>
  <c r="P203" i="4" s="1"/>
  <c r="Q203" i="4" s="1"/>
  <c r="N204" i="4"/>
  <c r="P204" i="4" s="1"/>
  <c r="Q204" i="4" s="1"/>
  <c r="N205" i="4"/>
  <c r="P205" i="4" s="1"/>
  <c r="Q205" i="4" s="1"/>
  <c r="N206" i="4"/>
  <c r="P206" i="4" s="1"/>
  <c r="Q206" i="4" s="1"/>
  <c r="N207" i="4"/>
  <c r="P207" i="4" s="1"/>
  <c r="Q207" i="4" s="1"/>
  <c r="N208" i="4"/>
  <c r="P208" i="4" s="1"/>
  <c r="Q208" i="4" s="1"/>
  <c r="N209" i="4"/>
  <c r="N210" i="4"/>
  <c r="N211" i="4"/>
  <c r="P211" i="4" s="1"/>
  <c r="Q211" i="4" s="1"/>
  <c r="N212" i="4"/>
  <c r="P212" i="4" s="1"/>
  <c r="Q212" i="4" s="1"/>
  <c r="N213" i="4"/>
  <c r="P213" i="4" s="1"/>
  <c r="Q213" i="4" s="1"/>
  <c r="N214" i="4"/>
  <c r="P214" i="4" s="1"/>
  <c r="Q214" i="4" s="1"/>
  <c r="N215" i="4"/>
  <c r="P215" i="4" s="1"/>
  <c r="Q215" i="4" s="1"/>
  <c r="N216" i="4"/>
  <c r="P216" i="4" s="1"/>
  <c r="Q216" i="4" s="1"/>
  <c r="N217" i="4"/>
  <c r="P217" i="4" s="1"/>
  <c r="Q217" i="4" s="1"/>
  <c r="N218" i="4"/>
  <c r="P218" i="4" s="1"/>
  <c r="Q218" i="4" s="1"/>
  <c r="N219" i="4"/>
  <c r="P219" i="4" s="1"/>
  <c r="Q219" i="4" s="1"/>
  <c r="N220" i="4"/>
  <c r="N221" i="4"/>
  <c r="N222" i="4"/>
  <c r="P222" i="4" s="1"/>
  <c r="Q222" i="4" s="1"/>
  <c r="N223" i="4"/>
  <c r="P223" i="4" s="1"/>
  <c r="Q223" i="4" s="1"/>
  <c r="N224" i="4"/>
  <c r="P224" i="4" s="1"/>
  <c r="Q224" i="4" s="1"/>
  <c r="N225" i="4"/>
  <c r="P225" i="4" s="1"/>
  <c r="Q225" i="4" s="1"/>
  <c r="N226" i="4"/>
  <c r="P226" i="4" s="1"/>
  <c r="Q226" i="4" s="1"/>
  <c r="N227" i="4"/>
  <c r="P227" i="4" s="1"/>
  <c r="Q227" i="4" s="1"/>
  <c r="N228" i="4"/>
  <c r="P228" i="4" s="1"/>
  <c r="Q228" i="4" s="1"/>
  <c r="N229" i="4"/>
  <c r="P229" i="4" s="1"/>
  <c r="Q229" i="4" s="1"/>
  <c r="N230" i="4"/>
  <c r="P230" i="4" s="1"/>
  <c r="Q230" i="4" s="1"/>
  <c r="N231" i="4"/>
  <c r="P231" i="4" s="1"/>
  <c r="Q231" i="4" s="1"/>
  <c r="N232" i="4"/>
  <c r="P232" i="4" s="1"/>
  <c r="Q232" i="4" s="1"/>
  <c r="N233" i="4"/>
  <c r="N234" i="4"/>
  <c r="N235" i="4"/>
  <c r="P235" i="4" s="1"/>
  <c r="Q235" i="4" s="1"/>
  <c r="N236" i="4"/>
  <c r="N237" i="4"/>
  <c r="P237" i="4" s="1"/>
  <c r="Q237" i="4" s="1"/>
  <c r="N238" i="4"/>
  <c r="P238" i="4" s="1"/>
  <c r="Q238" i="4" s="1"/>
  <c r="N239" i="4"/>
  <c r="P239" i="4" s="1"/>
  <c r="Q239" i="4" s="1"/>
  <c r="N240" i="4"/>
  <c r="P240" i="4" s="1"/>
  <c r="Q240" i="4" s="1"/>
  <c r="N241" i="4"/>
  <c r="P241" i="4" s="1"/>
  <c r="Q241" i="4" s="1"/>
  <c r="N242" i="4"/>
  <c r="P242" i="4" s="1"/>
  <c r="Q242" i="4" s="1"/>
  <c r="N243" i="4"/>
  <c r="P243" i="4" s="1"/>
  <c r="Q243" i="4" s="1"/>
  <c r="N244" i="4"/>
  <c r="P244" i="4" s="1"/>
  <c r="Q244" i="4" s="1"/>
  <c r="N245" i="4"/>
  <c r="N246" i="4"/>
  <c r="P246" i="4" s="1"/>
  <c r="N247" i="4"/>
  <c r="P247" i="4" s="1"/>
  <c r="Q247" i="4" s="1"/>
  <c r="N248" i="4"/>
  <c r="P248" i="4" s="1"/>
  <c r="Q248" i="4" s="1"/>
  <c r="N249" i="4"/>
  <c r="N250" i="4"/>
  <c r="P250" i="4" s="1"/>
  <c r="Q250" i="4" s="1"/>
  <c r="N251" i="4"/>
  <c r="P251" i="4" s="1"/>
  <c r="Q251" i="4" s="1"/>
  <c r="N252" i="4"/>
  <c r="P252" i="4" s="1"/>
  <c r="Q252" i="4" s="1"/>
  <c r="N253" i="4"/>
  <c r="P253" i="4" s="1"/>
  <c r="Q253" i="4" s="1"/>
  <c r="N254" i="4"/>
  <c r="P254" i="4" s="1"/>
  <c r="Q254" i="4" s="1"/>
  <c r="N255" i="4"/>
  <c r="P255" i="4" s="1"/>
  <c r="Q255" i="4" s="1"/>
  <c r="N256" i="4"/>
  <c r="P256" i="4" s="1"/>
  <c r="Q256" i="4" s="1"/>
  <c r="N257" i="4"/>
  <c r="P257" i="4" s="1"/>
  <c r="Q257" i="4" s="1"/>
  <c r="N258" i="4"/>
  <c r="N259" i="4"/>
  <c r="P259" i="4" s="1"/>
  <c r="Q259" i="4" s="1"/>
  <c r="N260" i="4"/>
  <c r="N261" i="4"/>
  <c r="N262" i="4"/>
  <c r="P262" i="4" s="1"/>
  <c r="Q262" i="4" s="1"/>
  <c r="N263" i="4"/>
  <c r="P263" i="4" s="1"/>
  <c r="Q263" i="4" s="1"/>
  <c r="N264" i="4"/>
  <c r="P264" i="4" s="1"/>
  <c r="Q264" i="4" s="1"/>
  <c r="N265" i="4"/>
  <c r="P265" i="4" s="1"/>
  <c r="Q265" i="4" s="1"/>
  <c r="N266" i="4"/>
  <c r="P266" i="4" s="1"/>
  <c r="Q266" i="4" s="1"/>
  <c r="N267" i="4"/>
  <c r="P267" i="4" s="1"/>
  <c r="Q267" i="4" s="1"/>
  <c r="N268" i="4"/>
  <c r="P268" i="4" s="1"/>
  <c r="Q268" i="4" s="1"/>
  <c r="N269" i="4"/>
  <c r="P269" i="4" s="1"/>
  <c r="Q269" i="4" s="1"/>
  <c r="N270" i="4"/>
  <c r="P270" i="4" s="1"/>
  <c r="N271" i="4"/>
  <c r="P271" i="4" s="1"/>
  <c r="N272" i="4"/>
  <c r="P272" i="4" s="1"/>
  <c r="Q272" i="4" s="1"/>
  <c r="N273" i="4"/>
  <c r="N274" i="4"/>
  <c r="N275" i="4"/>
  <c r="P275" i="4" s="1"/>
  <c r="Q275" i="4" s="1"/>
  <c r="N276" i="4"/>
  <c r="P276" i="4" s="1"/>
  <c r="Q276" i="4" s="1"/>
  <c r="N277" i="4"/>
  <c r="P277" i="4" s="1"/>
  <c r="Q277" i="4" s="1"/>
  <c r="N278" i="4"/>
  <c r="N279" i="4"/>
  <c r="P279" i="4" s="1"/>
  <c r="Q279" i="4" s="1"/>
  <c r="N280" i="4"/>
  <c r="P280" i="4" s="1"/>
  <c r="Q280" i="4" s="1"/>
  <c r="N281" i="4"/>
  <c r="P281" i="4" s="1"/>
  <c r="Q281" i="4" s="1"/>
  <c r="N282" i="4"/>
  <c r="N283" i="4"/>
  <c r="P283" i="4" s="1"/>
  <c r="Q283" i="4" s="1"/>
  <c r="N284" i="4"/>
  <c r="N285" i="4"/>
  <c r="N286" i="4"/>
  <c r="P286" i="4" s="1"/>
  <c r="Q286" i="4" s="1"/>
  <c r="N287" i="4"/>
  <c r="P287" i="4" s="1"/>
  <c r="Q287" i="4" s="1"/>
  <c r="N288" i="4"/>
  <c r="P288" i="4" s="1"/>
  <c r="Q288" i="4" s="1"/>
  <c r="N289" i="4"/>
  <c r="P289" i="4" s="1"/>
  <c r="Q289" i="4" s="1"/>
  <c r="N290" i="4"/>
  <c r="P290" i="4" s="1"/>
  <c r="Q290" i="4" s="1"/>
  <c r="N291" i="4"/>
  <c r="P291" i="4" s="1"/>
  <c r="Q291" i="4" s="1"/>
  <c r="N292" i="4"/>
  <c r="P292" i="4" s="1"/>
  <c r="Q292" i="4" s="1"/>
  <c r="N293" i="4"/>
  <c r="N294" i="4"/>
  <c r="P294" i="4" s="1"/>
  <c r="Q294" i="4" s="1"/>
  <c r="N295" i="4"/>
  <c r="P295" i="4" s="1"/>
  <c r="Q295" i="4" s="1"/>
  <c r="N296" i="4"/>
  <c r="P296" i="4" s="1"/>
  <c r="Q296" i="4" s="1"/>
  <c r="N297" i="4"/>
  <c r="P297" i="4" s="1"/>
  <c r="Q297" i="4" s="1"/>
  <c r="N298" i="4"/>
  <c r="P298" i="4" s="1"/>
  <c r="Q298" i="4" s="1"/>
  <c r="N299" i="4"/>
  <c r="P299" i="4" s="1"/>
  <c r="Q299" i="4" s="1"/>
  <c r="N300" i="4"/>
  <c r="P300" i="4" s="1"/>
  <c r="Q300" i="4" s="1"/>
  <c r="N301" i="4"/>
  <c r="P301" i="4" s="1"/>
  <c r="Q301" i="4" s="1"/>
  <c r="N302" i="4"/>
  <c r="P302" i="4" s="1"/>
  <c r="Q302" i="4" s="1"/>
  <c r="N303" i="4"/>
  <c r="P303" i="4" s="1"/>
  <c r="Q303" i="4" s="1"/>
  <c r="N304" i="4"/>
  <c r="P304" i="4" s="1"/>
  <c r="Q304" i="4" s="1"/>
  <c r="N305" i="4"/>
  <c r="N306" i="4"/>
  <c r="N307" i="4"/>
  <c r="P307" i="4" s="1"/>
  <c r="Q307" i="4" s="1"/>
  <c r="N308" i="4"/>
  <c r="P308" i="4" s="1"/>
  <c r="Q308" i="4" s="1"/>
  <c r="N309" i="4"/>
  <c r="P309" i="4" s="1"/>
  <c r="Q309" i="4" s="1"/>
  <c r="N310" i="4"/>
  <c r="P310" i="4" s="1"/>
  <c r="Q310" i="4" s="1"/>
  <c r="N311" i="4"/>
  <c r="P311" i="4" s="1"/>
  <c r="Q311" i="4" s="1"/>
  <c r="N312" i="4"/>
  <c r="P312" i="4" s="1"/>
  <c r="Q312" i="4" s="1"/>
  <c r="N313" i="4"/>
  <c r="P313" i="4" s="1"/>
  <c r="Q313" i="4" s="1"/>
  <c r="N314" i="4"/>
  <c r="N315" i="4"/>
  <c r="P315" i="4" s="1"/>
  <c r="Q315" i="4" s="1"/>
  <c r="N316" i="4"/>
  <c r="N317" i="4"/>
  <c r="N318" i="4"/>
  <c r="P318" i="4" s="1"/>
  <c r="Q318" i="4" s="1"/>
  <c r="N319" i="4"/>
  <c r="P319" i="4" s="1"/>
  <c r="Q319" i="4" s="1"/>
  <c r="N320" i="4"/>
  <c r="P320" i="4" s="1"/>
  <c r="Q320" i="4" s="1"/>
  <c r="N321" i="4"/>
  <c r="P321" i="4" s="1"/>
  <c r="Q321" i="4" s="1"/>
  <c r="N322" i="4"/>
  <c r="P322" i="4" s="1"/>
  <c r="Q322" i="4" s="1"/>
  <c r="N323" i="4"/>
  <c r="P323" i="4" s="1"/>
  <c r="Q323" i="4" s="1"/>
  <c r="N324" i="4"/>
  <c r="P324" i="4" s="1"/>
  <c r="Q324" i="4" s="1"/>
  <c r="N325" i="4"/>
  <c r="N326" i="4"/>
  <c r="P326" i="4" s="1"/>
  <c r="Q326" i="4" s="1"/>
  <c r="N327" i="4"/>
  <c r="P327" i="4" s="1"/>
  <c r="Q327" i="4" s="1"/>
  <c r="N328" i="4"/>
  <c r="P328" i="4" s="1"/>
  <c r="Q328" i="4" s="1"/>
  <c r="N329" i="4"/>
  <c r="P329" i="4" s="1"/>
  <c r="Q329" i="4" s="1"/>
  <c r="N330" i="4"/>
  <c r="P330" i="4" s="1"/>
  <c r="Q330" i="4" s="1"/>
  <c r="N331" i="4"/>
  <c r="P331" i="4" s="1"/>
  <c r="Q331" i="4" s="1"/>
  <c r="N332" i="4"/>
  <c r="P332" i="4" s="1"/>
  <c r="Q332" i="4" s="1"/>
  <c r="N333" i="4"/>
  <c r="P333" i="4" s="1"/>
  <c r="Q333" i="4" s="1"/>
  <c r="N334" i="4"/>
  <c r="P334" i="4" s="1"/>
  <c r="Q334" i="4" s="1"/>
  <c r="N335" i="4"/>
  <c r="P335" i="4" s="1"/>
  <c r="Q335" i="4" s="1"/>
  <c r="N336" i="4"/>
  <c r="P336" i="4" s="1"/>
  <c r="Q336" i="4" s="1"/>
  <c r="N337" i="4"/>
  <c r="N338" i="4"/>
  <c r="N339" i="4"/>
  <c r="P339" i="4" s="1"/>
  <c r="Q339" i="4" s="1"/>
  <c r="N340" i="4"/>
  <c r="P340" i="4" s="1"/>
  <c r="Q340" i="4" s="1"/>
  <c r="N341" i="4"/>
  <c r="P341" i="4" s="1"/>
  <c r="Q341" i="4" s="1"/>
  <c r="N342" i="4"/>
  <c r="P342" i="4" s="1"/>
  <c r="Q342" i="4" s="1"/>
  <c r="N343" i="4"/>
  <c r="P343" i="4" s="1"/>
  <c r="Q343" i="4" s="1"/>
  <c r="N344" i="4"/>
  <c r="P344" i="4" s="1"/>
  <c r="Q344" i="4" s="1"/>
  <c r="N345" i="4"/>
  <c r="P345" i="4" s="1"/>
  <c r="Q345" i="4" s="1"/>
  <c r="N346" i="4"/>
  <c r="N347" i="4"/>
  <c r="P347" i="4" s="1"/>
  <c r="Q347" i="4" s="1"/>
  <c r="N348" i="4"/>
  <c r="N349" i="4"/>
  <c r="N350" i="4"/>
  <c r="P350" i="4" s="1"/>
  <c r="Q350" i="4" s="1"/>
  <c r="N351" i="4"/>
  <c r="P351" i="4" s="1"/>
  <c r="Q351" i="4" s="1"/>
  <c r="N352" i="4"/>
  <c r="P352" i="4" s="1"/>
  <c r="Q352" i="4" s="1"/>
  <c r="N353" i="4"/>
  <c r="P353" i="4" s="1"/>
  <c r="Q353" i="4" s="1"/>
  <c r="N354" i="4"/>
  <c r="P354" i="4" s="1"/>
  <c r="Q354" i="4" s="1"/>
  <c r="N355" i="4"/>
  <c r="P355" i="4" s="1"/>
  <c r="Q355" i="4" s="1"/>
  <c r="N356" i="4"/>
  <c r="P356" i="4" s="1"/>
  <c r="Q356" i="4" s="1"/>
  <c r="N357" i="4"/>
  <c r="N358" i="4"/>
  <c r="P358" i="4" s="1"/>
  <c r="Q358" i="4" s="1"/>
  <c r="N359" i="4"/>
  <c r="P359" i="4" s="1"/>
  <c r="Q359" i="4" s="1"/>
  <c r="N360" i="4"/>
  <c r="P360" i="4" s="1"/>
  <c r="Q360" i="4" s="1"/>
  <c r="N361" i="4"/>
  <c r="P361" i="4" s="1"/>
  <c r="Q361" i="4" s="1"/>
  <c r="N362" i="4"/>
  <c r="P362" i="4" s="1"/>
  <c r="Q362" i="4" s="1"/>
  <c r="N363" i="4"/>
  <c r="P363" i="4" s="1"/>
  <c r="Q363" i="4" s="1"/>
  <c r="N364" i="4"/>
  <c r="P364" i="4" s="1"/>
  <c r="Q364" i="4" s="1"/>
  <c r="N365" i="4"/>
  <c r="P365" i="4" s="1"/>
  <c r="Q365" i="4" s="1"/>
  <c r="N366" i="4"/>
  <c r="P366" i="4" s="1"/>
  <c r="Q366" i="4" s="1"/>
  <c r="N367" i="4"/>
  <c r="P367" i="4" s="1"/>
  <c r="Q367" i="4" s="1"/>
  <c r="N368" i="4"/>
  <c r="P368" i="4" s="1"/>
  <c r="Q368" i="4" s="1"/>
  <c r="N369" i="4"/>
  <c r="N370" i="4"/>
  <c r="N371" i="4"/>
  <c r="P371" i="4" s="1"/>
  <c r="Q371" i="4" s="1"/>
  <c r="N372" i="4"/>
  <c r="P372" i="4" s="1"/>
  <c r="Q372" i="4" s="1"/>
  <c r="N373" i="4"/>
  <c r="P373" i="4" s="1"/>
  <c r="Q373" i="4" s="1"/>
  <c r="N374" i="4"/>
  <c r="P374" i="4" s="1"/>
  <c r="N375" i="4"/>
  <c r="P375" i="4" s="1"/>
  <c r="Q375" i="4" s="1"/>
  <c r="N376" i="4"/>
  <c r="P376" i="4" s="1"/>
  <c r="Q376" i="4" s="1"/>
  <c r="N377" i="4"/>
  <c r="P377" i="4" s="1"/>
  <c r="Q377" i="4" s="1"/>
  <c r="N378" i="4"/>
  <c r="N379" i="4"/>
  <c r="P379" i="4" s="1"/>
  <c r="Q379" i="4" s="1"/>
  <c r="N380" i="4"/>
  <c r="N381" i="4"/>
  <c r="N382" i="4"/>
  <c r="P382" i="4" s="1"/>
  <c r="Q382" i="4" s="1"/>
  <c r="N383" i="4"/>
  <c r="P383" i="4" s="1"/>
  <c r="Q383" i="4" s="1"/>
  <c r="N384" i="4"/>
  <c r="P384" i="4" s="1"/>
  <c r="Q384" i="4" s="1"/>
  <c r="N385" i="4"/>
  <c r="P385" i="4" s="1"/>
  <c r="Q385" i="4" s="1"/>
  <c r="N386" i="4"/>
  <c r="P386" i="4" s="1"/>
  <c r="Q386" i="4" s="1"/>
  <c r="N387" i="4"/>
  <c r="P387" i="4" s="1"/>
  <c r="Q387" i="4" s="1"/>
  <c r="N388" i="4"/>
  <c r="P388" i="4" s="1"/>
  <c r="Q388" i="4" s="1"/>
  <c r="N389" i="4"/>
  <c r="N390" i="4"/>
  <c r="P390" i="4" s="1"/>
  <c r="Q390" i="4" s="1"/>
  <c r="N391" i="4"/>
  <c r="P391" i="4" s="1"/>
  <c r="Q391" i="4" s="1"/>
  <c r="N392" i="4"/>
  <c r="P392" i="4" s="1"/>
  <c r="Q392" i="4" s="1"/>
  <c r="N393" i="4"/>
  <c r="P393" i="4" s="1"/>
  <c r="Q393" i="4" s="1"/>
  <c r="N394" i="4"/>
  <c r="P394" i="4" s="1"/>
  <c r="Q394" i="4" s="1"/>
  <c r="N395" i="4"/>
  <c r="P395" i="4" s="1"/>
  <c r="Q395" i="4" s="1"/>
  <c r="N396" i="4"/>
  <c r="P396" i="4" s="1"/>
  <c r="Q396" i="4" s="1"/>
  <c r="N397" i="4"/>
  <c r="P397" i="4" s="1"/>
  <c r="Q397" i="4" s="1"/>
  <c r="N398" i="4"/>
  <c r="P398" i="4" s="1"/>
  <c r="N399" i="4"/>
  <c r="P399" i="4" s="1"/>
  <c r="Q399" i="4" s="1"/>
  <c r="N400" i="4"/>
  <c r="P400" i="4" s="1"/>
  <c r="Q400" i="4" s="1"/>
  <c r="N401" i="4"/>
  <c r="N402" i="4"/>
  <c r="N403" i="4"/>
  <c r="P403" i="4" s="1"/>
  <c r="Q403" i="4" s="1"/>
  <c r="N404" i="4"/>
  <c r="P404" i="4" s="1"/>
  <c r="Q404" i="4" s="1"/>
  <c r="N405" i="4"/>
  <c r="P405" i="4" s="1"/>
  <c r="Q405" i="4" s="1"/>
  <c r="N406" i="4"/>
  <c r="P406" i="4" s="1"/>
  <c r="Q406" i="4" s="1"/>
  <c r="N407" i="4"/>
  <c r="P407" i="4" s="1"/>
  <c r="Q407" i="4" s="1"/>
  <c r="N408" i="4"/>
  <c r="P408" i="4" s="1"/>
  <c r="Q408" i="4" s="1"/>
  <c r="N409" i="4"/>
  <c r="N410" i="4"/>
  <c r="N411" i="4"/>
  <c r="P411" i="4" s="1"/>
  <c r="Q411" i="4" s="1"/>
  <c r="N412" i="4"/>
  <c r="N413" i="4"/>
  <c r="P413" i="4" s="1"/>
  <c r="Q413" i="4" s="1"/>
  <c r="N414" i="4"/>
  <c r="P414" i="4" s="1"/>
  <c r="Q414" i="4" s="1"/>
  <c r="N415" i="4"/>
  <c r="P415" i="4" s="1"/>
  <c r="Q415" i="4" s="1"/>
  <c r="N416" i="4"/>
  <c r="P416" i="4" s="1"/>
  <c r="Q416" i="4" s="1"/>
  <c r="N417" i="4"/>
  <c r="P417" i="4" s="1"/>
  <c r="Q417" i="4" s="1"/>
  <c r="N418" i="4"/>
  <c r="N419" i="4"/>
  <c r="P419" i="4" s="1"/>
  <c r="Q419" i="4" s="1"/>
  <c r="N420" i="4"/>
  <c r="N421" i="4"/>
  <c r="N422" i="4"/>
  <c r="P422" i="4" s="1"/>
  <c r="Q422" i="4" s="1"/>
  <c r="N423" i="4"/>
  <c r="P423" i="4" s="1"/>
  <c r="Q423" i="4" s="1"/>
  <c r="N424" i="4"/>
  <c r="P424" i="4" s="1"/>
  <c r="Q424" i="4" s="1"/>
  <c r="N425" i="4"/>
  <c r="P425" i="4" s="1"/>
  <c r="Q425" i="4" s="1"/>
  <c r="N426" i="4"/>
  <c r="P426" i="4" s="1"/>
  <c r="Q426" i="4" s="1"/>
  <c r="N427" i="4"/>
  <c r="P427" i="4" s="1"/>
  <c r="Q427" i="4" s="1"/>
  <c r="N428" i="4"/>
  <c r="N429" i="4"/>
  <c r="N430" i="4"/>
  <c r="N431" i="4"/>
  <c r="P431" i="4" s="1"/>
  <c r="Q431" i="4" s="1"/>
  <c r="N432" i="4"/>
  <c r="P432" i="4" s="1"/>
  <c r="Q432" i="4" s="1"/>
  <c r="N433" i="4"/>
  <c r="P433" i="4" s="1"/>
  <c r="Q433" i="4" s="1"/>
  <c r="N434" i="4"/>
  <c r="P434" i="4" s="1"/>
  <c r="Q434" i="4" s="1"/>
  <c r="N435" i="4"/>
  <c r="P435" i="4" s="1"/>
  <c r="Q435" i="4" s="1"/>
  <c r="N436" i="4"/>
  <c r="P436" i="4" s="1"/>
  <c r="Q436" i="4" s="1"/>
  <c r="N437" i="4"/>
  <c r="N438" i="4"/>
  <c r="N439" i="4"/>
  <c r="N440" i="4"/>
  <c r="P440" i="4" s="1"/>
  <c r="Q440" i="4" s="1"/>
  <c r="N441" i="4"/>
  <c r="P441" i="4" s="1"/>
  <c r="Q441" i="4" s="1"/>
  <c r="N442" i="4"/>
  <c r="P442" i="4" s="1"/>
  <c r="Q442" i="4" s="1"/>
  <c r="N443" i="4"/>
  <c r="P443" i="4" s="1"/>
  <c r="Q443" i="4" s="1"/>
  <c r="N444" i="4"/>
  <c r="P444" i="4" s="1"/>
  <c r="Q444" i="4" s="1"/>
  <c r="N445" i="4"/>
  <c r="P445" i="4" s="1"/>
  <c r="Q445" i="4" s="1"/>
  <c r="N446" i="4"/>
  <c r="P446" i="4" s="1"/>
  <c r="Q446" i="4" s="1"/>
  <c r="N447" i="4"/>
  <c r="P447" i="4" s="1"/>
  <c r="Q447" i="4" s="1"/>
  <c r="N448" i="4"/>
  <c r="P448" i="4" s="1"/>
  <c r="Q448" i="4" s="1"/>
  <c r="N449" i="4"/>
  <c r="P449" i="4" s="1"/>
  <c r="Q449" i="4" s="1"/>
  <c r="N450" i="4"/>
  <c r="P450" i="4" s="1"/>
  <c r="Q450" i="4" s="1"/>
  <c r="N451" i="4"/>
  <c r="P451" i="4" s="1"/>
  <c r="Q451" i="4" s="1"/>
  <c r="N452" i="4"/>
  <c r="P452" i="4" s="1"/>
  <c r="Q452" i="4" s="1"/>
  <c r="N453" i="4"/>
  <c r="P453" i="4" s="1"/>
  <c r="Q453" i="4" s="1"/>
  <c r="N454" i="4"/>
  <c r="P454" i="4" s="1"/>
  <c r="Q454" i="4" s="1"/>
  <c r="N455" i="4"/>
  <c r="P455" i="4" s="1"/>
  <c r="Q455" i="4" s="1"/>
  <c r="N456" i="4"/>
  <c r="P456" i="4" s="1"/>
  <c r="Q456" i="4" s="1"/>
  <c r="N457" i="4"/>
  <c r="P457" i="4" s="1"/>
  <c r="Q457" i="4" s="1"/>
  <c r="N458" i="4"/>
  <c r="P458" i="4" s="1"/>
  <c r="Q458" i="4" s="1"/>
  <c r="N459" i="4"/>
  <c r="P459" i="4" s="1"/>
  <c r="Q459" i="4" s="1"/>
  <c r="N460" i="4"/>
  <c r="P460" i="4" s="1"/>
  <c r="Q460" i="4" s="1"/>
  <c r="N461" i="4"/>
  <c r="P461" i="4" s="1"/>
  <c r="Q461" i="4" s="1"/>
  <c r="N462" i="4"/>
  <c r="P462" i="4" s="1"/>
  <c r="Q462" i="4" s="1"/>
  <c r="N463" i="4"/>
  <c r="P463" i="4" s="1"/>
  <c r="Q463" i="4" s="1"/>
  <c r="N464" i="4"/>
  <c r="P464" i="4" s="1"/>
  <c r="Q464" i="4" s="1"/>
  <c r="N465" i="4"/>
  <c r="P465" i="4" s="1"/>
  <c r="Q465" i="4" s="1"/>
  <c r="N466" i="4"/>
  <c r="P466" i="4" s="1"/>
  <c r="Q466" i="4" s="1"/>
  <c r="N467" i="4"/>
  <c r="P467" i="4" s="1"/>
  <c r="Q467" i="4" s="1"/>
  <c r="N468" i="4"/>
  <c r="P468" i="4" s="1"/>
  <c r="Q468" i="4" s="1"/>
  <c r="N469" i="4"/>
  <c r="P469" i="4" s="1"/>
  <c r="Q469" i="4" s="1"/>
  <c r="N470" i="4"/>
  <c r="P470" i="4" s="1"/>
  <c r="Q470" i="4" s="1"/>
  <c r="N471" i="4"/>
  <c r="P471" i="4" s="1"/>
  <c r="Q471" i="4" s="1"/>
  <c r="N472" i="4"/>
  <c r="P472" i="4" s="1"/>
  <c r="Q472" i="4" s="1"/>
  <c r="N473" i="4"/>
  <c r="P473" i="4" s="1"/>
  <c r="Q473" i="4" s="1"/>
  <c r="N474" i="4"/>
  <c r="P474" i="4" s="1"/>
  <c r="Q474" i="4" s="1"/>
  <c r="N475" i="4"/>
  <c r="P475" i="4" s="1"/>
  <c r="Q475" i="4" s="1"/>
  <c r="N476" i="4"/>
  <c r="P476" i="4" s="1"/>
  <c r="Q476" i="4" s="1"/>
  <c r="N477" i="4"/>
  <c r="P477" i="4" s="1"/>
  <c r="Q477" i="4" s="1"/>
  <c r="N478" i="4"/>
  <c r="P478" i="4" s="1"/>
  <c r="Q478" i="4" s="1"/>
  <c r="N479" i="4"/>
  <c r="P479" i="4" s="1"/>
  <c r="Q479" i="4" s="1"/>
  <c r="N480" i="4"/>
  <c r="P480" i="4" s="1"/>
  <c r="Q480" i="4" s="1"/>
  <c r="N481" i="4"/>
  <c r="P481" i="4" s="1"/>
  <c r="Q481" i="4" s="1"/>
  <c r="N482" i="4"/>
  <c r="P482" i="4" s="1"/>
  <c r="Q482" i="4" s="1"/>
  <c r="N483" i="4"/>
  <c r="P483" i="4" s="1"/>
  <c r="Q483" i="4" s="1"/>
  <c r="N484" i="4"/>
  <c r="P484" i="4" s="1"/>
  <c r="Q484" i="4" s="1"/>
  <c r="N485" i="4"/>
  <c r="P485" i="4" s="1"/>
  <c r="Q485" i="4" s="1"/>
  <c r="N486" i="4"/>
  <c r="P486" i="4" s="1"/>
  <c r="Q486" i="4" s="1"/>
  <c r="N487" i="4"/>
  <c r="P487" i="4" s="1"/>
  <c r="Q487" i="4" s="1"/>
  <c r="N488" i="4"/>
  <c r="P488" i="4" s="1"/>
  <c r="Q488" i="4" s="1"/>
  <c r="N489" i="4"/>
  <c r="P489" i="4" s="1"/>
  <c r="Q489" i="4" s="1"/>
  <c r="N490" i="4"/>
  <c r="P490" i="4" s="1"/>
  <c r="Q490" i="4" s="1"/>
  <c r="N491" i="4"/>
  <c r="P491" i="4" s="1"/>
  <c r="Q491" i="4" s="1"/>
  <c r="N492" i="4"/>
  <c r="P492" i="4" s="1"/>
  <c r="Q492" i="4" s="1"/>
  <c r="N493" i="4"/>
  <c r="P493" i="4" s="1"/>
  <c r="Q493" i="4" s="1"/>
  <c r="N494" i="4"/>
  <c r="P494" i="4" s="1"/>
  <c r="Q494" i="4" s="1"/>
  <c r="N495" i="4"/>
  <c r="P495" i="4" s="1"/>
  <c r="Q495" i="4" s="1"/>
  <c r="N496" i="4"/>
  <c r="P496" i="4" s="1"/>
  <c r="Q496" i="4" s="1"/>
  <c r="N497" i="4"/>
  <c r="P497" i="4" s="1"/>
  <c r="Q497" i="4" s="1"/>
  <c r="N498" i="4"/>
  <c r="P498" i="4" s="1"/>
  <c r="Q498" i="4" s="1"/>
  <c r="N499" i="4"/>
  <c r="P499" i="4" s="1"/>
  <c r="Q499" i="4" s="1"/>
  <c r="N500" i="4"/>
  <c r="P500" i="4" s="1"/>
  <c r="Q500" i="4" s="1"/>
  <c r="N501" i="4"/>
  <c r="P501" i="4" s="1"/>
  <c r="Q501" i="4" s="1"/>
  <c r="N502" i="4"/>
  <c r="P502" i="4" s="1"/>
  <c r="Q502" i="4" s="1"/>
  <c r="N503" i="4"/>
  <c r="P503" i="4" s="1"/>
  <c r="Q503" i="4" s="1"/>
  <c r="N504" i="4"/>
  <c r="P504" i="4" s="1"/>
  <c r="Q504" i="4" s="1"/>
  <c r="N505" i="4"/>
  <c r="P505" i="4" s="1"/>
  <c r="Q505" i="4" s="1"/>
  <c r="N506" i="4"/>
  <c r="P506" i="4" s="1"/>
  <c r="Q506" i="4" s="1"/>
  <c r="N507" i="4"/>
  <c r="P507" i="4" s="1"/>
  <c r="Q507" i="4" s="1"/>
  <c r="N508" i="4"/>
  <c r="P508" i="4" s="1"/>
  <c r="Q508" i="4" s="1"/>
  <c r="N509" i="4"/>
  <c r="P509" i="4" s="1"/>
  <c r="Q509" i="4" s="1"/>
  <c r="N510" i="4"/>
  <c r="P510" i="4" s="1"/>
  <c r="Q510" i="4" s="1"/>
  <c r="N511" i="4"/>
  <c r="P511" i="4" s="1"/>
  <c r="Q511" i="4" s="1"/>
  <c r="N512" i="4"/>
  <c r="P512" i="4" s="1"/>
  <c r="Q512" i="4" s="1"/>
  <c r="N513" i="4"/>
  <c r="P513" i="4" s="1"/>
  <c r="Q513" i="4" s="1"/>
  <c r="N514" i="4"/>
  <c r="P514" i="4" s="1"/>
  <c r="N2" i="4"/>
  <c r="P2" i="4" s="1"/>
  <c r="D526" i="3"/>
  <c r="E526" i="3"/>
  <c r="F526" i="3"/>
  <c r="G526" i="3"/>
  <c r="H526" i="3"/>
  <c r="I526" i="3"/>
  <c r="J526" i="3"/>
  <c r="K526" i="3"/>
  <c r="L526" i="3"/>
  <c r="C526" i="3"/>
  <c r="D525" i="3"/>
  <c r="E525" i="3"/>
  <c r="F525" i="3"/>
  <c r="G525" i="3"/>
  <c r="H525" i="3"/>
  <c r="I525" i="3"/>
  <c r="J525" i="3"/>
  <c r="K525" i="3"/>
  <c r="L525" i="3"/>
  <c r="C525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2" i="3"/>
  <c r="D526" i="2"/>
  <c r="E526" i="2"/>
  <c r="F526" i="2"/>
  <c r="G526" i="2"/>
  <c r="H526" i="2"/>
  <c r="I526" i="2"/>
  <c r="J526" i="2"/>
  <c r="K526" i="2"/>
  <c r="L526" i="2"/>
  <c r="C526" i="2"/>
  <c r="D525" i="2"/>
  <c r="E525" i="2"/>
  <c r="F525" i="2"/>
  <c r="G525" i="2"/>
  <c r="H525" i="2"/>
  <c r="I525" i="2"/>
  <c r="J525" i="2"/>
  <c r="K525" i="2"/>
  <c r="L525" i="2"/>
  <c r="C525" i="2"/>
  <c r="Q516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2" i="2"/>
  <c r="N3" i="2"/>
  <c r="N4" i="2"/>
  <c r="N5" i="2"/>
  <c r="N6" i="2"/>
  <c r="N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2" i="2"/>
  <c r="Q3" i="1"/>
  <c r="R3" i="1"/>
  <c r="S3" i="1"/>
  <c r="T3" i="1"/>
  <c r="U3" i="1"/>
  <c r="V3" i="1"/>
  <c r="W3" i="1"/>
  <c r="X3" i="1"/>
  <c r="Q4" i="1"/>
  <c r="R4" i="1"/>
  <c r="S4" i="1"/>
  <c r="T4" i="1"/>
  <c r="U4" i="1"/>
  <c r="V4" i="1"/>
  <c r="W4" i="1"/>
  <c r="X4" i="1"/>
  <c r="Q5" i="1"/>
  <c r="R5" i="1"/>
  <c r="S5" i="1"/>
  <c r="T5" i="1"/>
  <c r="U5" i="1"/>
  <c r="V5" i="1"/>
  <c r="W5" i="1"/>
  <c r="X5" i="1"/>
  <c r="Q6" i="1"/>
  <c r="R6" i="1"/>
  <c r="S6" i="1"/>
  <c r="T6" i="1"/>
  <c r="U6" i="1"/>
  <c r="V6" i="1"/>
  <c r="W6" i="1"/>
  <c r="X6" i="1"/>
  <c r="Q7" i="1"/>
  <c r="R7" i="1"/>
  <c r="S7" i="1"/>
  <c r="T7" i="1"/>
  <c r="U7" i="1"/>
  <c r="V7" i="1"/>
  <c r="W7" i="1"/>
  <c r="X7" i="1"/>
  <c r="Q8" i="1"/>
  <c r="R8" i="1"/>
  <c r="S8" i="1"/>
  <c r="T8" i="1"/>
  <c r="U8" i="1"/>
  <c r="V8" i="1"/>
  <c r="W8" i="1"/>
  <c r="X8" i="1"/>
  <c r="Q9" i="1"/>
  <c r="R9" i="1"/>
  <c r="S9" i="1"/>
  <c r="T9" i="1"/>
  <c r="U9" i="1"/>
  <c r="V9" i="1"/>
  <c r="W9" i="1"/>
  <c r="X9" i="1"/>
  <c r="Q10" i="1"/>
  <c r="R10" i="1"/>
  <c r="S10" i="1"/>
  <c r="T10" i="1"/>
  <c r="U10" i="1"/>
  <c r="V10" i="1"/>
  <c r="W10" i="1"/>
  <c r="X10" i="1"/>
  <c r="Q11" i="1"/>
  <c r="R11" i="1"/>
  <c r="S11" i="1"/>
  <c r="T11" i="1"/>
  <c r="U11" i="1"/>
  <c r="V11" i="1"/>
  <c r="W11" i="1"/>
  <c r="X11" i="1"/>
  <c r="Q12" i="1"/>
  <c r="R12" i="1"/>
  <c r="S12" i="1"/>
  <c r="T12" i="1"/>
  <c r="U12" i="1"/>
  <c r="V12" i="1"/>
  <c r="W12" i="1"/>
  <c r="X12" i="1"/>
  <c r="Q13" i="1"/>
  <c r="R13" i="1"/>
  <c r="S13" i="1"/>
  <c r="T13" i="1"/>
  <c r="U13" i="1"/>
  <c r="V13" i="1"/>
  <c r="W13" i="1"/>
  <c r="X13" i="1"/>
  <c r="Q14" i="1"/>
  <c r="R14" i="1"/>
  <c r="S14" i="1"/>
  <c r="T14" i="1"/>
  <c r="U14" i="1"/>
  <c r="V14" i="1"/>
  <c r="W14" i="1"/>
  <c r="X14" i="1"/>
  <c r="Q15" i="1"/>
  <c r="R15" i="1"/>
  <c r="S15" i="1"/>
  <c r="T15" i="1"/>
  <c r="U15" i="1"/>
  <c r="V15" i="1"/>
  <c r="W15" i="1"/>
  <c r="X15" i="1"/>
  <c r="Q16" i="1"/>
  <c r="R16" i="1"/>
  <c r="S16" i="1"/>
  <c r="T16" i="1"/>
  <c r="U16" i="1"/>
  <c r="V16" i="1"/>
  <c r="W16" i="1"/>
  <c r="X16" i="1"/>
  <c r="Q17" i="1"/>
  <c r="R17" i="1"/>
  <c r="S17" i="1"/>
  <c r="T17" i="1"/>
  <c r="U17" i="1"/>
  <c r="V17" i="1"/>
  <c r="W17" i="1"/>
  <c r="X17" i="1"/>
  <c r="Q18" i="1"/>
  <c r="R18" i="1"/>
  <c r="S18" i="1"/>
  <c r="T18" i="1"/>
  <c r="U18" i="1"/>
  <c r="V18" i="1"/>
  <c r="W18" i="1"/>
  <c r="X18" i="1"/>
  <c r="Q19" i="1"/>
  <c r="R19" i="1"/>
  <c r="S19" i="1"/>
  <c r="T19" i="1"/>
  <c r="U19" i="1"/>
  <c r="V19" i="1"/>
  <c r="W19" i="1"/>
  <c r="X19" i="1"/>
  <c r="Q20" i="1"/>
  <c r="R20" i="1"/>
  <c r="S20" i="1"/>
  <c r="T20" i="1"/>
  <c r="U20" i="1"/>
  <c r="V20" i="1"/>
  <c r="W20" i="1"/>
  <c r="X20" i="1"/>
  <c r="Q21" i="1"/>
  <c r="R21" i="1"/>
  <c r="S21" i="1"/>
  <c r="T21" i="1"/>
  <c r="U21" i="1"/>
  <c r="V21" i="1"/>
  <c r="W21" i="1"/>
  <c r="X21" i="1"/>
  <c r="Q22" i="1"/>
  <c r="R22" i="1"/>
  <c r="S22" i="1"/>
  <c r="T22" i="1"/>
  <c r="U22" i="1"/>
  <c r="V22" i="1"/>
  <c r="W22" i="1"/>
  <c r="X22" i="1"/>
  <c r="Q23" i="1"/>
  <c r="R23" i="1"/>
  <c r="S23" i="1"/>
  <c r="T23" i="1"/>
  <c r="U23" i="1"/>
  <c r="V23" i="1"/>
  <c r="W23" i="1"/>
  <c r="X23" i="1"/>
  <c r="Q24" i="1"/>
  <c r="R24" i="1"/>
  <c r="S24" i="1"/>
  <c r="T24" i="1"/>
  <c r="U24" i="1"/>
  <c r="V24" i="1"/>
  <c r="W24" i="1"/>
  <c r="X24" i="1"/>
  <c r="Q25" i="1"/>
  <c r="R25" i="1"/>
  <c r="S25" i="1"/>
  <c r="T25" i="1"/>
  <c r="U25" i="1"/>
  <c r="V25" i="1"/>
  <c r="W25" i="1"/>
  <c r="X25" i="1"/>
  <c r="Q26" i="1"/>
  <c r="R26" i="1"/>
  <c r="S26" i="1"/>
  <c r="T26" i="1"/>
  <c r="U26" i="1"/>
  <c r="V26" i="1"/>
  <c r="W26" i="1"/>
  <c r="X26" i="1"/>
  <c r="Q27" i="1"/>
  <c r="R27" i="1"/>
  <c r="S27" i="1"/>
  <c r="T27" i="1"/>
  <c r="U27" i="1"/>
  <c r="V27" i="1"/>
  <c r="W27" i="1"/>
  <c r="X27" i="1"/>
  <c r="Q28" i="1"/>
  <c r="R28" i="1"/>
  <c r="S28" i="1"/>
  <c r="T28" i="1"/>
  <c r="U28" i="1"/>
  <c r="V28" i="1"/>
  <c r="W28" i="1"/>
  <c r="X28" i="1"/>
  <c r="Q29" i="1"/>
  <c r="R29" i="1"/>
  <c r="S29" i="1"/>
  <c r="T29" i="1"/>
  <c r="U29" i="1"/>
  <c r="V29" i="1"/>
  <c r="W29" i="1"/>
  <c r="X29" i="1"/>
  <c r="Q30" i="1"/>
  <c r="R30" i="1"/>
  <c r="S30" i="1"/>
  <c r="T30" i="1"/>
  <c r="U30" i="1"/>
  <c r="V30" i="1"/>
  <c r="W30" i="1"/>
  <c r="X30" i="1"/>
  <c r="Q31" i="1"/>
  <c r="R31" i="1"/>
  <c r="S31" i="1"/>
  <c r="T31" i="1"/>
  <c r="U31" i="1"/>
  <c r="V31" i="1"/>
  <c r="W31" i="1"/>
  <c r="X31" i="1"/>
  <c r="Q32" i="1"/>
  <c r="R32" i="1"/>
  <c r="S32" i="1"/>
  <c r="T32" i="1"/>
  <c r="U32" i="1"/>
  <c r="V32" i="1"/>
  <c r="W32" i="1"/>
  <c r="X32" i="1"/>
  <c r="Q33" i="1"/>
  <c r="R33" i="1"/>
  <c r="S33" i="1"/>
  <c r="T33" i="1"/>
  <c r="U33" i="1"/>
  <c r="V33" i="1"/>
  <c r="W33" i="1"/>
  <c r="X33" i="1"/>
  <c r="Q34" i="1"/>
  <c r="R34" i="1"/>
  <c r="S34" i="1"/>
  <c r="T34" i="1"/>
  <c r="U34" i="1"/>
  <c r="V34" i="1"/>
  <c r="W34" i="1"/>
  <c r="X34" i="1"/>
  <c r="Q35" i="1"/>
  <c r="R35" i="1"/>
  <c r="S35" i="1"/>
  <c r="T35" i="1"/>
  <c r="U35" i="1"/>
  <c r="V35" i="1"/>
  <c r="W35" i="1"/>
  <c r="X35" i="1"/>
  <c r="Q36" i="1"/>
  <c r="R36" i="1"/>
  <c r="S36" i="1"/>
  <c r="T36" i="1"/>
  <c r="U36" i="1"/>
  <c r="V36" i="1"/>
  <c r="W36" i="1"/>
  <c r="X36" i="1"/>
  <c r="Q37" i="1"/>
  <c r="R37" i="1"/>
  <c r="S37" i="1"/>
  <c r="T37" i="1"/>
  <c r="U37" i="1"/>
  <c r="V37" i="1"/>
  <c r="W37" i="1"/>
  <c r="X37" i="1"/>
  <c r="Q38" i="1"/>
  <c r="R38" i="1"/>
  <c r="S38" i="1"/>
  <c r="T38" i="1"/>
  <c r="U38" i="1"/>
  <c r="V38" i="1"/>
  <c r="W38" i="1"/>
  <c r="X38" i="1"/>
  <c r="Q39" i="1"/>
  <c r="R39" i="1"/>
  <c r="S39" i="1"/>
  <c r="T39" i="1"/>
  <c r="U39" i="1"/>
  <c r="V39" i="1"/>
  <c r="W39" i="1"/>
  <c r="X39" i="1"/>
  <c r="Q40" i="1"/>
  <c r="R40" i="1"/>
  <c r="S40" i="1"/>
  <c r="T40" i="1"/>
  <c r="U40" i="1"/>
  <c r="V40" i="1"/>
  <c r="W40" i="1"/>
  <c r="X40" i="1"/>
  <c r="Q41" i="1"/>
  <c r="R41" i="1"/>
  <c r="S41" i="1"/>
  <c r="T41" i="1"/>
  <c r="U41" i="1"/>
  <c r="V41" i="1"/>
  <c r="W41" i="1"/>
  <c r="X41" i="1"/>
  <c r="Q42" i="1"/>
  <c r="R42" i="1"/>
  <c r="S42" i="1"/>
  <c r="T42" i="1"/>
  <c r="U42" i="1"/>
  <c r="V42" i="1"/>
  <c r="W42" i="1"/>
  <c r="X42" i="1"/>
  <c r="Q43" i="1"/>
  <c r="R43" i="1"/>
  <c r="S43" i="1"/>
  <c r="T43" i="1"/>
  <c r="U43" i="1"/>
  <c r="V43" i="1"/>
  <c r="W43" i="1"/>
  <c r="X43" i="1"/>
  <c r="Q44" i="1"/>
  <c r="R44" i="1"/>
  <c r="S44" i="1"/>
  <c r="T44" i="1"/>
  <c r="U44" i="1"/>
  <c r="V44" i="1"/>
  <c r="W44" i="1"/>
  <c r="X44" i="1"/>
  <c r="Q45" i="1"/>
  <c r="R45" i="1"/>
  <c r="S45" i="1"/>
  <c r="T45" i="1"/>
  <c r="U45" i="1"/>
  <c r="V45" i="1"/>
  <c r="W45" i="1"/>
  <c r="X45" i="1"/>
  <c r="Q46" i="1"/>
  <c r="R46" i="1"/>
  <c r="S46" i="1"/>
  <c r="T46" i="1"/>
  <c r="U46" i="1"/>
  <c r="V46" i="1"/>
  <c r="W46" i="1"/>
  <c r="X46" i="1"/>
  <c r="Q47" i="1"/>
  <c r="R47" i="1"/>
  <c r="S47" i="1"/>
  <c r="T47" i="1"/>
  <c r="U47" i="1"/>
  <c r="V47" i="1"/>
  <c r="W47" i="1"/>
  <c r="X47" i="1"/>
  <c r="Q48" i="1"/>
  <c r="R48" i="1"/>
  <c r="S48" i="1"/>
  <c r="T48" i="1"/>
  <c r="U48" i="1"/>
  <c r="V48" i="1"/>
  <c r="W48" i="1"/>
  <c r="X48" i="1"/>
  <c r="Q49" i="1"/>
  <c r="R49" i="1"/>
  <c r="S49" i="1"/>
  <c r="T49" i="1"/>
  <c r="U49" i="1"/>
  <c r="V49" i="1"/>
  <c r="W49" i="1"/>
  <c r="X49" i="1"/>
  <c r="Q50" i="1"/>
  <c r="R50" i="1"/>
  <c r="S50" i="1"/>
  <c r="T50" i="1"/>
  <c r="U50" i="1"/>
  <c r="V50" i="1"/>
  <c r="W50" i="1"/>
  <c r="X50" i="1"/>
  <c r="Q51" i="1"/>
  <c r="R51" i="1"/>
  <c r="S51" i="1"/>
  <c r="T51" i="1"/>
  <c r="U51" i="1"/>
  <c r="V51" i="1"/>
  <c r="W51" i="1"/>
  <c r="X51" i="1"/>
  <c r="Q52" i="1"/>
  <c r="R52" i="1"/>
  <c r="S52" i="1"/>
  <c r="T52" i="1"/>
  <c r="U52" i="1"/>
  <c r="V52" i="1"/>
  <c r="W52" i="1"/>
  <c r="X52" i="1"/>
  <c r="Q53" i="1"/>
  <c r="R53" i="1"/>
  <c r="S53" i="1"/>
  <c r="T53" i="1"/>
  <c r="U53" i="1"/>
  <c r="V53" i="1"/>
  <c r="W53" i="1"/>
  <c r="X53" i="1"/>
  <c r="Q54" i="1"/>
  <c r="R54" i="1"/>
  <c r="S54" i="1"/>
  <c r="T54" i="1"/>
  <c r="U54" i="1"/>
  <c r="V54" i="1"/>
  <c r="W54" i="1"/>
  <c r="X54" i="1"/>
  <c r="Q55" i="1"/>
  <c r="R55" i="1"/>
  <c r="S55" i="1"/>
  <c r="T55" i="1"/>
  <c r="U55" i="1"/>
  <c r="V55" i="1"/>
  <c r="W55" i="1"/>
  <c r="X55" i="1"/>
  <c r="Q56" i="1"/>
  <c r="R56" i="1"/>
  <c r="S56" i="1"/>
  <c r="T56" i="1"/>
  <c r="U56" i="1"/>
  <c r="V56" i="1"/>
  <c r="W56" i="1"/>
  <c r="X56" i="1"/>
  <c r="Q57" i="1"/>
  <c r="R57" i="1"/>
  <c r="S57" i="1"/>
  <c r="T57" i="1"/>
  <c r="U57" i="1"/>
  <c r="V57" i="1"/>
  <c r="W57" i="1"/>
  <c r="X57" i="1"/>
  <c r="Q58" i="1"/>
  <c r="R58" i="1"/>
  <c r="S58" i="1"/>
  <c r="T58" i="1"/>
  <c r="U58" i="1"/>
  <c r="V58" i="1"/>
  <c r="W58" i="1"/>
  <c r="X58" i="1"/>
  <c r="Q59" i="1"/>
  <c r="R59" i="1"/>
  <c r="S59" i="1"/>
  <c r="T59" i="1"/>
  <c r="U59" i="1"/>
  <c r="V59" i="1"/>
  <c r="W59" i="1"/>
  <c r="X59" i="1"/>
  <c r="Q60" i="1"/>
  <c r="R60" i="1"/>
  <c r="S60" i="1"/>
  <c r="T60" i="1"/>
  <c r="U60" i="1"/>
  <c r="V60" i="1"/>
  <c r="W60" i="1"/>
  <c r="X60" i="1"/>
  <c r="Q61" i="1"/>
  <c r="R61" i="1"/>
  <c r="S61" i="1"/>
  <c r="T61" i="1"/>
  <c r="U61" i="1"/>
  <c r="V61" i="1"/>
  <c r="W61" i="1"/>
  <c r="X61" i="1"/>
  <c r="Q62" i="1"/>
  <c r="R62" i="1"/>
  <c r="S62" i="1"/>
  <c r="T62" i="1"/>
  <c r="U62" i="1"/>
  <c r="V62" i="1"/>
  <c r="W62" i="1"/>
  <c r="X62" i="1"/>
  <c r="Q63" i="1"/>
  <c r="R63" i="1"/>
  <c r="S63" i="1"/>
  <c r="T63" i="1"/>
  <c r="U63" i="1"/>
  <c r="V63" i="1"/>
  <c r="W63" i="1"/>
  <c r="X63" i="1"/>
  <c r="Q64" i="1"/>
  <c r="R64" i="1"/>
  <c r="S64" i="1"/>
  <c r="T64" i="1"/>
  <c r="U64" i="1"/>
  <c r="V64" i="1"/>
  <c r="W64" i="1"/>
  <c r="X64" i="1"/>
  <c r="Q65" i="1"/>
  <c r="R65" i="1"/>
  <c r="S65" i="1"/>
  <c r="T65" i="1"/>
  <c r="U65" i="1"/>
  <c r="V65" i="1"/>
  <c r="W65" i="1"/>
  <c r="X65" i="1"/>
  <c r="Q66" i="1"/>
  <c r="R66" i="1"/>
  <c r="S66" i="1"/>
  <c r="T66" i="1"/>
  <c r="U66" i="1"/>
  <c r="V66" i="1"/>
  <c r="W66" i="1"/>
  <c r="X66" i="1"/>
  <c r="Q67" i="1"/>
  <c r="R67" i="1"/>
  <c r="S67" i="1"/>
  <c r="T67" i="1"/>
  <c r="U67" i="1"/>
  <c r="V67" i="1"/>
  <c r="W67" i="1"/>
  <c r="X67" i="1"/>
  <c r="Q68" i="1"/>
  <c r="R68" i="1"/>
  <c r="S68" i="1"/>
  <c r="T68" i="1"/>
  <c r="U68" i="1"/>
  <c r="V68" i="1"/>
  <c r="W68" i="1"/>
  <c r="X68" i="1"/>
  <c r="Q69" i="1"/>
  <c r="R69" i="1"/>
  <c r="S69" i="1"/>
  <c r="T69" i="1"/>
  <c r="U69" i="1"/>
  <c r="V69" i="1"/>
  <c r="W69" i="1"/>
  <c r="X69" i="1"/>
  <c r="Q70" i="1"/>
  <c r="R70" i="1"/>
  <c r="S70" i="1"/>
  <c r="T70" i="1"/>
  <c r="U70" i="1"/>
  <c r="V70" i="1"/>
  <c r="W70" i="1"/>
  <c r="X70" i="1"/>
  <c r="Q71" i="1"/>
  <c r="R71" i="1"/>
  <c r="S71" i="1"/>
  <c r="T71" i="1"/>
  <c r="U71" i="1"/>
  <c r="V71" i="1"/>
  <c r="W71" i="1"/>
  <c r="X71" i="1"/>
  <c r="Q72" i="1"/>
  <c r="R72" i="1"/>
  <c r="S72" i="1"/>
  <c r="T72" i="1"/>
  <c r="U72" i="1"/>
  <c r="V72" i="1"/>
  <c r="W72" i="1"/>
  <c r="X72" i="1"/>
  <c r="Q73" i="1"/>
  <c r="R73" i="1"/>
  <c r="S73" i="1"/>
  <c r="T73" i="1"/>
  <c r="U73" i="1"/>
  <c r="V73" i="1"/>
  <c r="W73" i="1"/>
  <c r="X73" i="1"/>
  <c r="Q74" i="1"/>
  <c r="R74" i="1"/>
  <c r="S74" i="1"/>
  <c r="T74" i="1"/>
  <c r="U74" i="1"/>
  <c r="V74" i="1"/>
  <c r="W74" i="1"/>
  <c r="X74" i="1"/>
  <c r="Q75" i="1"/>
  <c r="R75" i="1"/>
  <c r="S75" i="1"/>
  <c r="T75" i="1"/>
  <c r="U75" i="1"/>
  <c r="V75" i="1"/>
  <c r="W75" i="1"/>
  <c r="X75" i="1"/>
  <c r="Q76" i="1"/>
  <c r="R76" i="1"/>
  <c r="S76" i="1"/>
  <c r="T76" i="1"/>
  <c r="U76" i="1"/>
  <c r="V76" i="1"/>
  <c r="W76" i="1"/>
  <c r="X76" i="1"/>
  <c r="Q77" i="1"/>
  <c r="R77" i="1"/>
  <c r="S77" i="1"/>
  <c r="T77" i="1"/>
  <c r="U77" i="1"/>
  <c r="V77" i="1"/>
  <c r="W77" i="1"/>
  <c r="X77" i="1"/>
  <c r="Q78" i="1"/>
  <c r="R78" i="1"/>
  <c r="S78" i="1"/>
  <c r="T78" i="1"/>
  <c r="U78" i="1"/>
  <c r="V78" i="1"/>
  <c r="W78" i="1"/>
  <c r="X78" i="1"/>
  <c r="Q79" i="1"/>
  <c r="R79" i="1"/>
  <c r="S79" i="1"/>
  <c r="T79" i="1"/>
  <c r="U79" i="1"/>
  <c r="V79" i="1"/>
  <c r="W79" i="1"/>
  <c r="X79" i="1"/>
  <c r="Q80" i="1"/>
  <c r="R80" i="1"/>
  <c r="S80" i="1"/>
  <c r="T80" i="1"/>
  <c r="U80" i="1"/>
  <c r="V80" i="1"/>
  <c r="W80" i="1"/>
  <c r="X80" i="1"/>
  <c r="Q81" i="1"/>
  <c r="R81" i="1"/>
  <c r="S81" i="1"/>
  <c r="T81" i="1"/>
  <c r="U81" i="1"/>
  <c r="V81" i="1"/>
  <c r="W81" i="1"/>
  <c r="X81" i="1"/>
  <c r="Q82" i="1"/>
  <c r="R82" i="1"/>
  <c r="S82" i="1"/>
  <c r="T82" i="1"/>
  <c r="U82" i="1"/>
  <c r="V82" i="1"/>
  <c r="W82" i="1"/>
  <c r="X82" i="1"/>
  <c r="Q83" i="1"/>
  <c r="R83" i="1"/>
  <c r="S83" i="1"/>
  <c r="T83" i="1"/>
  <c r="U83" i="1"/>
  <c r="V83" i="1"/>
  <c r="W83" i="1"/>
  <c r="X83" i="1"/>
  <c r="Q84" i="1"/>
  <c r="R84" i="1"/>
  <c r="S84" i="1"/>
  <c r="T84" i="1"/>
  <c r="U84" i="1"/>
  <c r="V84" i="1"/>
  <c r="W84" i="1"/>
  <c r="X84" i="1"/>
  <c r="Q85" i="1"/>
  <c r="R85" i="1"/>
  <c r="S85" i="1"/>
  <c r="T85" i="1"/>
  <c r="U85" i="1"/>
  <c r="V85" i="1"/>
  <c r="W85" i="1"/>
  <c r="X85" i="1"/>
  <c r="Q86" i="1"/>
  <c r="R86" i="1"/>
  <c r="S86" i="1"/>
  <c r="T86" i="1"/>
  <c r="U86" i="1"/>
  <c r="V86" i="1"/>
  <c r="W86" i="1"/>
  <c r="X86" i="1"/>
  <c r="Q87" i="1"/>
  <c r="R87" i="1"/>
  <c r="S87" i="1"/>
  <c r="T87" i="1"/>
  <c r="U87" i="1"/>
  <c r="V87" i="1"/>
  <c r="W87" i="1"/>
  <c r="X87" i="1"/>
  <c r="Q88" i="1"/>
  <c r="R88" i="1"/>
  <c r="S88" i="1"/>
  <c r="T88" i="1"/>
  <c r="U88" i="1"/>
  <c r="V88" i="1"/>
  <c r="W88" i="1"/>
  <c r="X88" i="1"/>
  <c r="Q89" i="1"/>
  <c r="R89" i="1"/>
  <c r="S89" i="1"/>
  <c r="T89" i="1"/>
  <c r="U89" i="1"/>
  <c r="V89" i="1"/>
  <c r="W89" i="1"/>
  <c r="X89" i="1"/>
  <c r="Q90" i="1"/>
  <c r="R90" i="1"/>
  <c r="S90" i="1"/>
  <c r="T90" i="1"/>
  <c r="U90" i="1"/>
  <c r="V90" i="1"/>
  <c r="W90" i="1"/>
  <c r="X90" i="1"/>
  <c r="Q91" i="1"/>
  <c r="R91" i="1"/>
  <c r="S91" i="1"/>
  <c r="T91" i="1"/>
  <c r="U91" i="1"/>
  <c r="V91" i="1"/>
  <c r="W91" i="1"/>
  <c r="X91" i="1"/>
  <c r="Q92" i="1"/>
  <c r="R92" i="1"/>
  <c r="S92" i="1"/>
  <c r="T92" i="1"/>
  <c r="U92" i="1"/>
  <c r="V92" i="1"/>
  <c r="W92" i="1"/>
  <c r="X92" i="1"/>
  <c r="Q93" i="1"/>
  <c r="R93" i="1"/>
  <c r="S93" i="1"/>
  <c r="T93" i="1"/>
  <c r="U93" i="1"/>
  <c r="V93" i="1"/>
  <c r="W93" i="1"/>
  <c r="X93" i="1"/>
  <c r="Q94" i="1"/>
  <c r="R94" i="1"/>
  <c r="S94" i="1"/>
  <c r="T94" i="1"/>
  <c r="U94" i="1"/>
  <c r="V94" i="1"/>
  <c r="W94" i="1"/>
  <c r="X94" i="1"/>
  <c r="Q95" i="1"/>
  <c r="R95" i="1"/>
  <c r="S95" i="1"/>
  <c r="T95" i="1"/>
  <c r="U95" i="1"/>
  <c r="V95" i="1"/>
  <c r="W95" i="1"/>
  <c r="X95" i="1"/>
  <c r="Q96" i="1"/>
  <c r="R96" i="1"/>
  <c r="S96" i="1"/>
  <c r="T96" i="1"/>
  <c r="U96" i="1"/>
  <c r="V96" i="1"/>
  <c r="W96" i="1"/>
  <c r="X96" i="1"/>
  <c r="Q97" i="1"/>
  <c r="R97" i="1"/>
  <c r="S97" i="1"/>
  <c r="T97" i="1"/>
  <c r="U97" i="1"/>
  <c r="V97" i="1"/>
  <c r="W97" i="1"/>
  <c r="X97" i="1"/>
  <c r="Q98" i="1"/>
  <c r="R98" i="1"/>
  <c r="S98" i="1"/>
  <c r="T98" i="1"/>
  <c r="U98" i="1"/>
  <c r="V98" i="1"/>
  <c r="W98" i="1"/>
  <c r="X98" i="1"/>
  <c r="Q99" i="1"/>
  <c r="R99" i="1"/>
  <c r="S99" i="1"/>
  <c r="T99" i="1"/>
  <c r="U99" i="1"/>
  <c r="V99" i="1"/>
  <c r="W99" i="1"/>
  <c r="X99" i="1"/>
  <c r="Q100" i="1"/>
  <c r="R100" i="1"/>
  <c r="S100" i="1"/>
  <c r="T100" i="1"/>
  <c r="U100" i="1"/>
  <c r="V100" i="1"/>
  <c r="W100" i="1"/>
  <c r="X100" i="1"/>
  <c r="Q101" i="1"/>
  <c r="R101" i="1"/>
  <c r="S101" i="1"/>
  <c r="T101" i="1"/>
  <c r="U101" i="1"/>
  <c r="V101" i="1"/>
  <c r="W101" i="1"/>
  <c r="X101" i="1"/>
  <c r="Q102" i="1"/>
  <c r="R102" i="1"/>
  <c r="S102" i="1"/>
  <c r="T102" i="1"/>
  <c r="U102" i="1"/>
  <c r="V102" i="1"/>
  <c r="W102" i="1"/>
  <c r="X102" i="1"/>
  <c r="Q103" i="1"/>
  <c r="R103" i="1"/>
  <c r="S103" i="1"/>
  <c r="T103" i="1"/>
  <c r="U103" i="1"/>
  <c r="V103" i="1"/>
  <c r="W103" i="1"/>
  <c r="X103" i="1"/>
  <c r="Q104" i="1"/>
  <c r="R104" i="1"/>
  <c r="S104" i="1"/>
  <c r="T104" i="1"/>
  <c r="U104" i="1"/>
  <c r="V104" i="1"/>
  <c r="W104" i="1"/>
  <c r="X104" i="1"/>
  <c r="Q105" i="1"/>
  <c r="R105" i="1"/>
  <c r="S105" i="1"/>
  <c r="T105" i="1"/>
  <c r="U105" i="1"/>
  <c r="V105" i="1"/>
  <c r="W105" i="1"/>
  <c r="X105" i="1"/>
  <c r="Q106" i="1"/>
  <c r="R106" i="1"/>
  <c r="S106" i="1"/>
  <c r="T106" i="1"/>
  <c r="U106" i="1"/>
  <c r="V106" i="1"/>
  <c r="W106" i="1"/>
  <c r="X106" i="1"/>
  <c r="Q107" i="1"/>
  <c r="R107" i="1"/>
  <c r="S107" i="1"/>
  <c r="T107" i="1"/>
  <c r="U107" i="1"/>
  <c r="V107" i="1"/>
  <c r="W107" i="1"/>
  <c r="X107" i="1"/>
  <c r="Q108" i="1"/>
  <c r="R108" i="1"/>
  <c r="S108" i="1"/>
  <c r="T108" i="1"/>
  <c r="U108" i="1"/>
  <c r="V108" i="1"/>
  <c r="W108" i="1"/>
  <c r="X108" i="1"/>
  <c r="Q109" i="1"/>
  <c r="R109" i="1"/>
  <c r="S109" i="1"/>
  <c r="T109" i="1"/>
  <c r="U109" i="1"/>
  <c r="V109" i="1"/>
  <c r="W109" i="1"/>
  <c r="X109" i="1"/>
  <c r="Q110" i="1"/>
  <c r="R110" i="1"/>
  <c r="S110" i="1"/>
  <c r="T110" i="1"/>
  <c r="U110" i="1"/>
  <c r="V110" i="1"/>
  <c r="W110" i="1"/>
  <c r="X110" i="1"/>
  <c r="Q111" i="1"/>
  <c r="R111" i="1"/>
  <c r="S111" i="1"/>
  <c r="T111" i="1"/>
  <c r="U111" i="1"/>
  <c r="V111" i="1"/>
  <c r="W111" i="1"/>
  <c r="X111" i="1"/>
  <c r="Q112" i="1"/>
  <c r="R112" i="1"/>
  <c r="S112" i="1"/>
  <c r="T112" i="1"/>
  <c r="U112" i="1"/>
  <c r="V112" i="1"/>
  <c r="W112" i="1"/>
  <c r="X112" i="1"/>
  <c r="Q113" i="1"/>
  <c r="R113" i="1"/>
  <c r="S113" i="1"/>
  <c r="T113" i="1"/>
  <c r="U113" i="1"/>
  <c r="V113" i="1"/>
  <c r="W113" i="1"/>
  <c r="X113" i="1"/>
  <c r="Q114" i="1"/>
  <c r="R114" i="1"/>
  <c r="S114" i="1"/>
  <c r="T114" i="1"/>
  <c r="U114" i="1"/>
  <c r="V114" i="1"/>
  <c r="W114" i="1"/>
  <c r="X114" i="1"/>
  <c r="Q115" i="1"/>
  <c r="R115" i="1"/>
  <c r="S115" i="1"/>
  <c r="T115" i="1"/>
  <c r="U115" i="1"/>
  <c r="V115" i="1"/>
  <c r="W115" i="1"/>
  <c r="X115" i="1"/>
  <c r="Q116" i="1"/>
  <c r="R116" i="1"/>
  <c r="S116" i="1"/>
  <c r="T116" i="1"/>
  <c r="U116" i="1"/>
  <c r="V116" i="1"/>
  <c r="W116" i="1"/>
  <c r="X116" i="1"/>
  <c r="Q117" i="1"/>
  <c r="R117" i="1"/>
  <c r="S117" i="1"/>
  <c r="T117" i="1"/>
  <c r="U117" i="1"/>
  <c r="V117" i="1"/>
  <c r="W117" i="1"/>
  <c r="X117" i="1"/>
  <c r="Q118" i="1"/>
  <c r="R118" i="1"/>
  <c r="S118" i="1"/>
  <c r="T118" i="1"/>
  <c r="U118" i="1"/>
  <c r="V118" i="1"/>
  <c r="W118" i="1"/>
  <c r="X118" i="1"/>
  <c r="Q119" i="1"/>
  <c r="R119" i="1"/>
  <c r="S119" i="1"/>
  <c r="T119" i="1"/>
  <c r="U119" i="1"/>
  <c r="V119" i="1"/>
  <c r="W119" i="1"/>
  <c r="X119" i="1"/>
  <c r="Q120" i="1"/>
  <c r="R120" i="1"/>
  <c r="S120" i="1"/>
  <c r="T120" i="1"/>
  <c r="U120" i="1"/>
  <c r="V120" i="1"/>
  <c r="W120" i="1"/>
  <c r="X120" i="1"/>
  <c r="Q121" i="1"/>
  <c r="R121" i="1"/>
  <c r="S121" i="1"/>
  <c r="T121" i="1"/>
  <c r="U121" i="1"/>
  <c r="V121" i="1"/>
  <c r="W121" i="1"/>
  <c r="X121" i="1"/>
  <c r="Q122" i="1"/>
  <c r="R122" i="1"/>
  <c r="S122" i="1"/>
  <c r="T122" i="1"/>
  <c r="U122" i="1"/>
  <c r="V122" i="1"/>
  <c r="W122" i="1"/>
  <c r="X122" i="1"/>
  <c r="Q123" i="1"/>
  <c r="R123" i="1"/>
  <c r="S123" i="1"/>
  <c r="T123" i="1"/>
  <c r="U123" i="1"/>
  <c r="V123" i="1"/>
  <c r="W123" i="1"/>
  <c r="X123" i="1"/>
  <c r="Q124" i="1"/>
  <c r="R124" i="1"/>
  <c r="S124" i="1"/>
  <c r="T124" i="1"/>
  <c r="U124" i="1"/>
  <c r="V124" i="1"/>
  <c r="W124" i="1"/>
  <c r="X124" i="1"/>
  <c r="Q125" i="1"/>
  <c r="R125" i="1"/>
  <c r="S125" i="1"/>
  <c r="T125" i="1"/>
  <c r="U125" i="1"/>
  <c r="V125" i="1"/>
  <c r="W125" i="1"/>
  <c r="X125" i="1"/>
  <c r="Q126" i="1"/>
  <c r="R126" i="1"/>
  <c r="S126" i="1"/>
  <c r="T126" i="1"/>
  <c r="U126" i="1"/>
  <c r="V126" i="1"/>
  <c r="W126" i="1"/>
  <c r="X126" i="1"/>
  <c r="Q127" i="1"/>
  <c r="R127" i="1"/>
  <c r="S127" i="1"/>
  <c r="T127" i="1"/>
  <c r="U127" i="1"/>
  <c r="V127" i="1"/>
  <c r="W127" i="1"/>
  <c r="X127" i="1"/>
  <c r="Q128" i="1"/>
  <c r="R128" i="1"/>
  <c r="S128" i="1"/>
  <c r="T128" i="1"/>
  <c r="U128" i="1"/>
  <c r="V128" i="1"/>
  <c r="W128" i="1"/>
  <c r="X128" i="1"/>
  <c r="Q129" i="1"/>
  <c r="R129" i="1"/>
  <c r="S129" i="1"/>
  <c r="T129" i="1"/>
  <c r="U129" i="1"/>
  <c r="V129" i="1"/>
  <c r="W129" i="1"/>
  <c r="X129" i="1"/>
  <c r="Q130" i="1"/>
  <c r="R130" i="1"/>
  <c r="S130" i="1"/>
  <c r="T130" i="1"/>
  <c r="U130" i="1"/>
  <c r="V130" i="1"/>
  <c r="W130" i="1"/>
  <c r="X130" i="1"/>
  <c r="Q131" i="1"/>
  <c r="R131" i="1"/>
  <c r="S131" i="1"/>
  <c r="T131" i="1"/>
  <c r="U131" i="1"/>
  <c r="V131" i="1"/>
  <c r="W131" i="1"/>
  <c r="X131" i="1"/>
  <c r="Q132" i="1"/>
  <c r="R132" i="1"/>
  <c r="S132" i="1"/>
  <c r="T132" i="1"/>
  <c r="U132" i="1"/>
  <c r="V132" i="1"/>
  <c r="W132" i="1"/>
  <c r="X132" i="1"/>
  <c r="Q133" i="1"/>
  <c r="R133" i="1"/>
  <c r="S133" i="1"/>
  <c r="T133" i="1"/>
  <c r="U133" i="1"/>
  <c r="V133" i="1"/>
  <c r="W133" i="1"/>
  <c r="X133" i="1"/>
  <c r="Q134" i="1"/>
  <c r="R134" i="1"/>
  <c r="S134" i="1"/>
  <c r="T134" i="1"/>
  <c r="U134" i="1"/>
  <c r="V134" i="1"/>
  <c r="W134" i="1"/>
  <c r="X134" i="1"/>
  <c r="Q135" i="1"/>
  <c r="R135" i="1"/>
  <c r="S135" i="1"/>
  <c r="T135" i="1"/>
  <c r="U135" i="1"/>
  <c r="V135" i="1"/>
  <c r="W135" i="1"/>
  <c r="X135" i="1"/>
  <c r="Q136" i="1"/>
  <c r="R136" i="1"/>
  <c r="S136" i="1"/>
  <c r="T136" i="1"/>
  <c r="U136" i="1"/>
  <c r="V136" i="1"/>
  <c r="W136" i="1"/>
  <c r="X136" i="1"/>
  <c r="Q137" i="1"/>
  <c r="R137" i="1"/>
  <c r="S137" i="1"/>
  <c r="T137" i="1"/>
  <c r="U137" i="1"/>
  <c r="V137" i="1"/>
  <c r="W137" i="1"/>
  <c r="X137" i="1"/>
  <c r="Q138" i="1"/>
  <c r="R138" i="1"/>
  <c r="S138" i="1"/>
  <c r="T138" i="1"/>
  <c r="U138" i="1"/>
  <c r="V138" i="1"/>
  <c r="W138" i="1"/>
  <c r="X138" i="1"/>
  <c r="Q139" i="1"/>
  <c r="R139" i="1"/>
  <c r="S139" i="1"/>
  <c r="T139" i="1"/>
  <c r="U139" i="1"/>
  <c r="V139" i="1"/>
  <c r="W139" i="1"/>
  <c r="X139" i="1"/>
  <c r="Q140" i="1"/>
  <c r="R140" i="1"/>
  <c r="S140" i="1"/>
  <c r="T140" i="1"/>
  <c r="U140" i="1"/>
  <c r="V140" i="1"/>
  <c r="W140" i="1"/>
  <c r="X140" i="1"/>
  <c r="Q141" i="1"/>
  <c r="R141" i="1"/>
  <c r="S141" i="1"/>
  <c r="T141" i="1"/>
  <c r="U141" i="1"/>
  <c r="V141" i="1"/>
  <c r="W141" i="1"/>
  <c r="X141" i="1"/>
  <c r="Q142" i="1"/>
  <c r="R142" i="1"/>
  <c r="S142" i="1"/>
  <c r="T142" i="1"/>
  <c r="U142" i="1"/>
  <c r="V142" i="1"/>
  <c r="W142" i="1"/>
  <c r="X142" i="1"/>
  <c r="Q143" i="1"/>
  <c r="R143" i="1"/>
  <c r="S143" i="1"/>
  <c r="T143" i="1"/>
  <c r="U143" i="1"/>
  <c r="V143" i="1"/>
  <c r="W143" i="1"/>
  <c r="X143" i="1"/>
  <c r="Q144" i="1"/>
  <c r="R144" i="1"/>
  <c r="S144" i="1"/>
  <c r="T144" i="1"/>
  <c r="U144" i="1"/>
  <c r="V144" i="1"/>
  <c r="W144" i="1"/>
  <c r="X144" i="1"/>
  <c r="Q145" i="1"/>
  <c r="R145" i="1"/>
  <c r="S145" i="1"/>
  <c r="T145" i="1"/>
  <c r="U145" i="1"/>
  <c r="V145" i="1"/>
  <c r="W145" i="1"/>
  <c r="X145" i="1"/>
  <c r="Q146" i="1"/>
  <c r="R146" i="1"/>
  <c r="S146" i="1"/>
  <c r="T146" i="1"/>
  <c r="U146" i="1"/>
  <c r="V146" i="1"/>
  <c r="W146" i="1"/>
  <c r="X146" i="1"/>
  <c r="Q147" i="1"/>
  <c r="R147" i="1"/>
  <c r="S147" i="1"/>
  <c r="T147" i="1"/>
  <c r="U147" i="1"/>
  <c r="V147" i="1"/>
  <c r="W147" i="1"/>
  <c r="X147" i="1"/>
  <c r="Q148" i="1"/>
  <c r="R148" i="1"/>
  <c r="S148" i="1"/>
  <c r="T148" i="1"/>
  <c r="U148" i="1"/>
  <c r="V148" i="1"/>
  <c r="W148" i="1"/>
  <c r="X148" i="1"/>
  <c r="Q149" i="1"/>
  <c r="R149" i="1"/>
  <c r="S149" i="1"/>
  <c r="T149" i="1"/>
  <c r="U149" i="1"/>
  <c r="V149" i="1"/>
  <c r="W149" i="1"/>
  <c r="X149" i="1"/>
  <c r="Q150" i="1"/>
  <c r="R150" i="1"/>
  <c r="S150" i="1"/>
  <c r="T150" i="1"/>
  <c r="U150" i="1"/>
  <c r="V150" i="1"/>
  <c r="W150" i="1"/>
  <c r="X150" i="1"/>
  <c r="Q151" i="1"/>
  <c r="R151" i="1"/>
  <c r="S151" i="1"/>
  <c r="T151" i="1"/>
  <c r="U151" i="1"/>
  <c r="V151" i="1"/>
  <c r="W151" i="1"/>
  <c r="X151" i="1"/>
  <c r="Q152" i="1"/>
  <c r="R152" i="1"/>
  <c r="S152" i="1"/>
  <c r="T152" i="1"/>
  <c r="U152" i="1"/>
  <c r="V152" i="1"/>
  <c r="W152" i="1"/>
  <c r="X152" i="1"/>
  <c r="Q153" i="1"/>
  <c r="R153" i="1"/>
  <c r="S153" i="1"/>
  <c r="T153" i="1"/>
  <c r="U153" i="1"/>
  <c r="V153" i="1"/>
  <c r="W153" i="1"/>
  <c r="X153" i="1"/>
  <c r="Q154" i="1"/>
  <c r="R154" i="1"/>
  <c r="S154" i="1"/>
  <c r="T154" i="1"/>
  <c r="U154" i="1"/>
  <c r="V154" i="1"/>
  <c r="W154" i="1"/>
  <c r="X154" i="1"/>
  <c r="Q155" i="1"/>
  <c r="R155" i="1"/>
  <c r="S155" i="1"/>
  <c r="T155" i="1"/>
  <c r="U155" i="1"/>
  <c r="V155" i="1"/>
  <c r="W155" i="1"/>
  <c r="X155" i="1"/>
  <c r="Q156" i="1"/>
  <c r="R156" i="1"/>
  <c r="S156" i="1"/>
  <c r="T156" i="1"/>
  <c r="U156" i="1"/>
  <c r="V156" i="1"/>
  <c r="W156" i="1"/>
  <c r="X156" i="1"/>
  <c r="Q157" i="1"/>
  <c r="R157" i="1"/>
  <c r="S157" i="1"/>
  <c r="T157" i="1"/>
  <c r="U157" i="1"/>
  <c r="V157" i="1"/>
  <c r="W157" i="1"/>
  <c r="X157" i="1"/>
  <c r="Q158" i="1"/>
  <c r="R158" i="1"/>
  <c r="S158" i="1"/>
  <c r="T158" i="1"/>
  <c r="U158" i="1"/>
  <c r="V158" i="1"/>
  <c r="W158" i="1"/>
  <c r="X158" i="1"/>
  <c r="Q159" i="1"/>
  <c r="R159" i="1"/>
  <c r="S159" i="1"/>
  <c r="T159" i="1"/>
  <c r="U159" i="1"/>
  <c r="V159" i="1"/>
  <c r="W159" i="1"/>
  <c r="X159" i="1"/>
  <c r="Q160" i="1"/>
  <c r="R160" i="1"/>
  <c r="S160" i="1"/>
  <c r="T160" i="1"/>
  <c r="U160" i="1"/>
  <c r="V160" i="1"/>
  <c r="W160" i="1"/>
  <c r="X160" i="1"/>
  <c r="Q161" i="1"/>
  <c r="R161" i="1"/>
  <c r="S161" i="1"/>
  <c r="T161" i="1"/>
  <c r="U161" i="1"/>
  <c r="V161" i="1"/>
  <c r="W161" i="1"/>
  <c r="X161" i="1"/>
  <c r="Q162" i="1"/>
  <c r="R162" i="1"/>
  <c r="S162" i="1"/>
  <c r="T162" i="1"/>
  <c r="U162" i="1"/>
  <c r="V162" i="1"/>
  <c r="W162" i="1"/>
  <c r="X162" i="1"/>
  <c r="Q163" i="1"/>
  <c r="R163" i="1"/>
  <c r="S163" i="1"/>
  <c r="T163" i="1"/>
  <c r="U163" i="1"/>
  <c r="V163" i="1"/>
  <c r="W163" i="1"/>
  <c r="X163" i="1"/>
  <c r="Q164" i="1"/>
  <c r="R164" i="1"/>
  <c r="S164" i="1"/>
  <c r="T164" i="1"/>
  <c r="U164" i="1"/>
  <c r="V164" i="1"/>
  <c r="W164" i="1"/>
  <c r="X164" i="1"/>
  <c r="Q165" i="1"/>
  <c r="R165" i="1"/>
  <c r="S165" i="1"/>
  <c r="T165" i="1"/>
  <c r="U165" i="1"/>
  <c r="V165" i="1"/>
  <c r="W165" i="1"/>
  <c r="X165" i="1"/>
  <c r="Q166" i="1"/>
  <c r="R166" i="1"/>
  <c r="S166" i="1"/>
  <c r="T166" i="1"/>
  <c r="U166" i="1"/>
  <c r="V166" i="1"/>
  <c r="W166" i="1"/>
  <c r="X166" i="1"/>
  <c r="Q167" i="1"/>
  <c r="R167" i="1"/>
  <c r="S167" i="1"/>
  <c r="T167" i="1"/>
  <c r="U167" i="1"/>
  <c r="V167" i="1"/>
  <c r="W167" i="1"/>
  <c r="X167" i="1"/>
  <c r="Q168" i="1"/>
  <c r="R168" i="1"/>
  <c r="S168" i="1"/>
  <c r="T168" i="1"/>
  <c r="U168" i="1"/>
  <c r="V168" i="1"/>
  <c r="W168" i="1"/>
  <c r="X168" i="1"/>
  <c r="Q169" i="1"/>
  <c r="R169" i="1"/>
  <c r="S169" i="1"/>
  <c r="T169" i="1"/>
  <c r="U169" i="1"/>
  <c r="V169" i="1"/>
  <c r="W169" i="1"/>
  <c r="X169" i="1"/>
  <c r="Q170" i="1"/>
  <c r="R170" i="1"/>
  <c r="S170" i="1"/>
  <c r="T170" i="1"/>
  <c r="U170" i="1"/>
  <c r="V170" i="1"/>
  <c r="W170" i="1"/>
  <c r="X170" i="1"/>
  <c r="Q171" i="1"/>
  <c r="R171" i="1"/>
  <c r="S171" i="1"/>
  <c r="T171" i="1"/>
  <c r="U171" i="1"/>
  <c r="V171" i="1"/>
  <c r="W171" i="1"/>
  <c r="X171" i="1"/>
  <c r="Q172" i="1"/>
  <c r="R172" i="1"/>
  <c r="S172" i="1"/>
  <c r="T172" i="1"/>
  <c r="U172" i="1"/>
  <c r="V172" i="1"/>
  <c r="W172" i="1"/>
  <c r="X172" i="1"/>
  <c r="Q173" i="1"/>
  <c r="R173" i="1"/>
  <c r="S173" i="1"/>
  <c r="T173" i="1"/>
  <c r="U173" i="1"/>
  <c r="V173" i="1"/>
  <c r="W173" i="1"/>
  <c r="X173" i="1"/>
  <c r="Q174" i="1"/>
  <c r="R174" i="1"/>
  <c r="S174" i="1"/>
  <c r="T174" i="1"/>
  <c r="U174" i="1"/>
  <c r="V174" i="1"/>
  <c r="W174" i="1"/>
  <c r="X174" i="1"/>
  <c r="Q175" i="1"/>
  <c r="R175" i="1"/>
  <c r="S175" i="1"/>
  <c r="T175" i="1"/>
  <c r="U175" i="1"/>
  <c r="V175" i="1"/>
  <c r="W175" i="1"/>
  <c r="X175" i="1"/>
  <c r="Q176" i="1"/>
  <c r="R176" i="1"/>
  <c r="S176" i="1"/>
  <c r="T176" i="1"/>
  <c r="U176" i="1"/>
  <c r="V176" i="1"/>
  <c r="W176" i="1"/>
  <c r="X176" i="1"/>
  <c r="Q177" i="1"/>
  <c r="R177" i="1"/>
  <c r="S177" i="1"/>
  <c r="T177" i="1"/>
  <c r="U177" i="1"/>
  <c r="V177" i="1"/>
  <c r="W177" i="1"/>
  <c r="X177" i="1"/>
  <c r="Q178" i="1"/>
  <c r="R178" i="1"/>
  <c r="S178" i="1"/>
  <c r="T178" i="1"/>
  <c r="U178" i="1"/>
  <c r="V178" i="1"/>
  <c r="W178" i="1"/>
  <c r="X178" i="1"/>
  <c r="Q179" i="1"/>
  <c r="R179" i="1"/>
  <c r="S179" i="1"/>
  <c r="T179" i="1"/>
  <c r="U179" i="1"/>
  <c r="V179" i="1"/>
  <c r="W179" i="1"/>
  <c r="X179" i="1"/>
  <c r="Q180" i="1"/>
  <c r="R180" i="1"/>
  <c r="S180" i="1"/>
  <c r="T180" i="1"/>
  <c r="U180" i="1"/>
  <c r="V180" i="1"/>
  <c r="W180" i="1"/>
  <c r="X180" i="1"/>
  <c r="Q181" i="1"/>
  <c r="R181" i="1"/>
  <c r="S181" i="1"/>
  <c r="T181" i="1"/>
  <c r="U181" i="1"/>
  <c r="V181" i="1"/>
  <c r="W181" i="1"/>
  <c r="X181" i="1"/>
  <c r="Q182" i="1"/>
  <c r="R182" i="1"/>
  <c r="S182" i="1"/>
  <c r="T182" i="1"/>
  <c r="U182" i="1"/>
  <c r="V182" i="1"/>
  <c r="W182" i="1"/>
  <c r="X182" i="1"/>
  <c r="Q183" i="1"/>
  <c r="R183" i="1"/>
  <c r="S183" i="1"/>
  <c r="T183" i="1"/>
  <c r="U183" i="1"/>
  <c r="V183" i="1"/>
  <c r="W183" i="1"/>
  <c r="X183" i="1"/>
  <c r="Q184" i="1"/>
  <c r="R184" i="1"/>
  <c r="S184" i="1"/>
  <c r="T184" i="1"/>
  <c r="U184" i="1"/>
  <c r="V184" i="1"/>
  <c r="W184" i="1"/>
  <c r="X184" i="1"/>
  <c r="Q185" i="1"/>
  <c r="R185" i="1"/>
  <c r="S185" i="1"/>
  <c r="T185" i="1"/>
  <c r="U185" i="1"/>
  <c r="V185" i="1"/>
  <c r="W185" i="1"/>
  <c r="X185" i="1"/>
  <c r="Q186" i="1"/>
  <c r="R186" i="1"/>
  <c r="S186" i="1"/>
  <c r="T186" i="1"/>
  <c r="U186" i="1"/>
  <c r="V186" i="1"/>
  <c r="W186" i="1"/>
  <c r="X186" i="1"/>
  <c r="Q187" i="1"/>
  <c r="R187" i="1"/>
  <c r="S187" i="1"/>
  <c r="T187" i="1"/>
  <c r="U187" i="1"/>
  <c r="V187" i="1"/>
  <c r="W187" i="1"/>
  <c r="X187" i="1"/>
  <c r="Q188" i="1"/>
  <c r="R188" i="1"/>
  <c r="S188" i="1"/>
  <c r="T188" i="1"/>
  <c r="U188" i="1"/>
  <c r="V188" i="1"/>
  <c r="W188" i="1"/>
  <c r="X188" i="1"/>
  <c r="Q189" i="1"/>
  <c r="R189" i="1"/>
  <c r="S189" i="1"/>
  <c r="T189" i="1"/>
  <c r="U189" i="1"/>
  <c r="V189" i="1"/>
  <c r="W189" i="1"/>
  <c r="X189" i="1"/>
  <c r="Q190" i="1"/>
  <c r="R190" i="1"/>
  <c r="S190" i="1"/>
  <c r="T190" i="1"/>
  <c r="U190" i="1"/>
  <c r="V190" i="1"/>
  <c r="W190" i="1"/>
  <c r="X190" i="1"/>
  <c r="Q191" i="1"/>
  <c r="R191" i="1"/>
  <c r="S191" i="1"/>
  <c r="T191" i="1"/>
  <c r="U191" i="1"/>
  <c r="V191" i="1"/>
  <c r="W191" i="1"/>
  <c r="X191" i="1"/>
  <c r="Q192" i="1"/>
  <c r="R192" i="1"/>
  <c r="S192" i="1"/>
  <c r="T192" i="1"/>
  <c r="U192" i="1"/>
  <c r="V192" i="1"/>
  <c r="W192" i="1"/>
  <c r="X192" i="1"/>
  <c r="Q193" i="1"/>
  <c r="R193" i="1"/>
  <c r="S193" i="1"/>
  <c r="T193" i="1"/>
  <c r="U193" i="1"/>
  <c r="V193" i="1"/>
  <c r="W193" i="1"/>
  <c r="X193" i="1"/>
  <c r="Q194" i="1"/>
  <c r="R194" i="1"/>
  <c r="S194" i="1"/>
  <c r="T194" i="1"/>
  <c r="U194" i="1"/>
  <c r="V194" i="1"/>
  <c r="W194" i="1"/>
  <c r="X194" i="1"/>
  <c r="Q195" i="1"/>
  <c r="R195" i="1"/>
  <c r="S195" i="1"/>
  <c r="T195" i="1"/>
  <c r="U195" i="1"/>
  <c r="V195" i="1"/>
  <c r="W195" i="1"/>
  <c r="X195" i="1"/>
  <c r="Q196" i="1"/>
  <c r="R196" i="1"/>
  <c r="S196" i="1"/>
  <c r="T196" i="1"/>
  <c r="U196" i="1"/>
  <c r="V196" i="1"/>
  <c r="W196" i="1"/>
  <c r="X196" i="1"/>
  <c r="Q197" i="1"/>
  <c r="R197" i="1"/>
  <c r="S197" i="1"/>
  <c r="T197" i="1"/>
  <c r="U197" i="1"/>
  <c r="V197" i="1"/>
  <c r="W197" i="1"/>
  <c r="X197" i="1"/>
  <c r="Q198" i="1"/>
  <c r="R198" i="1"/>
  <c r="S198" i="1"/>
  <c r="T198" i="1"/>
  <c r="U198" i="1"/>
  <c r="V198" i="1"/>
  <c r="W198" i="1"/>
  <c r="X198" i="1"/>
  <c r="Q199" i="1"/>
  <c r="R199" i="1"/>
  <c r="S199" i="1"/>
  <c r="T199" i="1"/>
  <c r="U199" i="1"/>
  <c r="V199" i="1"/>
  <c r="W199" i="1"/>
  <c r="X199" i="1"/>
  <c r="Q200" i="1"/>
  <c r="R200" i="1"/>
  <c r="S200" i="1"/>
  <c r="T200" i="1"/>
  <c r="U200" i="1"/>
  <c r="V200" i="1"/>
  <c r="W200" i="1"/>
  <c r="X200" i="1"/>
  <c r="Q201" i="1"/>
  <c r="R201" i="1"/>
  <c r="S201" i="1"/>
  <c r="T201" i="1"/>
  <c r="U201" i="1"/>
  <c r="V201" i="1"/>
  <c r="W201" i="1"/>
  <c r="X201" i="1"/>
  <c r="Q202" i="1"/>
  <c r="R202" i="1"/>
  <c r="S202" i="1"/>
  <c r="T202" i="1"/>
  <c r="U202" i="1"/>
  <c r="V202" i="1"/>
  <c r="W202" i="1"/>
  <c r="X202" i="1"/>
  <c r="Q203" i="1"/>
  <c r="R203" i="1"/>
  <c r="S203" i="1"/>
  <c r="T203" i="1"/>
  <c r="U203" i="1"/>
  <c r="V203" i="1"/>
  <c r="W203" i="1"/>
  <c r="X203" i="1"/>
  <c r="Q204" i="1"/>
  <c r="R204" i="1"/>
  <c r="S204" i="1"/>
  <c r="T204" i="1"/>
  <c r="U204" i="1"/>
  <c r="V204" i="1"/>
  <c r="W204" i="1"/>
  <c r="X204" i="1"/>
  <c r="Q205" i="1"/>
  <c r="R205" i="1"/>
  <c r="S205" i="1"/>
  <c r="T205" i="1"/>
  <c r="U205" i="1"/>
  <c r="V205" i="1"/>
  <c r="W205" i="1"/>
  <c r="X205" i="1"/>
  <c r="Q206" i="1"/>
  <c r="R206" i="1"/>
  <c r="S206" i="1"/>
  <c r="T206" i="1"/>
  <c r="U206" i="1"/>
  <c r="V206" i="1"/>
  <c r="W206" i="1"/>
  <c r="X206" i="1"/>
  <c r="Q207" i="1"/>
  <c r="R207" i="1"/>
  <c r="S207" i="1"/>
  <c r="T207" i="1"/>
  <c r="U207" i="1"/>
  <c r="V207" i="1"/>
  <c r="W207" i="1"/>
  <c r="X207" i="1"/>
  <c r="Q208" i="1"/>
  <c r="R208" i="1"/>
  <c r="S208" i="1"/>
  <c r="T208" i="1"/>
  <c r="U208" i="1"/>
  <c r="V208" i="1"/>
  <c r="W208" i="1"/>
  <c r="X208" i="1"/>
  <c r="Q209" i="1"/>
  <c r="R209" i="1"/>
  <c r="S209" i="1"/>
  <c r="T209" i="1"/>
  <c r="U209" i="1"/>
  <c r="V209" i="1"/>
  <c r="W209" i="1"/>
  <c r="X209" i="1"/>
  <c r="Q210" i="1"/>
  <c r="R210" i="1"/>
  <c r="S210" i="1"/>
  <c r="T210" i="1"/>
  <c r="U210" i="1"/>
  <c r="V210" i="1"/>
  <c r="W210" i="1"/>
  <c r="X210" i="1"/>
  <c r="Q211" i="1"/>
  <c r="R211" i="1"/>
  <c r="S211" i="1"/>
  <c r="T211" i="1"/>
  <c r="U211" i="1"/>
  <c r="V211" i="1"/>
  <c r="W211" i="1"/>
  <c r="X211" i="1"/>
  <c r="Q212" i="1"/>
  <c r="R212" i="1"/>
  <c r="S212" i="1"/>
  <c r="T212" i="1"/>
  <c r="U212" i="1"/>
  <c r="V212" i="1"/>
  <c r="W212" i="1"/>
  <c r="X212" i="1"/>
  <c r="Q213" i="1"/>
  <c r="R213" i="1"/>
  <c r="S213" i="1"/>
  <c r="T213" i="1"/>
  <c r="U213" i="1"/>
  <c r="V213" i="1"/>
  <c r="W213" i="1"/>
  <c r="X213" i="1"/>
  <c r="Q214" i="1"/>
  <c r="R214" i="1"/>
  <c r="S214" i="1"/>
  <c r="T214" i="1"/>
  <c r="U214" i="1"/>
  <c r="V214" i="1"/>
  <c r="W214" i="1"/>
  <c r="X214" i="1"/>
  <c r="Q215" i="1"/>
  <c r="R215" i="1"/>
  <c r="S215" i="1"/>
  <c r="T215" i="1"/>
  <c r="U215" i="1"/>
  <c r="V215" i="1"/>
  <c r="W215" i="1"/>
  <c r="X215" i="1"/>
  <c r="Q216" i="1"/>
  <c r="R216" i="1"/>
  <c r="S216" i="1"/>
  <c r="T216" i="1"/>
  <c r="U216" i="1"/>
  <c r="V216" i="1"/>
  <c r="W216" i="1"/>
  <c r="X216" i="1"/>
  <c r="Q217" i="1"/>
  <c r="R217" i="1"/>
  <c r="S217" i="1"/>
  <c r="T217" i="1"/>
  <c r="U217" i="1"/>
  <c r="V217" i="1"/>
  <c r="W217" i="1"/>
  <c r="X217" i="1"/>
  <c r="Q218" i="1"/>
  <c r="R218" i="1"/>
  <c r="S218" i="1"/>
  <c r="T218" i="1"/>
  <c r="U218" i="1"/>
  <c r="V218" i="1"/>
  <c r="W218" i="1"/>
  <c r="X218" i="1"/>
  <c r="Q219" i="1"/>
  <c r="R219" i="1"/>
  <c r="S219" i="1"/>
  <c r="T219" i="1"/>
  <c r="U219" i="1"/>
  <c r="V219" i="1"/>
  <c r="W219" i="1"/>
  <c r="X219" i="1"/>
  <c r="Q220" i="1"/>
  <c r="R220" i="1"/>
  <c r="S220" i="1"/>
  <c r="T220" i="1"/>
  <c r="U220" i="1"/>
  <c r="V220" i="1"/>
  <c r="W220" i="1"/>
  <c r="X220" i="1"/>
  <c r="Q221" i="1"/>
  <c r="R221" i="1"/>
  <c r="S221" i="1"/>
  <c r="T221" i="1"/>
  <c r="U221" i="1"/>
  <c r="V221" i="1"/>
  <c r="W221" i="1"/>
  <c r="X221" i="1"/>
  <c r="Q222" i="1"/>
  <c r="R222" i="1"/>
  <c r="S222" i="1"/>
  <c r="T222" i="1"/>
  <c r="U222" i="1"/>
  <c r="V222" i="1"/>
  <c r="W222" i="1"/>
  <c r="X222" i="1"/>
  <c r="Q223" i="1"/>
  <c r="R223" i="1"/>
  <c r="S223" i="1"/>
  <c r="T223" i="1"/>
  <c r="U223" i="1"/>
  <c r="V223" i="1"/>
  <c r="W223" i="1"/>
  <c r="X223" i="1"/>
  <c r="Q224" i="1"/>
  <c r="R224" i="1"/>
  <c r="S224" i="1"/>
  <c r="T224" i="1"/>
  <c r="U224" i="1"/>
  <c r="V224" i="1"/>
  <c r="W224" i="1"/>
  <c r="X224" i="1"/>
  <c r="Q225" i="1"/>
  <c r="R225" i="1"/>
  <c r="S225" i="1"/>
  <c r="T225" i="1"/>
  <c r="U225" i="1"/>
  <c r="V225" i="1"/>
  <c r="W225" i="1"/>
  <c r="X225" i="1"/>
  <c r="Q226" i="1"/>
  <c r="R226" i="1"/>
  <c r="S226" i="1"/>
  <c r="T226" i="1"/>
  <c r="U226" i="1"/>
  <c r="V226" i="1"/>
  <c r="W226" i="1"/>
  <c r="X226" i="1"/>
  <c r="Q227" i="1"/>
  <c r="R227" i="1"/>
  <c r="S227" i="1"/>
  <c r="T227" i="1"/>
  <c r="U227" i="1"/>
  <c r="V227" i="1"/>
  <c r="W227" i="1"/>
  <c r="X227" i="1"/>
  <c r="Q228" i="1"/>
  <c r="R228" i="1"/>
  <c r="S228" i="1"/>
  <c r="T228" i="1"/>
  <c r="U228" i="1"/>
  <c r="V228" i="1"/>
  <c r="W228" i="1"/>
  <c r="X228" i="1"/>
  <c r="Q229" i="1"/>
  <c r="R229" i="1"/>
  <c r="S229" i="1"/>
  <c r="T229" i="1"/>
  <c r="U229" i="1"/>
  <c r="V229" i="1"/>
  <c r="W229" i="1"/>
  <c r="X229" i="1"/>
  <c r="Q230" i="1"/>
  <c r="R230" i="1"/>
  <c r="S230" i="1"/>
  <c r="T230" i="1"/>
  <c r="U230" i="1"/>
  <c r="V230" i="1"/>
  <c r="W230" i="1"/>
  <c r="X230" i="1"/>
  <c r="Q231" i="1"/>
  <c r="R231" i="1"/>
  <c r="S231" i="1"/>
  <c r="T231" i="1"/>
  <c r="U231" i="1"/>
  <c r="V231" i="1"/>
  <c r="W231" i="1"/>
  <c r="X231" i="1"/>
  <c r="Q232" i="1"/>
  <c r="R232" i="1"/>
  <c r="S232" i="1"/>
  <c r="T232" i="1"/>
  <c r="U232" i="1"/>
  <c r="V232" i="1"/>
  <c r="W232" i="1"/>
  <c r="X232" i="1"/>
  <c r="Q233" i="1"/>
  <c r="R233" i="1"/>
  <c r="S233" i="1"/>
  <c r="T233" i="1"/>
  <c r="U233" i="1"/>
  <c r="V233" i="1"/>
  <c r="W233" i="1"/>
  <c r="X233" i="1"/>
  <c r="Q234" i="1"/>
  <c r="R234" i="1"/>
  <c r="S234" i="1"/>
  <c r="T234" i="1"/>
  <c r="U234" i="1"/>
  <c r="V234" i="1"/>
  <c r="W234" i="1"/>
  <c r="X234" i="1"/>
  <c r="Q235" i="1"/>
  <c r="R235" i="1"/>
  <c r="S235" i="1"/>
  <c r="T235" i="1"/>
  <c r="U235" i="1"/>
  <c r="V235" i="1"/>
  <c r="W235" i="1"/>
  <c r="X235" i="1"/>
  <c r="Q236" i="1"/>
  <c r="R236" i="1"/>
  <c r="S236" i="1"/>
  <c r="T236" i="1"/>
  <c r="U236" i="1"/>
  <c r="V236" i="1"/>
  <c r="W236" i="1"/>
  <c r="X236" i="1"/>
  <c r="Q237" i="1"/>
  <c r="R237" i="1"/>
  <c r="S237" i="1"/>
  <c r="T237" i="1"/>
  <c r="U237" i="1"/>
  <c r="V237" i="1"/>
  <c r="W237" i="1"/>
  <c r="X237" i="1"/>
  <c r="Q238" i="1"/>
  <c r="R238" i="1"/>
  <c r="S238" i="1"/>
  <c r="T238" i="1"/>
  <c r="U238" i="1"/>
  <c r="V238" i="1"/>
  <c r="W238" i="1"/>
  <c r="X238" i="1"/>
  <c r="Q239" i="1"/>
  <c r="R239" i="1"/>
  <c r="S239" i="1"/>
  <c r="T239" i="1"/>
  <c r="U239" i="1"/>
  <c r="V239" i="1"/>
  <c r="W239" i="1"/>
  <c r="X239" i="1"/>
  <c r="Q240" i="1"/>
  <c r="R240" i="1"/>
  <c r="S240" i="1"/>
  <c r="T240" i="1"/>
  <c r="U240" i="1"/>
  <c r="V240" i="1"/>
  <c r="W240" i="1"/>
  <c r="X240" i="1"/>
  <c r="Q241" i="1"/>
  <c r="R241" i="1"/>
  <c r="S241" i="1"/>
  <c r="T241" i="1"/>
  <c r="U241" i="1"/>
  <c r="V241" i="1"/>
  <c r="W241" i="1"/>
  <c r="X241" i="1"/>
  <c r="Q242" i="1"/>
  <c r="R242" i="1"/>
  <c r="S242" i="1"/>
  <c r="T242" i="1"/>
  <c r="U242" i="1"/>
  <c r="V242" i="1"/>
  <c r="W242" i="1"/>
  <c r="X242" i="1"/>
  <c r="Q243" i="1"/>
  <c r="R243" i="1"/>
  <c r="S243" i="1"/>
  <c r="T243" i="1"/>
  <c r="U243" i="1"/>
  <c r="V243" i="1"/>
  <c r="W243" i="1"/>
  <c r="X243" i="1"/>
  <c r="Q244" i="1"/>
  <c r="R244" i="1"/>
  <c r="S244" i="1"/>
  <c r="T244" i="1"/>
  <c r="U244" i="1"/>
  <c r="V244" i="1"/>
  <c r="W244" i="1"/>
  <c r="X244" i="1"/>
  <c r="Q245" i="1"/>
  <c r="R245" i="1"/>
  <c r="S245" i="1"/>
  <c r="T245" i="1"/>
  <c r="U245" i="1"/>
  <c r="V245" i="1"/>
  <c r="W245" i="1"/>
  <c r="X245" i="1"/>
  <c r="Q246" i="1"/>
  <c r="R246" i="1"/>
  <c r="S246" i="1"/>
  <c r="T246" i="1"/>
  <c r="U246" i="1"/>
  <c r="V246" i="1"/>
  <c r="W246" i="1"/>
  <c r="X246" i="1"/>
  <c r="Q247" i="1"/>
  <c r="R247" i="1"/>
  <c r="S247" i="1"/>
  <c r="T247" i="1"/>
  <c r="U247" i="1"/>
  <c r="V247" i="1"/>
  <c r="W247" i="1"/>
  <c r="X247" i="1"/>
  <c r="Q248" i="1"/>
  <c r="R248" i="1"/>
  <c r="S248" i="1"/>
  <c r="T248" i="1"/>
  <c r="U248" i="1"/>
  <c r="V248" i="1"/>
  <c r="W248" i="1"/>
  <c r="X248" i="1"/>
  <c r="Q249" i="1"/>
  <c r="R249" i="1"/>
  <c r="S249" i="1"/>
  <c r="T249" i="1"/>
  <c r="U249" i="1"/>
  <c r="V249" i="1"/>
  <c r="W249" i="1"/>
  <c r="X249" i="1"/>
  <c r="Q250" i="1"/>
  <c r="R250" i="1"/>
  <c r="S250" i="1"/>
  <c r="T250" i="1"/>
  <c r="U250" i="1"/>
  <c r="V250" i="1"/>
  <c r="W250" i="1"/>
  <c r="X250" i="1"/>
  <c r="Q251" i="1"/>
  <c r="R251" i="1"/>
  <c r="S251" i="1"/>
  <c r="T251" i="1"/>
  <c r="U251" i="1"/>
  <c r="V251" i="1"/>
  <c r="W251" i="1"/>
  <c r="X251" i="1"/>
  <c r="Q252" i="1"/>
  <c r="R252" i="1"/>
  <c r="S252" i="1"/>
  <c r="T252" i="1"/>
  <c r="U252" i="1"/>
  <c r="V252" i="1"/>
  <c r="W252" i="1"/>
  <c r="X252" i="1"/>
  <c r="Q253" i="1"/>
  <c r="R253" i="1"/>
  <c r="S253" i="1"/>
  <c r="T253" i="1"/>
  <c r="U253" i="1"/>
  <c r="V253" i="1"/>
  <c r="W253" i="1"/>
  <c r="X253" i="1"/>
  <c r="Q254" i="1"/>
  <c r="R254" i="1"/>
  <c r="S254" i="1"/>
  <c r="T254" i="1"/>
  <c r="U254" i="1"/>
  <c r="V254" i="1"/>
  <c r="W254" i="1"/>
  <c r="X254" i="1"/>
  <c r="Q255" i="1"/>
  <c r="R255" i="1"/>
  <c r="S255" i="1"/>
  <c r="T255" i="1"/>
  <c r="U255" i="1"/>
  <c r="V255" i="1"/>
  <c r="W255" i="1"/>
  <c r="X255" i="1"/>
  <c r="Q256" i="1"/>
  <c r="R256" i="1"/>
  <c r="S256" i="1"/>
  <c r="T256" i="1"/>
  <c r="U256" i="1"/>
  <c r="V256" i="1"/>
  <c r="W256" i="1"/>
  <c r="X256" i="1"/>
  <c r="Q257" i="1"/>
  <c r="R257" i="1"/>
  <c r="S257" i="1"/>
  <c r="T257" i="1"/>
  <c r="U257" i="1"/>
  <c r="V257" i="1"/>
  <c r="W257" i="1"/>
  <c r="X257" i="1"/>
  <c r="Q258" i="1"/>
  <c r="R258" i="1"/>
  <c r="S258" i="1"/>
  <c r="T258" i="1"/>
  <c r="U258" i="1"/>
  <c r="V258" i="1"/>
  <c r="W258" i="1"/>
  <c r="X258" i="1"/>
  <c r="Q259" i="1"/>
  <c r="R259" i="1"/>
  <c r="S259" i="1"/>
  <c r="T259" i="1"/>
  <c r="U259" i="1"/>
  <c r="V259" i="1"/>
  <c r="W259" i="1"/>
  <c r="X259" i="1"/>
  <c r="Q260" i="1"/>
  <c r="R260" i="1"/>
  <c r="S260" i="1"/>
  <c r="T260" i="1"/>
  <c r="U260" i="1"/>
  <c r="V260" i="1"/>
  <c r="W260" i="1"/>
  <c r="X260" i="1"/>
  <c r="Q261" i="1"/>
  <c r="R261" i="1"/>
  <c r="S261" i="1"/>
  <c r="T261" i="1"/>
  <c r="U261" i="1"/>
  <c r="V261" i="1"/>
  <c r="W261" i="1"/>
  <c r="X261" i="1"/>
  <c r="Q262" i="1"/>
  <c r="R262" i="1"/>
  <c r="S262" i="1"/>
  <c r="T262" i="1"/>
  <c r="U262" i="1"/>
  <c r="V262" i="1"/>
  <c r="W262" i="1"/>
  <c r="X262" i="1"/>
  <c r="Q263" i="1"/>
  <c r="R263" i="1"/>
  <c r="S263" i="1"/>
  <c r="T263" i="1"/>
  <c r="U263" i="1"/>
  <c r="V263" i="1"/>
  <c r="W263" i="1"/>
  <c r="X263" i="1"/>
  <c r="Q264" i="1"/>
  <c r="R264" i="1"/>
  <c r="S264" i="1"/>
  <c r="T264" i="1"/>
  <c r="U264" i="1"/>
  <c r="V264" i="1"/>
  <c r="W264" i="1"/>
  <c r="X264" i="1"/>
  <c r="Q265" i="1"/>
  <c r="R265" i="1"/>
  <c r="S265" i="1"/>
  <c r="T265" i="1"/>
  <c r="U265" i="1"/>
  <c r="V265" i="1"/>
  <c r="W265" i="1"/>
  <c r="X265" i="1"/>
  <c r="Q266" i="1"/>
  <c r="R266" i="1"/>
  <c r="S266" i="1"/>
  <c r="T266" i="1"/>
  <c r="U266" i="1"/>
  <c r="V266" i="1"/>
  <c r="W266" i="1"/>
  <c r="X266" i="1"/>
  <c r="Q267" i="1"/>
  <c r="R267" i="1"/>
  <c r="S267" i="1"/>
  <c r="T267" i="1"/>
  <c r="U267" i="1"/>
  <c r="V267" i="1"/>
  <c r="W267" i="1"/>
  <c r="X267" i="1"/>
  <c r="Q268" i="1"/>
  <c r="R268" i="1"/>
  <c r="S268" i="1"/>
  <c r="T268" i="1"/>
  <c r="U268" i="1"/>
  <c r="V268" i="1"/>
  <c r="W268" i="1"/>
  <c r="X268" i="1"/>
  <c r="Q269" i="1"/>
  <c r="R269" i="1"/>
  <c r="S269" i="1"/>
  <c r="T269" i="1"/>
  <c r="U269" i="1"/>
  <c r="V269" i="1"/>
  <c r="W269" i="1"/>
  <c r="X269" i="1"/>
  <c r="Q270" i="1"/>
  <c r="R270" i="1"/>
  <c r="S270" i="1"/>
  <c r="T270" i="1"/>
  <c r="U270" i="1"/>
  <c r="V270" i="1"/>
  <c r="W270" i="1"/>
  <c r="X270" i="1"/>
  <c r="Q271" i="1"/>
  <c r="R271" i="1"/>
  <c r="S271" i="1"/>
  <c r="T271" i="1"/>
  <c r="U271" i="1"/>
  <c r="V271" i="1"/>
  <c r="W271" i="1"/>
  <c r="X271" i="1"/>
  <c r="Q272" i="1"/>
  <c r="R272" i="1"/>
  <c r="S272" i="1"/>
  <c r="T272" i="1"/>
  <c r="U272" i="1"/>
  <c r="V272" i="1"/>
  <c r="W272" i="1"/>
  <c r="X272" i="1"/>
  <c r="Q273" i="1"/>
  <c r="R273" i="1"/>
  <c r="S273" i="1"/>
  <c r="T273" i="1"/>
  <c r="U273" i="1"/>
  <c r="V273" i="1"/>
  <c r="W273" i="1"/>
  <c r="X273" i="1"/>
  <c r="Q274" i="1"/>
  <c r="R274" i="1"/>
  <c r="S274" i="1"/>
  <c r="T274" i="1"/>
  <c r="U274" i="1"/>
  <c r="V274" i="1"/>
  <c r="W274" i="1"/>
  <c r="X274" i="1"/>
  <c r="Q275" i="1"/>
  <c r="R275" i="1"/>
  <c r="S275" i="1"/>
  <c r="T275" i="1"/>
  <c r="U275" i="1"/>
  <c r="V275" i="1"/>
  <c r="W275" i="1"/>
  <c r="X275" i="1"/>
  <c r="Q276" i="1"/>
  <c r="R276" i="1"/>
  <c r="S276" i="1"/>
  <c r="T276" i="1"/>
  <c r="U276" i="1"/>
  <c r="V276" i="1"/>
  <c r="W276" i="1"/>
  <c r="X276" i="1"/>
  <c r="Q277" i="1"/>
  <c r="R277" i="1"/>
  <c r="S277" i="1"/>
  <c r="T277" i="1"/>
  <c r="U277" i="1"/>
  <c r="V277" i="1"/>
  <c r="W277" i="1"/>
  <c r="X277" i="1"/>
  <c r="Q278" i="1"/>
  <c r="R278" i="1"/>
  <c r="S278" i="1"/>
  <c r="T278" i="1"/>
  <c r="U278" i="1"/>
  <c r="V278" i="1"/>
  <c r="W278" i="1"/>
  <c r="X278" i="1"/>
  <c r="Q279" i="1"/>
  <c r="R279" i="1"/>
  <c r="S279" i="1"/>
  <c r="T279" i="1"/>
  <c r="U279" i="1"/>
  <c r="V279" i="1"/>
  <c r="W279" i="1"/>
  <c r="X279" i="1"/>
  <c r="Q280" i="1"/>
  <c r="R280" i="1"/>
  <c r="S280" i="1"/>
  <c r="T280" i="1"/>
  <c r="U280" i="1"/>
  <c r="V280" i="1"/>
  <c r="W280" i="1"/>
  <c r="X280" i="1"/>
  <c r="Q281" i="1"/>
  <c r="R281" i="1"/>
  <c r="S281" i="1"/>
  <c r="T281" i="1"/>
  <c r="U281" i="1"/>
  <c r="V281" i="1"/>
  <c r="W281" i="1"/>
  <c r="X281" i="1"/>
  <c r="Q282" i="1"/>
  <c r="R282" i="1"/>
  <c r="S282" i="1"/>
  <c r="T282" i="1"/>
  <c r="U282" i="1"/>
  <c r="V282" i="1"/>
  <c r="W282" i="1"/>
  <c r="X282" i="1"/>
  <c r="Q283" i="1"/>
  <c r="R283" i="1"/>
  <c r="S283" i="1"/>
  <c r="T283" i="1"/>
  <c r="U283" i="1"/>
  <c r="V283" i="1"/>
  <c r="W283" i="1"/>
  <c r="X283" i="1"/>
  <c r="Q284" i="1"/>
  <c r="R284" i="1"/>
  <c r="S284" i="1"/>
  <c r="T284" i="1"/>
  <c r="U284" i="1"/>
  <c r="V284" i="1"/>
  <c r="W284" i="1"/>
  <c r="X284" i="1"/>
  <c r="Q285" i="1"/>
  <c r="R285" i="1"/>
  <c r="S285" i="1"/>
  <c r="T285" i="1"/>
  <c r="U285" i="1"/>
  <c r="V285" i="1"/>
  <c r="W285" i="1"/>
  <c r="X285" i="1"/>
  <c r="Q286" i="1"/>
  <c r="R286" i="1"/>
  <c r="S286" i="1"/>
  <c r="T286" i="1"/>
  <c r="U286" i="1"/>
  <c r="V286" i="1"/>
  <c r="W286" i="1"/>
  <c r="X286" i="1"/>
  <c r="Q287" i="1"/>
  <c r="R287" i="1"/>
  <c r="S287" i="1"/>
  <c r="T287" i="1"/>
  <c r="U287" i="1"/>
  <c r="V287" i="1"/>
  <c r="W287" i="1"/>
  <c r="X287" i="1"/>
  <c r="Q288" i="1"/>
  <c r="R288" i="1"/>
  <c r="S288" i="1"/>
  <c r="T288" i="1"/>
  <c r="U288" i="1"/>
  <c r="V288" i="1"/>
  <c r="W288" i="1"/>
  <c r="X288" i="1"/>
  <c r="Q289" i="1"/>
  <c r="R289" i="1"/>
  <c r="S289" i="1"/>
  <c r="T289" i="1"/>
  <c r="U289" i="1"/>
  <c r="V289" i="1"/>
  <c r="W289" i="1"/>
  <c r="X289" i="1"/>
  <c r="Q290" i="1"/>
  <c r="R290" i="1"/>
  <c r="S290" i="1"/>
  <c r="T290" i="1"/>
  <c r="U290" i="1"/>
  <c r="V290" i="1"/>
  <c r="W290" i="1"/>
  <c r="X290" i="1"/>
  <c r="Q291" i="1"/>
  <c r="R291" i="1"/>
  <c r="S291" i="1"/>
  <c r="T291" i="1"/>
  <c r="U291" i="1"/>
  <c r="V291" i="1"/>
  <c r="W291" i="1"/>
  <c r="X291" i="1"/>
  <c r="Q292" i="1"/>
  <c r="R292" i="1"/>
  <c r="S292" i="1"/>
  <c r="T292" i="1"/>
  <c r="U292" i="1"/>
  <c r="V292" i="1"/>
  <c r="W292" i="1"/>
  <c r="X292" i="1"/>
  <c r="Q293" i="1"/>
  <c r="R293" i="1"/>
  <c r="S293" i="1"/>
  <c r="T293" i="1"/>
  <c r="U293" i="1"/>
  <c r="V293" i="1"/>
  <c r="W293" i="1"/>
  <c r="X293" i="1"/>
  <c r="Q294" i="1"/>
  <c r="R294" i="1"/>
  <c r="S294" i="1"/>
  <c r="T294" i="1"/>
  <c r="U294" i="1"/>
  <c r="V294" i="1"/>
  <c r="W294" i="1"/>
  <c r="X294" i="1"/>
  <c r="Q295" i="1"/>
  <c r="R295" i="1"/>
  <c r="S295" i="1"/>
  <c r="T295" i="1"/>
  <c r="U295" i="1"/>
  <c r="V295" i="1"/>
  <c r="W295" i="1"/>
  <c r="X295" i="1"/>
  <c r="Q296" i="1"/>
  <c r="R296" i="1"/>
  <c r="S296" i="1"/>
  <c r="T296" i="1"/>
  <c r="U296" i="1"/>
  <c r="V296" i="1"/>
  <c r="W296" i="1"/>
  <c r="X296" i="1"/>
  <c r="Q297" i="1"/>
  <c r="R297" i="1"/>
  <c r="S297" i="1"/>
  <c r="T297" i="1"/>
  <c r="U297" i="1"/>
  <c r="V297" i="1"/>
  <c r="W297" i="1"/>
  <c r="X297" i="1"/>
  <c r="Q298" i="1"/>
  <c r="R298" i="1"/>
  <c r="S298" i="1"/>
  <c r="T298" i="1"/>
  <c r="U298" i="1"/>
  <c r="V298" i="1"/>
  <c r="W298" i="1"/>
  <c r="X298" i="1"/>
  <c r="Q299" i="1"/>
  <c r="R299" i="1"/>
  <c r="S299" i="1"/>
  <c r="T299" i="1"/>
  <c r="U299" i="1"/>
  <c r="V299" i="1"/>
  <c r="W299" i="1"/>
  <c r="X299" i="1"/>
  <c r="Q300" i="1"/>
  <c r="R300" i="1"/>
  <c r="S300" i="1"/>
  <c r="T300" i="1"/>
  <c r="U300" i="1"/>
  <c r="V300" i="1"/>
  <c r="W300" i="1"/>
  <c r="X300" i="1"/>
  <c r="Q301" i="1"/>
  <c r="R301" i="1"/>
  <c r="S301" i="1"/>
  <c r="T301" i="1"/>
  <c r="U301" i="1"/>
  <c r="V301" i="1"/>
  <c r="W301" i="1"/>
  <c r="X301" i="1"/>
  <c r="Q302" i="1"/>
  <c r="R302" i="1"/>
  <c r="S302" i="1"/>
  <c r="T302" i="1"/>
  <c r="U302" i="1"/>
  <c r="V302" i="1"/>
  <c r="W302" i="1"/>
  <c r="X302" i="1"/>
  <c r="Q303" i="1"/>
  <c r="R303" i="1"/>
  <c r="S303" i="1"/>
  <c r="T303" i="1"/>
  <c r="U303" i="1"/>
  <c r="V303" i="1"/>
  <c r="W303" i="1"/>
  <c r="X303" i="1"/>
  <c r="Q304" i="1"/>
  <c r="R304" i="1"/>
  <c r="S304" i="1"/>
  <c r="T304" i="1"/>
  <c r="U304" i="1"/>
  <c r="V304" i="1"/>
  <c r="W304" i="1"/>
  <c r="X304" i="1"/>
  <c r="Q305" i="1"/>
  <c r="R305" i="1"/>
  <c r="S305" i="1"/>
  <c r="T305" i="1"/>
  <c r="U305" i="1"/>
  <c r="V305" i="1"/>
  <c r="W305" i="1"/>
  <c r="X305" i="1"/>
  <c r="Q306" i="1"/>
  <c r="R306" i="1"/>
  <c r="S306" i="1"/>
  <c r="T306" i="1"/>
  <c r="U306" i="1"/>
  <c r="V306" i="1"/>
  <c r="W306" i="1"/>
  <c r="X306" i="1"/>
  <c r="Q307" i="1"/>
  <c r="R307" i="1"/>
  <c r="S307" i="1"/>
  <c r="T307" i="1"/>
  <c r="U307" i="1"/>
  <c r="V307" i="1"/>
  <c r="W307" i="1"/>
  <c r="X307" i="1"/>
  <c r="Q308" i="1"/>
  <c r="R308" i="1"/>
  <c r="S308" i="1"/>
  <c r="T308" i="1"/>
  <c r="U308" i="1"/>
  <c r="V308" i="1"/>
  <c r="W308" i="1"/>
  <c r="X308" i="1"/>
  <c r="Q309" i="1"/>
  <c r="R309" i="1"/>
  <c r="S309" i="1"/>
  <c r="T309" i="1"/>
  <c r="U309" i="1"/>
  <c r="V309" i="1"/>
  <c r="W309" i="1"/>
  <c r="X309" i="1"/>
  <c r="Q310" i="1"/>
  <c r="R310" i="1"/>
  <c r="S310" i="1"/>
  <c r="T310" i="1"/>
  <c r="U310" i="1"/>
  <c r="V310" i="1"/>
  <c r="W310" i="1"/>
  <c r="X310" i="1"/>
  <c r="Q311" i="1"/>
  <c r="R311" i="1"/>
  <c r="S311" i="1"/>
  <c r="T311" i="1"/>
  <c r="U311" i="1"/>
  <c r="V311" i="1"/>
  <c r="W311" i="1"/>
  <c r="X311" i="1"/>
  <c r="Q312" i="1"/>
  <c r="R312" i="1"/>
  <c r="S312" i="1"/>
  <c r="T312" i="1"/>
  <c r="U312" i="1"/>
  <c r="V312" i="1"/>
  <c r="W312" i="1"/>
  <c r="X312" i="1"/>
  <c r="Q313" i="1"/>
  <c r="R313" i="1"/>
  <c r="S313" i="1"/>
  <c r="T313" i="1"/>
  <c r="U313" i="1"/>
  <c r="V313" i="1"/>
  <c r="W313" i="1"/>
  <c r="X313" i="1"/>
  <c r="Q314" i="1"/>
  <c r="R314" i="1"/>
  <c r="S314" i="1"/>
  <c r="T314" i="1"/>
  <c r="U314" i="1"/>
  <c r="V314" i="1"/>
  <c r="W314" i="1"/>
  <c r="X314" i="1"/>
  <c r="Q315" i="1"/>
  <c r="R315" i="1"/>
  <c r="S315" i="1"/>
  <c r="T315" i="1"/>
  <c r="U315" i="1"/>
  <c r="V315" i="1"/>
  <c r="W315" i="1"/>
  <c r="X315" i="1"/>
  <c r="Q316" i="1"/>
  <c r="R316" i="1"/>
  <c r="S316" i="1"/>
  <c r="T316" i="1"/>
  <c r="U316" i="1"/>
  <c r="V316" i="1"/>
  <c r="W316" i="1"/>
  <c r="X316" i="1"/>
  <c r="Q317" i="1"/>
  <c r="R317" i="1"/>
  <c r="S317" i="1"/>
  <c r="T317" i="1"/>
  <c r="U317" i="1"/>
  <c r="V317" i="1"/>
  <c r="W317" i="1"/>
  <c r="X317" i="1"/>
  <c r="Q318" i="1"/>
  <c r="R318" i="1"/>
  <c r="S318" i="1"/>
  <c r="T318" i="1"/>
  <c r="U318" i="1"/>
  <c r="V318" i="1"/>
  <c r="W318" i="1"/>
  <c r="X318" i="1"/>
  <c r="Q319" i="1"/>
  <c r="R319" i="1"/>
  <c r="S319" i="1"/>
  <c r="T319" i="1"/>
  <c r="U319" i="1"/>
  <c r="V319" i="1"/>
  <c r="W319" i="1"/>
  <c r="X319" i="1"/>
  <c r="Q320" i="1"/>
  <c r="R320" i="1"/>
  <c r="S320" i="1"/>
  <c r="T320" i="1"/>
  <c r="U320" i="1"/>
  <c r="V320" i="1"/>
  <c r="W320" i="1"/>
  <c r="X320" i="1"/>
  <c r="Q321" i="1"/>
  <c r="R321" i="1"/>
  <c r="S321" i="1"/>
  <c r="T321" i="1"/>
  <c r="U321" i="1"/>
  <c r="V321" i="1"/>
  <c r="W321" i="1"/>
  <c r="X321" i="1"/>
  <c r="Q322" i="1"/>
  <c r="R322" i="1"/>
  <c r="S322" i="1"/>
  <c r="T322" i="1"/>
  <c r="U322" i="1"/>
  <c r="V322" i="1"/>
  <c r="W322" i="1"/>
  <c r="X322" i="1"/>
  <c r="Q323" i="1"/>
  <c r="R323" i="1"/>
  <c r="S323" i="1"/>
  <c r="T323" i="1"/>
  <c r="U323" i="1"/>
  <c r="V323" i="1"/>
  <c r="W323" i="1"/>
  <c r="X323" i="1"/>
  <c r="Q324" i="1"/>
  <c r="R324" i="1"/>
  <c r="S324" i="1"/>
  <c r="T324" i="1"/>
  <c r="U324" i="1"/>
  <c r="V324" i="1"/>
  <c r="W324" i="1"/>
  <c r="X324" i="1"/>
  <c r="Q325" i="1"/>
  <c r="R325" i="1"/>
  <c r="S325" i="1"/>
  <c r="T325" i="1"/>
  <c r="U325" i="1"/>
  <c r="V325" i="1"/>
  <c r="W325" i="1"/>
  <c r="X325" i="1"/>
  <c r="Q326" i="1"/>
  <c r="R326" i="1"/>
  <c r="S326" i="1"/>
  <c r="T326" i="1"/>
  <c r="U326" i="1"/>
  <c r="V326" i="1"/>
  <c r="W326" i="1"/>
  <c r="X326" i="1"/>
  <c r="Q327" i="1"/>
  <c r="R327" i="1"/>
  <c r="S327" i="1"/>
  <c r="T327" i="1"/>
  <c r="U327" i="1"/>
  <c r="V327" i="1"/>
  <c r="W327" i="1"/>
  <c r="X327" i="1"/>
  <c r="Q328" i="1"/>
  <c r="R328" i="1"/>
  <c r="S328" i="1"/>
  <c r="T328" i="1"/>
  <c r="U328" i="1"/>
  <c r="V328" i="1"/>
  <c r="W328" i="1"/>
  <c r="X328" i="1"/>
  <c r="Q329" i="1"/>
  <c r="R329" i="1"/>
  <c r="S329" i="1"/>
  <c r="T329" i="1"/>
  <c r="U329" i="1"/>
  <c r="V329" i="1"/>
  <c r="W329" i="1"/>
  <c r="X329" i="1"/>
  <c r="Q330" i="1"/>
  <c r="R330" i="1"/>
  <c r="S330" i="1"/>
  <c r="T330" i="1"/>
  <c r="U330" i="1"/>
  <c r="V330" i="1"/>
  <c r="W330" i="1"/>
  <c r="X330" i="1"/>
  <c r="Q331" i="1"/>
  <c r="R331" i="1"/>
  <c r="S331" i="1"/>
  <c r="T331" i="1"/>
  <c r="U331" i="1"/>
  <c r="V331" i="1"/>
  <c r="W331" i="1"/>
  <c r="X331" i="1"/>
  <c r="Q332" i="1"/>
  <c r="R332" i="1"/>
  <c r="S332" i="1"/>
  <c r="T332" i="1"/>
  <c r="U332" i="1"/>
  <c r="V332" i="1"/>
  <c r="W332" i="1"/>
  <c r="X332" i="1"/>
  <c r="Q333" i="1"/>
  <c r="R333" i="1"/>
  <c r="S333" i="1"/>
  <c r="T333" i="1"/>
  <c r="U333" i="1"/>
  <c r="V333" i="1"/>
  <c r="W333" i="1"/>
  <c r="X333" i="1"/>
  <c r="Q334" i="1"/>
  <c r="R334" i="1"/>
  <c r="S334" i="1"/>
  <c r="T334" i="1"/>
  <c r="U334" i="1"/>
  <c r="V334" i="1"/>
  <c r="W334" i="1"/>
  <c r="X334" i="1"/>
  <c r="Q335" i="1"/>
  <c r="R335" i="1"/>
  <c r="S335" i="1"/>
  <c r="T335" i="1"/>
  <c r="U335" i="1"/>
  <c r="V335" i="1"/>
  <c r="W335" i="1"/>
  <c r="X335" i="1"/>
  <c r="Q336" i="1"/>
  <c r="R336" i="1"/>
  <c r="S336" i="1"/>
  <c r="T336" i="1"/>
  <c r="U336" i="1"/>
  <c r="V336" i="1"/>
  <c r="W336" i="1"/>
  <c r="X336" i="1"/>
  <c r="Q337" i="1"/>
  <c r="R337" i="1"/>
  <c r="S337" i="1"/>
  <c r="T337" i="1"/>
  <c r="U337" i="1"/>
  <c r="V337" i="1"/>
  <c r="W337" i="1"/>
  <c r="X337" i="1"/>
  <c r="Q338" i="1"/>
  <c r="R338" i="1"/>
  <c r="S338" i="1"/>
  <c r="T338" i="1"/>
  <c r="U338" i="1"/>
  <c r="V338" i="1"/>
  <c r="W338" i="1"/>
  <c r="X338" i="1"/>
  <c r="Q339" i="1"/>
  <c r="R339" i="1"/>
  <c r="S339" i="1"/>
  <c r="T339" i="1"/>
  <c r="U339" i="1"/>
  <c r="V339" i="1"/>
  <c r="W339" i="1"/>
  <c r="X339" i="1"/>
  <c r="Q340" i="1"/>
  <c r="R340" i="1"/>
  <c r="S340" i="1"/>
  <c r="T340" i="1"/>
  <c r="U340" i="1"/>
  <c r="V340" i="1"/>
  <c r="W340" i="1"/>
  <c r="X340" i="1"/>
  <c r="Q341" i="1"/>
  <c r="R341" i="1"/>
  <c r="S341" i="1"/>
  <c r="T341" i="1"/>
  <c r="U341" i="1"/>
  <c r="V341" i="1"/>
  <c r="W341" i="1"/>
  <c r="X341" i="1"/>
  <c r="Q342" i="1"/>
  <c r="R342" i="1"/>
  <c r="S342" i="1"/>
  <c r="T342" i="1"/>
  <c r="U342" i="1"/>
  <c r="V342" i="1"/>
  <c r="W342" i="1"/>
  <c r="X342" i="1"/>
  <c r="Q343" i="1"/>
  <c r="R343" i="1"/>
  <c r="S343" i="1"/>
  <c r="T343" i="1"/>
  <c r="U343" i="1"/>
  <c r="V343" i="1"/>
  <c r="W343" i="1"/>
  <c r="X343" i="1"/>
  <c r="Q344" i="1"/>
  <c r="R344" i="1"/>
  <c r="S344" i="1"/>
  <c r="T344" i="1"/>
  <c r="U344" i="1"/>
  <c r="V344" i="1"/>
  <c r="W344" i="1"/>
  <c r="X344" i="1"/>
  <c r="Q345" i="1"/>
  <c r="R345" i="1"/>
  <c r="S345" i="1"/>
  <c r="T345" i="1"/>
  <c r="U345" i="1"/>
  <c r="V345" i="1"/>
  <c r="W345" i="1"/>
  <c r="X345" i="1"/>
  <c r="Q346" i="1"/>
  <c r="R346" i="1"/>
  <c r="S346" i="1"/>
  <c r="T346" i="1"/>
  <c r="U346" i="1"/>
  <c r="V346" i="1"/>
  <c r="W346" i="1"/>
  <c r="X346" i="1"/>
  <c r="Q347" i="1"/>
  <c r="R347" i="1"/>
  <c r="S347" i="1"/>
  <c r="T347" i="1"/>
  <c r="U347" i="1"/>
  <c r="V347" i="1"/>
  <c r="W347" i="1"/>
  <c r="X347" i="1"/>
  <c r="Q348" i="1"/>
  <c r="R348" i="1"/>
  <c r="S348" i="1"/>
  <c r="T348" i="1"/>
  <c r="U348" i="1"/>
  <c r="V348" i="1"/>
  <c r="W348" i="1"/>
  <c r="X348" i="1"/>
  <c r="Q349" i="1"/>
  <c r="R349" i="1"/>
  <c r="S349" i="1"/>
  <c r="T349" i="1"/>
  <c r="U349" i="1"/>
  <c r="V349" i="1"/>
  <c r="W349" i="1"/>
  <c r="X349" i="1"/>
  <c r="Q350" i="1"/>
  <c r="R350" i="1"/>
  <c r="S350" i="1"/>
  <c r="T350" i="1"/>
  <c r="U350" i="1"/>
  <c r="V350" i="1"/>
  <c r="W350" i="1"/>
  <c r="X350" i="1"/>
  <c r="Q351" i="1"/>
  <c r="R351" i="1"/>
  <c r="S351" i="1"/>
  <c r="T351" i="1"/>
  <c r="U351" i="1"/>
  <c r="V351" i="1"/>
  <c r="W351" i="1"/>
  <c r="X351" i="1"/>
  <c r="Q352" i="1"/>
  <c r="R352" i="1"/>
  <c r="S352" i="1"/>
  <c r="T352" i="1"/>
  <c r="U352" i="1"/>
  <c r="V352" i="1"/>
  <c r="W352" i="1"/>
  <c r="X352" i="1"/>
  <c r="Q353" i="1"/>
  <c r="R353" i="1"/>
  <c r="S353" i="1"/>
  <c r="T353" i="1"/>
  <c r="U353" i="1"/>
  <c r="V353" i="1"/>
  <c r="W353" i="1"/>
  <c r="X353" i="1"/>
  <c r="Q354" i="1"/>
  <c r="R354" i="1"/>
  <c r="S354" i="1"/>
  <c r="T354" i="1"/>
  <c r="U354" i="1"/>
  <c r="V354" i="1"/>
  <c r="W354" i="1"/>
  <c r="X354" i="1"/>
  <c r="Q355" i="1"/>
  <c r="R355" i="1"/>
  <c r="S355" i="1"/>
  <c r="T355" i="1"/>
  <c r="U355" i="1"/>
  <c r="V355" i="1"/>
  <c r="W355" i="1"/>
  <c r="X355" i="1"/>
  <c r="Q356" i="1"/>
  <c r="R356" i="1"/>
  <c r="S356" i="1"/>
  <c r="T356" i="1"/>
  <c r="U356" i="1"/>
  <c r="V356" i="1"/>
  <c r="W356" i="1"/>
  <c r="X356" i="1"/>
  <c r="Q357" i="1"/>
  <c r="R357" i="1"/>
  <c r="S357" i="1"/>
  <c r="T357" i="1"/>
  <c r="U357" i="1"/>
  <c r="V357" i="1"/>
  <c r="W357" i="1"/>
  <c r="X357" i="1"/>
  <c r="Q358" i="1"/>
  <c r="R358" i="1"/>
  <c r="S358" i="1"/>
  <c r="T358" i="1"/>
  <c r="U358" i="1"/>
  <c r="V358" i="1"/>
  <c r="W358" i="1"/>
  <c r="X358" i="1"/>
  <c r="Q359" i="1"/>
  <c r="R359" i="1"/>
  <c r="S359" i="1"/>
  <c r="T359" i="1"/>
  <c r="U359" i="1"/>
  <c r="V359" i="1"/>
  <c r="W359" i="1"/>
  <c r="X359" i="1"/>
  <c r="Q360" i="1"/>
  <c r="R360" i="1"/>
  <c r="S360" i="1"/>
  <c r="T360" i="1"/>
  <c r="U360" i="1"/>
  <c r="V360" i="1"/>
  <c r="W360" i="1"/>
  <c r="X360" i="1"/>
  <c r="Q361" i="1"/>
  <c r="R361" i="1"/>
  <c r="S361" i="1"/>
  <c r="T361" i="1"/>
  <c r="U361" i="1"/>
  <c r="V361" i="1"/>
  <c r="W361" i="1"/>
  <c r="X361" i="1"/>
  <c r="Q362" i="1"/>
  <c r="R362" i="1"/>
  <c r="S362" i="1"/>
  <c r="T362" i="1"/>
  <c r="U362" i="1"/>
  <c r="V362" i="1"/>
  <c r="W362" i="1"/>
  <c r="X362" i="1"/>
  <c r="Q363" i="1"/>
  <c r="R363" i="1"/>
  <c r="S363" i="1"/>
  <c r="T363" i="1"/>
  <c r="U363" i="1"/>
  <c r="V363" i="1"/>
  <c r="W363" i="1"/>
  <c r="X363" i="1"/>
  <c r="Q364" i="1"/>
  <c r="R364" i="1"/>
  <c r="S364" i="1"/>
  <c r="T364" i="1"/>
  <c r="U364" i="1"/>
  <c r="V364" i="1"/>
  <c r="W364" i="1"/>
  <c r="X364" i="1"/>
  <c r="Q365" i="1"/>
  <c r="R365" i="1"/>
  <c r="S365" i="1"/>
  <c r="T365" i="1"/>
  <c r="U365" i="1"/>
  <c r="V365" i="1"/>
  <c r="W365" i="1"/>
  <c r="X365" i="1"/>
  <c r="Q366" i="1"/>
  <c r="R366" i="1"/>
  <c r="S366" i="1"/>
  <c r="T366" i="1"/>
  <c r="U366" i="1"/>
  <c r="V366" i="1"/>
  <c r="W366" i="1"/>
  <c r="X366" i="1"/>
  <c r="Q367" i="1"/>
  <c r="R367" i="1"/>
  <c r="S367" i="1"/>
  <c r="T367" i="1"/>
  <c r="U367" i="1"/>
  <c r="V367" i="1"/>
  <c r="W367" i="1"/>
  <c r="X367" i="1"/>
  <c r="Q368" i="1"/>
  <c r="R368" i="1"/>
  <c r="S368" i="1"/>
  <c r="T368" i="1"/>
  <c r="U368" i="1"/>
  <c r="V368" i="1"/>
  <c r="W368" i="1"/>
  <c r="X368" i="1"/>
  <c r="Q369" i="1"/>
  <c r="R369" i="1"/>
  <c r="S369" i="1"/>
  <c r="T369" i="1"/>
  <c r="U369" i="1"/>
  <c r="V369" i="1"/>
  <c r="W369" i="1"/>
  <c r="X369" i="1"/>
  <c r="Q370" i="1"/>
  <c r="R370" i="1"/>
  <c r="S370" i="1"/>
  <c r="T370" i="1"/>
  <c r="U370" i="1"/>
  <c r="V370" i="1"/>
  <c r="W370" i="1"/>
  <c r="X370" i="1"/>
  <c r="Q371" i="1"/>
  <c r="R371" i="1"/>
  <c r="S371" i="1"/>
  <c r="T371" i="1"/>
  <c r="U371" i="1"/>
  <c r="V371" i="1"/>
  <c r="W371" i="1"/>
  <c r="X371" i="1"/>
  <c r="Q372" i="1"/>
  <c r="R372" i="1"/>
  <c r="S372" i="1"/>
  <c r="T372" i="1"/>
  <c r="U372" i="1"/>
  <c r="V372" i="1"/>
  <c r="W372" i="1"/>
  <c r="X372" i="1"/>
  <c r="Q373" i="1"/>
  <c r="R373" i="1"/>
  <c r="S373" i="1"/>
  <c r="T373" i="1"/>
  <c r="U373" i="1"/>
  <c r="V373" i="1"/>
  <c r="W373" i="1"/>
  <c r="X373" i="1"/>
  <c r="Q374" i="1"/>
  <c r="R374" i="1"/>
  <c r="S374" i="1"/>
  <c r="T374" i="1"/>
  <c r="U374" i="1"/>
  <c r="V374" i="1"/>
  <c r="W374" i="1"/>
  <c r="X374" i="1"/>
  <c r="Q375" i="1"/>
  <c r="R375" i="1"/>
  <c r="S375" i="1"/>
  <c r="T375" i="1"/>
  <c r="U375" i="1"/>
  <c r="V375" i="1"/>
  <c r="W375" i="1"/>
  <c r="X375" i="1"/>
  <c r="Q376" i="1"/>
  <c r="R376" i="1"/>
  <c r="S376" i="1"/>
  <c r="T376" i="1"/>
  <c r="U376" i="1"/>
  <c r="V376" i="1"/>
  <c r="W376" i="1"/>
  <c r="X376" i="1"/>
  <c r="Q377" i="1"/>
  <c r="R377" i="1"/>
  <c r="S377" i="1"/>
  <c r="T377" i="1"/>
  <c r="U377" i="1"/>
  <c r="V377" i="1"/>
  <c r="W377" i="1"/>
  <c r="X377" i="1"/>
  <c r="Q378" i="1"/>
  <c r="R378" i="1"/>
  <c r="S378" i="1"/>
  <c r="T378" i="1"/>
  <c r="U378" i="1"/>
  <c r="V378" i="1"/>
  <c r="W378" i="1"/>
  <c r="X378" i="1"/>
  <c r="Q379" i="1"/>
  <c r="R379" i="1"/>
  <c r="S379" i="1"/>
  <c r="T379" i="1"/>
  <c r="U379" i="1"/>
  <c r="V379" i="1"/>
  <c r="W379" i="1"/>
  <c r="X379" i="1"/>
  <c r="Q380" i="1"/>
  <c r="R380" i="1"/>
  <c r="S380" i="1"/>
  <c r="T380" i="1"/>
  <c r="U380" i="1"/>
  <c r="V380" i="1"/>
  <c r="W380" i="1"/>
  <c r="X380" i="1"/>
  <c r="Q381" i="1"/>
  <c r="R381" i="1"/>
  <c r="S381" i="1"/>
  <c r="T381" i="1"/>
  <c r="U381" i="1"/>
  <c r="V381" i="1"/>
  <c r="W381" i="1"/>
  <c r="X381" i="1"/>
  <c r="Q382" i="1"/>
  <c r="R382" i="1"/>
  <c r="S382" i="1"/>
  <c r="T382" i="1"/>
  <c r="U382" i="1"/>
  <c r="V382" i="1"/>
  <c r="W382" i="1"/>
  <c r="X382" i="1"/>
  <c r="Q383" i="1"/>
  <c r="R383" i="1"/>
  <c r="S383" i="1"/>
  <c r="T383" i="1"/>
  <c r="U383" i="1"/>
  <c r="V383" i="1"/>
  <c r="W383" i="1"/>
  <c r="X383" i="1"/>
  <c r="Q384" i="1"/>
  <c r="R384" i="1"/>
  <c r="S384" i="1"/>
  <c r="T384" i="1"/>
  <c r="U384" i="1"/>
  <c r="V384" i="1"/>
  <c r="W384" i="1"/>
  <c r="X384" i="1"/>
  <c r="Q385" i="1"/>
  <c r="R385" i="1"/>
  <c r="S385" i="1"/>
  <c r="T385" i="1"/>
  <c r="U385" i="1"/>
  <c r="V385" i="1"/>
  <c r="W385" i="1"/>
  <c r="X385" i="1"/>
  <c r="Q386" i="1"/>
  <c r="R386" i="1"/>
  <c r="S386" i="1"/>
  <c r="T386" i="1"/>
  <c r="U386" i="1"/>
  <c r="V386" i="1"/>
  <c r="W386" i="1"/>
  <c r="X386" i="1"/>
  <c r="Q387" i="1"/>
  <c r="R387" i="1"/>
  <c r="S387" i="1"/>
  <c r="T387" i="1"/>
  <c r="U387" i="1"/>
  <c r="V387" i="1"/>
  <c r="W387" i="1"/>
  <c r="X387" i="1"/>
  <c r="Q388" i="1"/>
  <c r="R388" i="1"/>
  <c r="S388" i="1"/>
  <c r="T388" i="1"/>
  <c r="U388" i="1"/>
  <c r="V388" i="1"/>
  <c r="W388" i="1"/>
  <c r="X388" i="1"/>
  <c r="Q389" i="1"/>
  <c r="R389" i="1"/>
  <c r="S389" i="1"/>
  <c r="T389" i="1"/>
  <c r="U389" i="1"/>
  <c r="V389" i="1"/>
  <c r="W389" i="1"/>
  <c r="X389" i="1"/>
  <c r="Q390" i="1"/>
  <c r="R390" i="1"/>
  <c r="S390" i="1"/>
  <c r="T390" i="1"/>
  <c r="U390" i="1"/>
  <c r="V390" i="1"/>
  <c r="W390" i="1"/>
  <c r="X390" i="1"/>
  <c r="Q391" i="1"/>
  <c r="R391" i="1"/>
  <c r="S391" i="1"/>
  <c r="T391" i="1"/>
  <c r="U391" i="1"/>
  <c r="V391" i="1"/>
  <c r="W391" i="1"/>
  <c r="X391" i="1"/>
  <c r="Q392" i="1"/>
  <c r="R392" i="1"/>
  <c r="S392" i="1"/>
  <c r="T392" i="1"/>
  <c r="U392" i="1"/>
  <c r="V392" i="1"/>
  <c r="W392" i="1"/>
  <c r="X392" i="1"/>
  <c r="Q393" i="1"/>
  <c r="R393" i="1"/>
  <c r="S393" i="1"/>
  <c r="T393" i="1"/>
  <c r="U393" i="1"/>
  <c r="V393" i="1"/>
  <c r="W393" i="1"/>
  <c r="X393" i="1"/>
  <c r="Q394" i="1"/>
  <c r="R394" i="1"/>
  <c r="S394" i="1"/>
  <c r="T394" i="1"/>
  <c r="U394" i="1"/>
  <c r="V394" i="1"/>
  <c r="W394" i="1"/>
  <c r="X394" i="1"/>
  <c r="Q395" i="1"/>
  <c r="R395" i="1"/>
  <c r="S395" i="1"/>
  <c r="T395" i="1"/>
  <c r="U395" i="1"/>
  <c r="V395" i="1"/>
  <c r="W395" i="1"/>
  <c r="X395" i="1"/>
  <c r="Q396" i="1"/>
  <c r="R396" i="1"/>
  <c r="S396" i="1"/>
  <c r="T396" i="1"/>
  <c r="U396" i="1"/>
  <c r="V396" i="1"/>
  <c r="W396" i="1"/>
  <c r="X396" i="1"/>
  <c r="Q397" i="1"/>
  <c r="R397" i="1"/>
  <c r="S397" i="1"/>
  <c r="T397" i="1"/>
  <c r="U397" i="1"/>
  <c r="V397" i="1"/>
  <c r="W397" i="1"/>
  <c r="X397" i="1"/>
  <c r="Q398" i="1"/>
  <c r="R398" i="1"/>
  <c r="S398" i="1"/>
  <c r="T398" i="1"/>
  <c r="U398" i="1"/>
  <c r="V398" i="1"/>
  <c r="W398" i="1"/>
  <c r="X398" i="1"/>
  <c r="Q399" i="1"/>
  <c r="R399" i="1"/>
  <c r="S399" i="1"/>
  <c r="T399" i="1"/>
  <c r="U399" i="1"/>
  <c r="V399" i="1"/>
  <c r="W399" i="1"/>
  <c r="X399" i="1"/>
  <c r="Q400" i="1"/>
  <c r="R400" i="1"/>
  <c r="S400" i="1"/>
  <c r="T400" i="1"/>
  <c r="U400" i="1"/>
  <c r="V400" i="1"/>
  <c r="W400" i="1"/>
  <c r="X400" i="1"/>
  <c r="Q401" i="1"/>
  <c r="R401" i="1"/>
  <c r="S401" i="1"/>
  <c r="T401" i="1"/>
  <c r="U401" i="1"/>
  <c r="V401" i="1"/>
  <c r="W401" i="1"/>
  <c r="X401" i="1"/>
  <c r="Q402" i="1"/>
  <c r="R402" i="1"/>
  <c r="S402" i="1"/>
  <c r="T402" i="1"/>
  <c r="U402" i="1"/>
  <c r="V402" i="1"/>
  <c r="W402" i="1"/>
  <c r="X402" i="1"/>
  <c r="Q403" i="1"/>
  <c r="R403" i="1"/>
  <c r="S403" i="1"/>
  <c r="T403" i="1"/>
  <c r="U403" i="1"/>
  <c r="V403" i="1"/>
  <c r="W403" i="1"/>
  <c r="X403" i="1"/>
  <c r="Q404" i="1"/>
  <c r="R404" i="1"/>
  <c r="S404" i="1"/>
  <c r="T404" i="1"/>
  <c r="U404" i="1"/>
  <c r="V404" i="1"/>
  <c r="W404" i="1"/>
  <c r="X404" i="1"/>
  <c r="Q405" i="1"/>
  <c r="R405" i="1"/>
  <c r="S405" i="1"/>
  <c r="T405" i="1"/>
  <c r="U405" i="1"/>
  <c r="V405" i="1"/>
  <c r="W405" i="1"/>
  <c r="X405" i="1"/>
  <c r="Q406" i="1"/>
  <c r="R406" i="1"/>
  <c r="S406" i="1"/>
  <c r="T406" i="1"/>
  <c r="U406" i="1"/>
  <c r="V406" i="1"/>
  <c r="W406" i="1"/>
  <c r="X406" i="1"/>
  <c r="Q407" i="1"/>
  <c r="R407" i="1"/>
  <c r="S407" i="1"/>
  <c r="T407" i="1"/>
  <c r="U407" i="1"/>
  <c r="V407" i="1"/>
  <c r="W407" i="1"/>
  <c r="X407" i="1"/>
  <c r="Q408" i="1"/>
  <c r="R408" i="1"/>
  <c r="S408" i="1"/>
  <c r="T408" i="1"/>
  <c r="U408" i="1"/>
  <c r="V408" i="1"/>
  <c r="W408" i="1"/>
  <c r="X408" i="1"/>
  <c r="Q409" i="1"/>
  <c r="R409" i="1"/>
  <c r="S409" i="1"/>
  <c r="T409" i="1"/>
  <c r="U409" i="1"/>
  <c r="V409" i="1"/>
  <c r="W409" i="1"/>
  <c r="X409" i="1"/>
  <c r="Q410" i="1"/>
  <c r="R410" i="1"/>
  <c r="S410" i="1"/>
  <c r="T410" i="1"/>
  <c r="U410" i="1"/>
  <c r="V410" i="1"/>
  <c r="W410" i="1"/>
  <c r="X410" i="1"/>
  <c r="Q411" i="1"/>
  <c r="R411" i="1"/>
  <c r="S411" i="1"/>
  <c r="T411" i="1"/>
  <c r="U411" i="1"/>
  <c r="V411" i="1"/>
  <c r="W411" i="1"/>
  <c r="X411" i="1"/>
  <c r="Q412" i="1"/>
  <c r="R412" i="1"/>
  <c r="S412" i="1"/>
  <c r="T412" i="1"/>
  <c r="U412" i="1"/>
  <c r="V412" i="1"/>
  <c r="W412" i="1"/>
  <c r="X412" i="1"/>
  <c r="Q413" i="1"/>
  <c r="R413" i="1"/>
  <c r="S413" i="1"/>
  <c r="T413" i="1"/>
  <c r="U413" i="1"/>
  <c r="V413" i="1"/>
  <c r="W413" i="1"/>
  <c r="X413" i="1"/>
  <c r="Q414" i="1"/>
  <c r="R414" i="1"/>
  <c r="S414" i="1"/>
  <c r="T414" i="1"/>
  <c r="U414" i="1"/>
  <c r="V414" i="1"/>
  <c r="W414" i="1"/>
  <c r="X414" i="1"/>
  <c r="Q415" i="1"/>
  <c r="R415" i="1"/>
  <c r="S415" i="1"/>
  <c r="T415" i="1"/>
  <c r="U415" i="1"/>
  <c r="V415" i="1"/>
  <c r="W415" i="1"/>
  <c r="X415" i="1"/>
  <c r="Q416" i="1"/>
  <c r="R416" i="1"/>
  <c r="S416" i="1"/>
  <c r="T416" i="1"/>
  <c r="U416" i="1"/>
  <c r="V416" i="1"/>
  <c r="W416" i="1"/>
  <c r="X416" i="1"/>
  <c r="Q417" i="1"/>
  <c r="R417" i="1"/>
  <c r="S417" i="1"/>
  <c r="T417" i="1"/>
  <c r="U417" i="1"/>
  <c r="V417" i="1"/>
  <c r="W417" i="1"/>
  <c r="X417" i="1"/>
  <c r="Q418" i="1"/>
  <c r="R418" i="1"/>
  <c r="S418" i="1"/>
  <c r="T418" i="1"/>
  <c r="U418" i="1"/>
  <c r="V418" i="1"/>
  <c r="W418" i="1"/>
  <c r="X418" i="1"/>
  <c r="Q419" i="1"/>
  <c r="R419" i="1"/>
  <c r="S419" i="1"/>
  <c r="T419" i="1"/>
  <c r="U419" i="1"/>
  <c r="V419" i="1"/>
  <c r="W419" i="1"/>
  <c r="X419" i="1"/>
  <c r="Q420" i="1"/>
  <c r="R420" i="1"/>
  <c r="S420" i="1"/>
  <c r="T420" i="1"/>
  <c r="U420" i="1"/>
  <c r="V420" i="1"/>
  <c r="W420" i="1"/>
  <c r="X420" i="1"/>
  <c r="Q421" i="1"/>
  <c r="R421" i="1"/>
  <c r="S421" i="1"/>
  <c r="T421" i="1"/>
  <c r="U421" i="1"/>
  <c r="V421" i="1"/>
  <c r="W421" i="1"/>
  <c r="X421" i="1"/>
  <c r="Q422" i="1"/>
  <c r="R422" i="1"/>
  <c r="S422" i="1"/>
  <c r="T422" i="1"/>
  <c r="U422" i="1"/>
  <c r="V422" i="1"/>
  <c r="W422" i="1"/>
  <c r="X422" i="1"/>
  <c r="Q423" i="1"/>
  <c r="R423" i="1"/>
  <c r="S423" i="1"/>
  <c r="T423" i="1"/>
  <c r="U423" i="1"/>
  <c r="V423" i="1"/>
  <c r="W423" i="1"/>
  <c r="X423" i="1"/>
  <c r="Q424" i="1"/>
  <c r="R424" i="1"/>
  <c r="S424" i="1"/>
  <c r="T424" i="1"/>
  <c r="U424" i="1"/>
  <c r="V424" i="1"/>
  <c r="W424" i="1"/>
  <c r="X424" i="1"/>
  <c r="Q425" i="1"/>
  <c r="R425" i="1"/>
  <c r="S425" i="1"/>
  <c r="T425" i="1"/>
  <c r="U425" i="1"/>
  <c r="V425" i="1"/>
  <c r="W425" i="1"/>
  <c r="X425" i="1"/>
  <c r="Q426" i="1"/>
  <c r="R426" i="1"/>
  <c r="S426" i="1"/>
  <c r="T426" i="1"/>
  <c r="U426" i="1"/>
  <c r="V426" i="1"/>
  <c r="W426" i="1"/>
  <c r="X426" i="1"/>
  <c r="Q427" i="1"/>
  <c r="R427" i="1"/>
  <c r="S427" i="1"/>
  <c r="T427" i="1"/>
  <c r="U427" i="1"/>
  <c r="V427" i="1"/>
  <c r="W427" i="1"/>
  <c r="X427" i="1"/>
  <c r="Q428" i="1"/>
  <c r="R428" i="1"/>
  <c r="S428" i="1"/>
  <c r="T428" i="1"/>
  <c r="U428" i="1"/>
  <c r="V428" i="1"/>
  <c r="W428" i="1"/>
  <c r="X428" i="1"/>
  <c r="Q429" i="1"/>
  <c r="R429" i="1"/>
  <c r="S429" i="1"/>
  <c r="T429" i="1"/>
  <c r="U429" i="1"/>
  <c r="V429" i="1"/>
  <c r="W429" i="1"/>
  <c r="X429" i="1"/>
  <c r="Q430" i="1"/>
  <c r="R430" i="1"/>
  <c r="S430" i="1"/>
  <c r="T430" i="1"/>
  <c r="U430" i="1"/>
  <c r="V430" i="1"/>
  <c r="W430" i="1"/>
  <c r="X430" i="1"/>
  <c r="Q431" i="1"/>
  <c r="R431" i="1"/>
  <c r="S431" i="1"/>
  <c r="T431" i="1"/>
  <c r="U431" i="1"/>
  <c r="V431" i="1"/>
  <c r="W431" i="1"/>
  <c r="X431" i="1"/>
  <c r="Q432" i="1"/>
  <c r="R432" i="1"/>
  <c r="S432" i="1"/>
  <c r="T432" i="1"/>
  <c r="U432" i="1"/>
  <c r="V432" i="1"/>
  <c r="W432" i="1"/>
  <c r="X432" i="1"/>
  <c r="Q433" i="1"/>
  <c r="R433" i="1"/>
  <c r="S433" i="1"/>
  <c r="T433" i="1"/>
  <c r="U433" i="1"/>
  <c r="V433" i="1"/>
  <c r="W433" i="1"/>
  <c r="X433" i="1"/>
  <c r="Q434" i="1"/>
  <c r="R434" i="1"/>
  <c r="S434" i="1"/>
  <c r="T434" i="1"/>
  <c r="U434" i="1"/>
  <c r="V434" i="1"/>
  <c r="W434" i="1"/>
  <c r="X434" i="1"/>
  <c r="Q435" i="1"/>
  <c r="R435" i="1"/>
  <c r="S435" i="1"/>
  <c r="T435" i="1"/>
  <c r="U435" i="1"/>
  <c r="V435" i="1"/>
  <c r="W435" i="1"/>
  <c r="X435" i="1"/>
  <c r="Q436" i="1"/>
  <c r="R436" i="1"/>
  <c r="S436" i="1"/>
  <c r="T436" i="1"/>
  <c r="U436" i="1"/>
  <c r="V436" i="1"/>
  <c r="W436" i="1"/>
  <c r="X436" i="1"/>
  <c r="Q437" i="1"/>
  <c r="R437" i="1"/>
  <c r="S437" i="1"/>
  <c r="T437" i="1"/>
  <c r="U437" i="1"/>
  <c r="V437" i="1"/>
  <c r="W437" i="1"/>
  <c r="X437" i="1"/>
  <c r="Q438" i="1"/>
  <c r="R438" i="1"/>
  <c r="S438" i="1"/>
  <c r="T438" i="1"/>
  <c r="U438" i="1"/>
  <c r="V438" i="1"/>
  <c r="W438" i="1"/>
  <c r="X438" i="1"/>
  <c r="Q439" i="1"/>
  <c r="R439" i="1"/>
  <c r="S439" i="1"/>
  <c r="T439" i="1"/>
  <c r="U439" i="1"/>
  <c r="V439" i="1"/>
  <c r="W439" i="1"/>
  <c r="X439" i="1"/>
  <c r="Q440" i="1"/>
  <c r="R440" i="1"/>
  <c r="S440" i="1"/>
  <c r="T440" i="1"/>
  <c r="U440" i="1"/>
  <c r="V440" i="1"/>
  <c r="W440" i="1"/>
  <c r="X440" i="1"/>
  <c r="Q441" i="1"/>
  <c r="R441" i="1"/>
  <c r="S441" i="1"/>
  <c r="T441" i="1"/>
  <c r="U441" i="1"/>
  <c r="V441" i="1"/>
  <c r="W441" i="1"/>
  <c r="X441" i="1"/>
  <c r="Q442" i="1"/>
  <c r="R442" i="1"/>
  <c r="S442" i="1"/>
  <c r="T442" i="1"/>
  <c r="U442" i="1"/>
  <c r="V442" i="1"/>
  <c r="W442" i="1"/>
  <c r="X442" i="1"/>
  <c r="Q443" i="1"/>
  <c r="R443" i="1"/>
  <c r="S443" i="1"/>
  <c r="T443" i="1"/>
  <c r="U443" i="1"/>
  <c r="V443" i="1"/>
  <c r="W443" i="1"/>
  <c r="X443" i="1"/>
  <c r="Q444" i="1"/>
  <c r="R444" i="1"/>
  <c r="S444" i="1"/>
  <c r="T444" i="1"/>
  <c r="U444" i="1"/>
  <c r="V444" i="1"/>
  <c r="W444" i="1"/>
  <c r="X444" i="1"/>
  <c r="Q445" i="1"/>
  <c r="R445" i="1"/>
  <c r="S445" i="1"/>
  <c r="T445" i="1"/>
  <c r="U445" i="1"/>
  <c r="V445" i="1"/>
  <c r="W445" i="1"/>
  <c r="X445" i="1"/>
  <c r="Q446" i="1"/>
  <c r="R446" i="1"/>
  <c r="S446" i="1"/>
  <c r="T446" i="1"/>
  <c r="U446" i="1"/>
  <c r="V446" i="1"/>
  <c r="W446" i="1"/>
  <c r="X446" i="1"/>
  <c r="Q447" i="1"/>
  <c r="R447" i="1"/>
  <c r="S447" i="1"/>
  <c r="T447" i="1"/>
  <c r="U447" i="1"/>
  <c r="V447" i="1"/>
  <c r="W447" i="1"/>
  <c r="X447" i="1"/>
  <c r="Q448" i="1"/>
  <c r="R448" i="1"/>
  <c r="S448" i="1"/>
  <c r="T448" i="1"/>
  <c r="U448" i="1"/>
  <c r="V448" i="1"/>
  <c r="W448" i="1"/>
  <c r="X448" i="1"/>
  <c r="Q449" i="1"/>
  <c r="R449" i="1"/>
  <c r="S449" i="1"/>
  <c r="T449" i="1"/>
  <c r="U449" i="1"/>
  <c r="V449" i="1"/>
  <c r="W449" i="1"/>
  <c r="X449" i="1"/>
  <c r="Q450" i="1"/>
  <c r="R450" i="1"/>
  <c r="S450" i="1"/>
  <c r="T450" i="1"/>
  <c r="U450" i="1"/>
  <c r="V450" i="1"/>
  <c r="W450" i="1"/>
  <c r="X450" i="1"/>
  <c r="Q451" i="1"/>
  <c r="R451" i="1"/>
  <c r="S451" i="1"/>
  <c r="T451" i="1"/>
  <c r="U451" i="1"/>
  <c r="V451" i="1"/>
  <c r="W451" i="1"/>
  <c r="X451" i="1"/>
  <c r="Q452" i="1"/>
  <c r="R452" i="1"/>
  <c r="S452" i="1"/>
  <c r="T452" i="1"/>
  <c r="U452" i="1"/>
  <c r="V452" i="1"/>
  <c r="W452" i="1"/>
  <c r="X452" i="1"/>
  <c r="Q453" i="1"/>
  <c r="R453" i="1"/>
  <c r="S453" i="1"/>
  <c r="T453" i="1"/>
  <c r="U453" i="1"/>
  <c r="V453" i="1"/>
  <c r="W453" i="1"/>
  <c r="X453" i="1"/>
  <c r="Q454" i="1"/>
  <c r="R454" i="1"/>
  <c r="S454" i="1"/>
  <c r="T454" i="1"/>
  <c r="U454" i="1"/>
  <c r="V454" i="1"/>
  <c r="W454" i="1"/>
  <c r="X454" i="1"/>
  <c r="Q455" i="1"/>
  <c r="R455" i="1"/>
  <c r="S455" i="1"/>
  <c r="T455" i="1"/>
  <c r="U455" i="1"/>
  <c r="V455" i="1"/>
  <c r="W455" i="1"/>
  <c r="X455" i="1"/>
  <c r="Q456" i="1"/>
  <c r="R456" i="1"/>
  <c r="S456" i="1"/>
  <c r="T456" i="1"/>
  <c r="U456" i="1"/>
  <c r="V456" i="1"/>
  <c r="W456" i="1"/>
  <c r="X456" i="1"/>
  <c r="Q457" i="1"/>
  <c r="R457" i="1"/>
  <c r="S457" i="1"/>
  <c r="T457" i="1"/>
  <c r="U457" i="1"/>
  <c r="V457" i="1"/>
  <c r="W457" i="1"/>
  <c r="X457" i="1"/>
  <c r="Q458" i="1"/>
  <c r="R458" i="1"/>
  <c r="S458" i="1"/>
  <c r="T458" i="1"/>
  <c r="U458" i="1"/>
  <c r="V458" i="1"/>
  <c r="W458" i="1"/>
  <c r="X458" i="1"/>
  <c r="Q459" i="1"/>
  <c r="R459" i="1"/>
  <c r="S459" i="1"/>
  <c r="T459" i="1"/>
  <c r="U459" i="1"/>
  <c r="V459" i="1"/>
  <c r="W459" i="1"/>
  <c r="X459" i="1"/>
  <c r="Q460" i="1"/>
  <c r="R460" i="1"/>
  <c r="S460" i="1"/>
  <c r="T460" i="1"/>
  <c r="U460" i="1"/>
  <c r="V460" i="1"/>
  <c r="W460" i="1"/>
  <c r="X460" i="1"/>
  <c r="Q461" i="1"/>
  <c r="R461" i="1"/>
  <c r="S461" i="1"/>
  <c r="T461" i="1"/>
  <c r="U461" i="1"/>
  <c r="V461" i="1"/>
  <c r="W461" i="1"/>
  <c r="X461" i="1"/>
  <c r="Q462" i="1"/>
  <c r="R462" i="1"/>
  <c r="S462" i="1"/>
  <c r="T462" i="1"/>
  <c r="U462" i="1"/>
  <c r="V462" i="1"/>
  <c r="W462" i="1"/>
  <c r="X462" i="1"/>
  <c r="Q463" i="1"/>
  <c r="R463" i="1"/>
  <c r="S463" i="1"/>
  <c r="T463" i="1"/>
  <c r="U463" i="1"/>
  <c r="V463" i="1"/>
  <c r="W463" i="1"/>
  <c r="X463" i="1"/>
  <c r="Q464" i="1"/>
  <c r="R464" i="1"/>
  <c r="S464" i="1"/>
  <c r="T464" i="1"/>
  <c r="U464" i="1"/>
  <c r="V464" i="1"/>
  <c r="W464" i="1"/>
  <c r="X464" i="1"/>
  <c r="Q465" i="1"/>
  <c r="R465" i="1"/>
  <c r="S465" i="1"/>
  <c r="T465" i="1"/>
  <c r="U465" i="1"/>
  <c r="V465" i="1"/>
  <c r="W465" i="1"/>
  <c r="X465" i="1"/>
  <c r="Q466" i="1"/>
  <c r="R466" i="1"/>
  <c r="S466" i="1"/>
  <c r="T466" i="1"/>
  <c r="U466" i="1"/>
  <c r="V466" i="1"/>
  <c r="W466" i="1"/>
  <c r="X466" i="1"/>
  <c r="Q467" i="1"/>
  <c r="R467" i="1"/>
  <c r="S467" i="1"/>
  <c r="T467" i="1"/>
  <c r="U467" i="1"/>
  <c r="V467" i="1"/>
  <c r="W467" i="1"/>
  <c r="X467" i="1"/>
  <c r="Q468" i="1"/>
  <c r="R468" i="1"/>
  <c r="S468" i="1"/>
  <c r="T468" i="1"/>
  <c r="U468" i="1"/>
  <c r="V468" i="1"/>
  <c r="W468" i="1"/>
  <c r="X468" i="1"/>
  <c r="Q469" i="1"/>
  <c r="R469" i="1"/>
  <c r="S469" i="1"/>
  <c r="T469" i="1"/>
  <c r="U469" i="1"/>
  <c r="V469" i="1"/>
  <c r="W469" i="1"/>
  <c r="X469" i="1"/>
  <c r="Q470" i="1"/>
  <c r="R470" i="1"/>
  <c r="S470" i="1"/>
  <c r="T470" i="1"/>
  <c r="U470" i="1"/>
  <c r="V470" i="1"/>
  <c r="W470" i="1"/>
  <c r="X470" i="1"/>
  <c r="Q471" i="1"/>
  <c r="R471" i="1"/>
  <c r="S471" i="1"/>
  <c r="T471" i="1"/>
  <c r="U471" i="1"/>
  <c r="V471" i="1"/>
  <c r="W471" i="1"/>
  <c r="X471" i="1"/>
  <c r="Q472" i="1"/>
  <c r="R472" i="1"/>
  <c r="S472" i="1"/>
  <c r="T472" i="1"/>
  <c r="U472" i="1"/>
  <c r="V472" i="1"/>
  <c r="W472" i="1"/>
  <c r="X472" i="1"/>
  <c r="Q473" i="1"/>
  <c r="R473" i="1"/>
  <c r="S473" i="1"/>
  <c r="T473" i="1"/>
  <c r="U473" i="1"/>
  <c r="V473" i="1"/>
  <c r="W473" i="1"/>
  <c r="X473" i="1"/>
  <c r="Q474" i="1"/>
  <c r="R474" i="1"/>
  <c r="S474" i="1"/>
  <c r="T474" i="1"/>
  <c r="U474" i="1"/>
  <c r="V474" i="1"/>
  <c r="W474" i="1"/>
  <c r="X474" i="1"/>
  <c r="Q475" i="1"/>
  <c r="R475" i="1"/>
  <c r="S475" i="1"/>
  <c r="T475" i="1"/>
  <c r="U475" i="1"/>
  <c r="V475" i="1"/>
  <c r="W475" i="1"/>
  <c r="X475" i="1"/>
  <c r="Q476" i="1"/>
  <c r="R476" i="1"/>
  <c r="S476" i="1"/>
  <c r="T476" i="1"/>
  <c r="U476" i="1"/>
  <c r="V476" i="1"/>
  <c r="W476" i="1"/>
  <c r="X476" i="1"/>
  <c r="Q477" i="1"/>
  <c r="R477" i="1"/>
  <c r="S477" i="1"/>
  <c r="T477" i="1"/>
  <c r="U477" i="1"/>
  <c r="V477" i="1"/>
  <c r="W477" i="1"/>
  <c r="X477" i="1"/>
  <c r="Q478" i="1"/>
  <c r="R478" i="1"/>
  <c r="S478" i="1"/>
  <c r="T478" i="1"/>
  <c r="U478" i="1"/>
  <c r="V478" i="1"/>
  <c r="W478" i="1"/>
  <c r="X478" i="1"/>
  <c r="Q479" i="1"/>
  <c r="R479" i="1"/>
  <c r="S479" i="1"/>
  <c r="T479" i="1"/>
  <c r="U479" i="1"/>
  <c r="V479" i="1"/>
  <c r="W479" i="1"/>
  <c r="X479" i="1"/>
  <c r="Q480" i="1"/>
  <c r="R480" i="1"/>
  <c r="S480" i="1"/>
  <c r="T480" i="1"/>
  <c r="U480" i="1"/>
  <c r="V480" i="1"/>
  <c r="W480" i="1"/>
  <c r="X480" i="1"/>
  <c r="Q481" i="1"/>
  <c r="R481" i="1"/>
  <c r="S481" i="1"/>
  <c r="T481" i="1"/>
  <c r="U481" i="1"/>
  <c r="V481" i="1"/>
  <c r="W481" i="1"/>
  <c r="X481" i="1"/>
  <c r="Q482" i="1"/>
  <c r="R482" i="1"/>
  <c r="S482" i="1"/>
  <c r="T482" i="1"/>
  <c r="U482" i="1"/>
  <c r="V482" i="1"/>
  <c r="W482" i="1"/>
  <c r="X482" i="1"/>
  <c r="Q483" i="1"/>
  <c r="R483" i="1"/>
  <c r="S483" i="1"/>
  <c r="T483" i="1"/>
  <c r="U483" i="1"/>
  <c r="V483" i="1"/>
  <c r="W483" i="1"/>
  <c r="X483" i="1"/>
  <c r="Q484" i="1"/>
  <c r="R484" i="1"/>
  <c r="S484" i="1"/>
  <c r="T484" i="1"/>
  <c r="U484" i="1"/>
  <c r="V484" i="1"/>
  <c r="W484" i="1"/>
  <c r="X484" i="1"/>
  <c r="Q485" i="1"/>
  <c r="R485" i="1"/>
  <c r="S485" i="1"/>
  <c r="T485" i="1"/>
  <c r="U485" i="1"/>
  <c r="V485" i="1"/>
  <c r="W485" i="1"/>
  <c r="X485" i="1"/>
  <c r="Q486" i="1"/>
  <c r="R486" i="1"/>
  <c r="S486" i="1"/>
  <c r="T486" i="1"/>
  <c r="U486" i="1"/>
  <c r="V486" i="1"/>
  <c r="W486" i="1"/>
  <c r="X486" i="1"/>
  <c r="Q487" i="1"/>
  <c r="R487" i="1"/>
  <c r="S487" i="1"/>
  <c r="T487" i="1"/>
  <c r="U487" i="1"/>
  <c r="V487" i="1"/>
  <c r="W487" i="1"/>
  <c r="X487" i="1"/>
  <c r="Q488" i="1"/>
  <c r="R488" i="1"/>
  <c r="S488" i="1"/>
  <c r="T488" i="1"/>
  <c r="U488" i="1"/>
  <c r="V488" i="1"/>
  <c r="W488" i="1"/>
  <c r="X488" i="1"/>
  <c r="Q489" i="1"/>
  <c r="R489" i="1"/>
  <c r="S489" i="1"/>
  <c r="T489" i="1"/>
  <c r="U489" i="1"/>
  <c r="V489" i="1"/>
  <c r="W489" i="1"/>
  <c r="X489" i="1"/>
  <c r="Q490" i="1"/>
  <c r="R490" i="1"/>
  <c r="S490" i="1"/>
  <c r="T490" i="1"/>
  <c r="U490" i="1"/>
  <c r="V490" i="1"/>
  <c r="W490" i="1"/>
  <c r="X490" i="1"/>
  <c r="Q491" i="1"/>
  <c r="R491" i="1"/>
  <c r="S491" i="1"/>
  <c r="T491" i="1"/>
  <c r="U491" i="1"/>
  <c r="V491" i="1"/>
  <c r="W491" i="1"/>
  <c r="X491" i="1"/>
  <c r="Q492" i="1"/>
  <c r="R492" i="1"/>
  <c r="S492" i="1"/>
  <c r="T492" i="1"/>
  <c r="U492" i="1"/>
  <c r="V492" i="1"/>
  <c r="W492" i="1"/>
  <c r="X492" i="1"/>
  <c r="Q493" i="1"/>
  <c r="R493" i="1"/>
  <c r="S493" i="1"/>
  <c r="T493" i="1"/>
  <c r="U493" i="1"/>
  <c r="V493" i="1"/>
  <c r="W493" i="1"/>
  <c r="X493" i="1"/>
  <c r="Q494" i="1"/>
  <c r="R494" i="1"/>
  <c r="S494" i="1"/>
  <c r="T494" i="1"/>
  <c r="U494" i="1"/>
  <c r="V494" i="1"/>
  <c r="W494" i="1"/>
  <c r="X494" i="1"/>
  <c r="Q495" i="1"/>
  <c r="R495" i="1"/>
  <c r="S495" i="1"/>
  <c r="T495" i="1"/>
  <c r="U495" i="1"/>
  <c r="V495" i="1"/>
  <c r="W495" i="1"/>
  <c r="X495" i="1"/>
  <c r="Q496" i="1"/>
  <c r="R496" i="1"/>
  <c r="S496" i="1"/>
  <c r="T496" i="1"/>
  <c r="U496" i="1"/>
  <c r="V496" i="1"/>
  <c r="W496" i="1"/>
  <c r="X496" i="1"/>
  <c r="Q497" i="1"/>
  <c r="R497" i="1"/>
  <c r="S497" i="1"/>
  <c r="T497" i="1"/>
  <c r="U497" i="1"/>
  <c r="V497" i="1"/>
  <c r="W497" i="1"/>
  <c r="X497" i="1"/>
  <c r="Q498" i="1"/>
  <c r="R498" i="1"/>
  <c r="S498" i="1"/>
  <c r="T498" i="1"/>
  <c r="U498" i="1"/>
  <c r="V498" i="1"/>
  <c r="W498" i="1"/>
  <c r="X498" i="1"/>
  <c r="Q499" i="1"/>
  <c r="R499" i="1"/>
  <c r="S499" i="1"/>
  <c r="T499" i="1"/>
  <c r="U499" i="1"/>
  <c r="V499" i="1"/>
  <c r="W499" i="1"/>
  <c r="X499" i="1"/>
  <c r="Q500" i="1"/>
  <c r="R500" i="1"/>
  <c r="S500" i="1"/>
  <c r="T500" i="1"/>
  <c r="U500" i="1"/>
  <c r="V500" i="1"/>
  <c r="W500" i="1"/>
  <c r="X500" i="1"/>
  <c r="Q501" i="1"/>
  <c r="R501" i="1"/>
  <c r="S501" i="1"/>
  <c r="T501" i="1"/>
  <c r="U501" i="1"/>
  <c r="V501" i="1"/>
  <c r="W501" i="1"/>
  <c r="X501" i="1"/>
  <c r="Q502" i="1"/>
  <c r="R502" i="1"/>
  <c r="S502" i="1"/>
  <c r="T502" i="1"/>
  <c r="U502" i="1"/>
  <c r="V502" i="1"/>
  <c r="W502" i="1"/>
  <c r="X502" i="1"/>
  <c r="Q503" i="1"/>
  <c r="R503" i="1"/>
  <c r="S503" i="1"/>
  <c r="T503" i="1"/>
  <c r="U503" i="1"/>
  <c r="V503" i="1"/>
  <c r="W503" i="1"/>
  <c r="X503" i="1"/>
  <c r="Q504" i="1"/>
  <c r="R504" i="1"/>
  <c r="S504" i="1"/>
  <c r="T504" i="1"/>
  <c r="U504" i="1"/>
  <c r="V504" i="1"/>
  <c r="W504" i="1"/>
  <c r="X504" i="1"/>
  <c r="Q505" i="1"/>
  <c r="R505" i="1"/>
  <c r="S505" i="1"/>
  <c r="T505" i="1"/>
  <c r="U505" i="1"/>
  <c r="V505" i="1"/>
  <c r="W505" i="1"/>
  <c r="X505" i="1"/>
  <c r="Q506" i="1"/>
  <c r="R506" i="1"/>
  <c r="S506" i="1"/>
  <c r="T506" i="1"/>
  <c r="U506" i="1"/>
  <c r="V506" i="1"/>
  <c r="W506" i="1"/>
  <c r="X506" i="1"/>
  <c r="Q507" i="1"/>
  <c r="R507" i="1"/>
  <c r="S507" i="1"/>
  <c r="T507" i="1"/>
  <c r="U507" i="1"/>
  <c r="V507" i="1"/>
  <c r="W507" i="1"/>
  <c r="X507" i="1"/>
  <c r="Q508" i="1"/>
  <c r="R508" i="1"/>
  <c r="S508" i="1"/>
  <c r="T508" i="1"/>
  <c r="U508" i="1"/>
  <c r="V508" i="1"/>
  <c r="W508" i="1"/>
  <c r="X508" i="1"/>
  <c r="Q509" i="1"/>
  <c r="R509" i="1"/>
  <c r="S509" i="1"/>
  <c r="T509" i="1"/>
  <c r="U509" i="1"/>
  <c r="V509" i="1"/>
  <c r="W509" i="1"/>
  <c r="X509" i="1"/>
  <c r="Q510" i="1"/>
  <c r="R510" i="1"/>
  <c r="S510" i="1"/>
  <c r="T510" i="1"/>
  <c r="U510" i="1"/>
  <c r="V510" i="1"/>
  <c r="W510" i="1"/>
  <c r="X510" i="1"/>
  <c r="Q511" i="1"/>
  <c r="R511" i="1"/>
  <c r="S511" i="1"/>
  <c r="T511" i="1"/>
  <c r="U511" i="1"/>
  <c r="V511" i="1"/>
  <c r="W511" i="1"/>
  <c r="X511" i="1"/>
  <c r="Q512" i="1"/>
  <c r="R512" i="1"/>
  <c r="S512" i="1"/>
  <c r="T512" i="1"/>
  <c r="U512" i="1"/>
  <c r="V512" i="1"/>
  <c r="W512" i="1"/>
  <c r="X512" i="1"/>
  <c r="Q513" i="1"/>
  <c r="R513" i="1"/>
  <c r="S513" i="1"/>
  <c r="T513" i="1"/>
  <c r="U513" i="1"/>
  <c r="V513" i="1"/>
  <c r="W513" i="1"/>
  <c r="X513" i="1"/>
  <c r="Q514" i="1"/>
  <c r="R514" i="1"/>
  <c r="S514" i="1"/>
  <c r="T514" i="1"/>
  <c r="U514" i="1"/>
  <c r="V514" i="1"/>
  <c r="W514" i="1"/>
  <c r="X514" i="1"/>
  <c r="Q515" i="1"/>
  <c r="R515" i="1"/>
  <c r="S515" i="1"/>
  <c r="T515" i="1"/>
  <c r="U515" i="1"/>
  <c r="V515" i="1"/>
  <c r="W515" i="1"/>
  <c r="X515" i="1"/>
  <c r="R2" i="1"/>
  <c r="S2" i="1"/>
  <c r="T2" i="1"/>
  <c r="U2" i="1"/>
  <c r="V2" i="1"/>
  <c r="W2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2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2" i="1"/>
  <c r="D517" i="1"/>
  <c r="E517" i="1"/>
  <c r="F517" i="1"/>
  <c r="G517" i="1"/>
  <c r="H517" i="1"/>
  <c r="I517" i="1"/>
  <c r="J517" i="1"/>
  <c r="K517" i="1"/>
  <c r="L517" i="1"/>
  <c r="C517" i="1"/>
  <c r="C516" i="1"/>
  <c r="E516" i="1"/>
  <c r="F516" i="1"/>
  <c r="G516" i="1"/>
  <c r="H516" i="1"/>
  <c r="I516" i="1"/>
  <c r="J516" i="1"/>
  <c r="K516" i="1"/>
  <c r="L516" i="1"/>
  <c r="D516" i="1"/>
  <c r="N42" i="2"/>
  <c r="P42" i="2" s="1"/>
  <c r="N131" i="2"/>
  <c r="P131" i="2" s="1"/>
  <c r="N74" i="2"/>
  <c r="P74" i="2" s="1"/>
  <c r="N139" i="2"/>
  <c r="P139" i="2" s="1"/>
  <c r="N106" i="2"/>
  <c r="P106" i="2" s="1"/>
  <c r="N291" i="2"/>
  <c r="P291" i="2" s="1"/>
  <c r="N43" i="2"/>
  <c r="P43" i="2" s="1"/>
  <c r="N427" i="2"/>
  <c r="P427" i="2" s="1"/>
  <c r="N464" i="2"/>
  <c r="P464" i="2" s="1"/>
  <c r="N67" i="2"/>
  <c r="P67" i="2" s="1"/>
  <c r="N451" i="2"/>
  <c r="P451" i="2" s="1"/>
  <c r="N32" i="2"/>
  <c r="P32" i="2" s="1"/>
  <c r="N202" i="2"/>
  <c r="P202" i="2" s="1"/>
  <c r="N458" i="2"/>
  <c r="P458" i="2" s="1"/>
  <c r="N75" i="2"/>
  <c r="P75" i="2" s="1"/>
  <c r="N203" i="2"/>
  <c r="P203" i="2" s="1"/>
  <c r="N331" i="2"/>
  <c r="P331" i="2" s="1"/>
  <c r="N459" i="2"/>
  <c r="P459" i="2" s="1"/>
  <c r="N514" i="2"/>
  <c r="P514" i="2" s="1"/>
  <c r="N387" i="2"/>
  <c r="P387" i="2" s="1"/>
  <c r="N11" i="2"/>
  <c r="P11" i="2" s="1"/>
  <c r="N395" i="2"/>
  <c r="P395" i="2" s="1"/>
  <c r="N35" i="2"/>
  <c r="P35" i="2" s="1"/>
  <c r="N419" i="2"/>
  <c r="P419" i="2" s="1"/>
  <c r="N394" i="2"/>
  <c r="P394" i="2" s="1"/>
  <c r="N171" i="2"/>
  <c r="P171" i="2" s="1"/>
  <c r="N170" i="2"/>
  <c r="P170" i="2" s="1"/>
  <c r="N323" i="2"/>
  <c r="P323" i="2" s="1"/>
  <c r="N10" i="2"/>
  <c r="P10" i="2" s="1"/>
  <c r="N234" i="2"/>
  <c r="P234" i="2" s="1"/>
  <c r="P482" i="2"/>
  <c r="N482" i="2"/>
  <c r="N99" i="2"/>
  <c r="P99" i="2" s="1"/>
  <c r="N227" i="2"/>
  <c r="P227" i="2" s="1"/>
  <c r="N355" i="2"/>
  <c r="P355" i="2" s="1"/>
  <c r="N483" i="2"/>
  <c r="P483" i="2" s="1"/>
  <c r="N298" i="2"/>
  <c r="P298" i="2" s="1"/>
  <c r="N259" i="2"/>
  <c r="P259" i="2" s="1"/>
  <c r="N330" i="2"/>
  <c r="P330" i="2" s="1"/>
  <c r="N267" i="2"/>
  <c r="P267" i="2" s="1"/>
  <c r="N362" i="2"/>
  <c r="P362" i="2" s="1"/>
  <c r="N163" i="2"/>
  <c r="P163" i="2" s="1"/>
  <c r="N138" i="2"/>
  <c r="P138" i="2" s="1"/>
  <c r="N299" i="2"/>
  <c r="P299" i="2" s="1"/>
  <c r="N426" i="2"/>
  <c r="P426" i="2" s="1"/>
  <c r="N195" i="2"/>
  <c r="P195" i="2" s="1"/>
  <c r="N18" i="2"/>
  <c r="P18" i="2" s="1"/>
  <c r="N266" i="2"/>
  <c r="P266" i="2" s="1"/>
  <c r="N490" i="2"/>
  <c r="P490" i="2" s="1"/>
  <c r="N107" i="2"/>
  <c r="P107" i="2" s="1"/>
  <c r="N235" i="2"/>
  <c r="P235" i="2" s="1"/>
  <c r="N363" i="2"/>
  <c r="P363" i="2" s="1"/>
  <c r="N515" i="2"/>
  <c r="P515" i="2" s="1"/>
  <c r="N411" i="2"/>
  <c r="P411" i="2" s="1"/>
  <c r="N307" i="2"/>
  <c r="P307" i="2" s="1"/>
  <c r="N211" i="2"/>
  <c r="P211" i="2" s="1"/>
  <c r="N210" i="2"/>
  <c r="P210" i="2" s="1"/>
  <c r="N410" i="2"/>
  <c r="P410" i="2" s="1"/>
  <c r="N314" i="2"/>
  <c r="P314" i="2" s="1"/>
  <c r="N114" i="2"/>
  <c r="P114" i="2" s="1"/>
  <c r="N507" i="2"/>
  <c r="P507" i="2" s="1"/>
  <c r="N98" i="2"/>
  <c r="P98" i="2" s="1"/>
  <c r="N506" i="2"/>
  <c r="P506" i="2" s="1"/>
  <c r="P403" i="2"/>
  <c r="N403" i="2"/>
  <c r="N91" i="2"/>
  <c r="P91" i="2" s="1"/>
  <c r="N290" i="2"/>
  <c r="P290" i="2" s="1"/>
  <c r="N467" i="2"/>
  <c r="P467" i="2" s="1"/>
  <c r="N370" i="2"/>
  <c r="P370" i="2" s="1"/>
  <c r="N58" i="2"/>
  <c r="P58" i="2" s="1"/>
  <c r="N466" i="2"/>
  <c r="P466" i="2" s="1"/>
  <c r="N354" i="2"/>
  <c r="P354" i="2" s="1"/>
  <c r="N251" i="2"/>
  <c r="P251" i="2" s="1"/>
  <c r="N154" i="2"/>
  <c r="P154" i="2" s="1"/>
  <c r="N51" i="2"/>
  <c r="P51" i="2" s="1"/>
  <c r="N306" i="2"/>
  <c r="P306" i="2" s="1"/>
  <c r="N499" i="2"/>
  <c r="P499" i="2" s="1"/>
  <c r="N402" i="2"/>
  <c r="P402" i="2" s="1"/>
  <c r="N187" i="2"/>
  <c r="P187" i="2" s="1"/>
  <c r="N258" i="2"/>
  <c r="P258" i="2" s="1"/>
  <c r="N450" i="2"/>
  <c r="P450" i="2" s="1"/>
  <c r="N347" i="2"/>
  <c r="P347" i="2" s="1"/>
  <c r="N250" i="2"/>
  <c r="P250" i="2" s="1"/>
  <c r="N147" i="2"/>
  <c r="P147" i="2" s="1"/>
  <c r="N50" i="2"/>
  <c r="P50" i="2" s="1"/>
  <c r="N194" i="2"/>
  <c r="P194" i="2" s="1"/>
  <c r="N90" i="2"/>
  <c r="P90" i="2" s="1"/>
  <c r="N155" i="2"/>
  <c r="P155" i="2" s="1"/>
  <c r="N443" i="2"/>
  <c r="P443" i="2" s="1"/>
  <c r="N346" i="2"/>
  <c r="P346" i="2" s="1"/>
  <c r="N243" i="2"/>
  <c r="P243" i="2" s="1"/>
  <c r="N146" i="2"/>
  <c r="P146" i="2" s="1"/>
  <c r="N34" i="2"/>
  <c r="P34" i="2" s="1"/>
  <c r="N498" i="2"/>
  <c r="P498" i="2" s="1"/>
  <c r="N386" i="2"/>
  <c r="P386" i="2" s="1"/>
  <c r="N242" i="2"/>
  <c r="P242" i="2" s="1"/>
  <c r="N130" i="2"/>
  <c r="P130" i="2" s="1"/>
  <c r="N491" i="2"/>
  <c r="P491" i="2" s="1"/>
  <c r="N435" i="2"/>
  <c r="P435" i="2" s="1"/>
  <c r="N379" i="2"/>
  <c r="P379" i="2" s="1"/>
  <c r="N338" i="2"/>
  <c r="P338" i="2" s="1"/>
  <c r="N282" i="2"/>
  <c r="P282" i="2" s="1"/>
  <c r="N226" i="2"/>
  <c r="P226" i="2" s="1"/>
  <c r="N179" i="2"/>
  <c r="P179" i="2" s="1"/>
  <c r="N123" i="2"/>
  <c r="P123" i="2" s="1"/>
  <c r="N82" i="2"/>
  <c r="P82" i="2" s="1"/>
  <c r="N26" i="2"/>
  <c r="P26" i="2" s="1"/>
  <c r="N442" i="2"/>
  <c r="P442" i="2" s="1"/>
  <c r="N339" i="2"/>
  <c r="P339" i="2" s="1"/>
  <c r="N283" i="2"/>
  <c r="P283" i="2" s="1"/>
  <c r="N186" i="2"/>
  <c r="P186" i="2" s="1"/>
  <c r="N27" i="2"/>
  <c r="P27" i="2" s="1"/>
  <c r="N475" i="2"/>
  <c r="P475" i="2" s="1"/>
  <c r="N434" i="2"/>
  <c r="P434" i="2" s="1"/>
  <c r="N378" i="2"/>
  <c r="P378" i="2" s="1"/>
  <c r="N322" i="2"/>
  <c r="P322" i="2" s="1"/>
  <c r="N275" i="2"/>
  <c r="P275" i="2" s="1"/>
  <c r="N219" i="2"/>
  <c r="P219" i="2" s="1"/>
  <c r="N178" i="2"/>
  <c r="P178" i="2" s="1"/>
  <c r="N122" i="2"/>
  <c r="P122" i="2" s="1"/>
  <c r="N66" i="2"/>
  <c r="P66" i="2" s="1"/>
  <c r="N19" i="2"/>
  <c r="P19" i="2" s="1"/>
  <c r="N83" i="2"/>
  <c r="P83" i="2" s="1"/>
  <c r="N503" i="2"/>
  <c r="P503" i="2" s="1"/>
  <c r="N361" i="2"/>
  <c r="P361" i="2" s="1"/>
  <c r="N296" i="2"/>
  <c r="P296" i="2" s="1"/>
  <c r="N169" i="2"/>
  <c r="P169" i="2" s="1"/>
  <c r="N287" i="2"/>
  <c r="P287" i="2" s="1"/>
  <c r="N159" i="2"/>
  <c r="P159" i="2" s="1"/>
  <c r="N489" i="2"/>
  <c r="P489" i="2" s="1"/>
  <c r="N424" i="2"/>
  <c r="P424" i="2" s="1"/>
  <c r="N321" i="2"/>
  <c r="P321" i="2" s="1"/>
  <c r="N248" i="2"/>
  <c r="P248" i="2" s="1"/>
  <c r="N488" i="2"/>
  <c r="P488" i="2" s="1"/>
  <c r="N415" i="2"/>
  <c r="P415" i="2" s="1"/>
  <c r="N385" i="2"/>
  <c r="P385" i="2" s="1"/>
  <c r="N312" i="2"/>
  <c r="P312" i="2" s="1"/>
  <c r="N247" i="2"/>
  <c r="P247" i="2" s="1"/>
  <c r="N145" i="2"/>
  <c r="P145" i="2" s="1"/>
  <c r="N479" i="2"/>
  <c r="P479" i="2" s="1"/>
  <c r="N449" i="2"/>
  <c r="P449" i="2" s="1"/>
  <c r="N376" i="2"/>
  <c r="P376" i="2" s="1"/>
  <c r="N311" i="2"/>
  <c r="P311" i="2" s="1"/>
  <c r="N273" i="2"/>
  <c r="P273" i="2" s="1"/>
  <c r="N144" i="2"/>
  <c r="P144" i="2" s="1"/>
  <c r="N465" i="2"/>
  <c r="P465" i="2" s="1"/>
  <c r="N400" i="2"/>
  <c r="P400" i="2" s="1"/>
  <c r="N335" i="2"/>
  <c r="P335" i="2" s="1"/>
  <c r="N297" i="2"/>
  <c r="P297" i="2" s="1"/>
  <c r="N223" i="2"/>
  <c r="P223" i="2" s="1"/>
  <c r="N399" i="2"/>
  <c r="P399" i="2" s="1"/>
  <c r="N463" i="2"/>
  <c r="P463" i="2" s="1"/>
  <c r="N425" i="2"/>
  <c r="P425" i="2" s="1"/>
  <c r="N360" i="2"/>
  <c r="P360" i="2" s="1"/>
  <c r="N257" i="2"/>
  <c r="P257" i="2" s="1"/>
  <c r="N351" i="2"/>
  <c r="P351" i="2" s="1"/>
  <c r="N208" i="2"/>
  <c r="P208" i="2" s="1"/>
  <c r="N513" i="2"/>
  <c r="P513" i="2" s="1"/>
  <c r="N440" i="2"/>
  <c r="P440" i="2" s="1"/>
  <c r="N375" i="2"/>
  <c r="P375" i="2" s="1"/>
  <c r="N337" i="2"/>
  <c r="P337" i="2" s="1"/>
  <c r="N272" i="2"/>
  <c r="P272" i="2" s="1"/>
  <c r="N184" i="2"/>
  <c r="P184" i="2" s="1"/>
  <c r="N209" i="2"/>
  <c r="P209" i="2" s="1"/>
  <c r="N504" i="2"/>
  <c r="P504" i="2" s="1"/>
  <c r="N439" i="2"/>
  <c r="P439" i="2" s="1"/>
  <c r="N401" i="2"/>
  <c r="P401" i="2" s="1"/>
  <c r="N336" i="2"/>
  <c r="P336" i="2" s="1"/>
  <c r="N271" i="2"/>
  <c r="P271" i="2" s="1"/>
  <c r="N233" i="2"/>
  <c r="P233" i="2" s="1"/>
  <c r="N183" i="2"/>
  <c r="P183" i="2" s="1"/>
  <c r="N129" i="2"/>
  <c r="P129" i="2" s="1"/>
  <c r="N207" i="2"/>
  <c r="P207" i="2" s="1"/>
  <c r="N168" i="2"/>
  <c r="P168" i="2" s="1"/>
  <c r="N143" i="2"/>
  <c r="P143" i="2" s="1"/>
  <c r="N128" i="2"/>
  <c r="P128" i="2" s="1"/>
  <c r="N97" i="2"/>
  <c r="P97" i="2" s="1"/>
  <c r="N33" i="2"/>
  <c r="P33" i="2" s="1"/>
  <c r="N487" i="2"/>
  <c r="P487" i="2" s="1"/>
  <c r="N448" i="2"/>
  <c r="P448" i="2" s="1"/>
  <c r="N409" i="2"/>
  <c r="P409" i="2" s="1"/>
  <c r="N384" i="2"/>
  <c r="P384" i="2" s="1"/>
  <c r="N345" i="2"/>
  <c r="P345" i="2" s="1"/>
  <c r="N112" i="2"/>
  <c r="P112" i="2" s="1"/>
  <c r="N48" i="2"/>
  <c r="P48" i="2" s="1"/>
  <c r="N16" i="2"/>
  <c r="P16" i="2" s="1"/>
  <c r="N497" i="2"/>
  <c r="P497" i="2" s="1"/>
  <c r="N433" i="2"/>
  <c r="P433" i="2" s="1"/>
  <c r="N255" i="2"/>
  <c r="P255" i="2" s="1"/>
  <c r="N177" i="2"/>
  <c r="P177" i="2" s="1"/>
  <c r="N152" i="2"/>
  <c r="P152" i="2" s="1"/>
  <c r="N496" i="2"/>
  <c r="P496" i="2" s="1"/>
  <c r="N471" i="2"/>
  <c r="P471" i="2" s="1"/>
  <c r="N457" i="2"/>
  <c r="P457" i="2" s="1"/>
  <c r="N432" i="2"/>
  <c r="P432" i="2" s="1"/>
  <c r="N407" i="2"/>
  <c r="P407" i="2" s="1"/>
  <c r="N393" i="2"/>
  <c r="P393" i="2" s="1"/>
  <c r="N368" i="2"/>
  <c r="P368" i="2" s="1"/>
  <c r="N343" i="2"/>
  <c r="P343" i="2" s="1"/>
  <c r="P329" i="2"/>
  <c r="N329" i="2"/>
  <c r="N304" i="2"/>
  <c r="P304" i="2" s="1"/>
  <c r="N279" i="2"/>
  <c r="P279" i="2" s="1"/>
  <c r="N265" i="2"/>
  <c r="P265" i="2" s="1"/>
  <c r="N240" i="2"/>
  <c r="P240" i="2" s="1"/>
  <c r="N215" i="2"/>
  <c r="P215" i="2" s="1"/>
  <c r="N201" i="2"/>
  <c r="P201" i="2" s="1"/>
  <c r="N176" i="2"/>
  <c r="P176" i="2" s="1"/>
  <c r="N151" i="2"/>
  <c r="P151" i="2" s="1"/>
  <c r="N137" i="2"/>
  <c r="P137" i="2" s="1"/>
  <c r="N121" i="2"/>
  <c r="P121" i="2" s="1"/>
  <c r="N232" i="2"/>
  <c r="P232" i="2" s="1"/>
  <c r="N193" i="2"/>
  <c r="P193" i="2" s="1"/>
  <c r="N113" i="2"/>
  <c r="P113" i="2" s="1"/>
  <c r="N81" i="2"/>
  <c r="P81" i="2" s="1"/>
  <c r="N49" i="2"/>
  <c r="P49" i="2" s="1"/>
  <c r="N17" i="2"/>
  <c r="P17" i="2" s="1"/>
  <c r="N512" i="2"/>
  <c r="P512" i="2" s="1"/>
  <c r="N473" i="2"/>
  <c r="P473" i="2" s="1"/>
  <c r="N423" i="2"/>
  <c r="P423" i="2" s="1"/>
  <c r="N295" i="2"/>
  <c r="P295" i="2" s="1"/>
  <c r="N256" i="2"/>
  <c r="P256" i="2" s="1"/>
  <c r="N231" i="2"/>
  <c r="P231" i="2" s="1"/>
  <c r="N192" i="2"/>
  <c r="P192" i="2" s="1"/>
  <c r="N153" i="2"/>
  <c r="P153" i="2" s="1"/>
  <c r="N80" i="2"/>
  <c r="P80" i="2" s="1"/>
  <c r="N64" i="2"/>
  <c r="P64" i="2" s="1"/>
  <c r="N447" i="2"/>
  <c r="P447" i="2" s="1"/>
  <c r="N408" i="2"/>
  <c r="P408" i="2" s="1"/>
  <c r="N369" i="2"/>
  <c r="P369" i="2" s="1"/>
  <c r="N319" i="2"/>
  <c r="P319" i="2" s="1"/>
  <c r="N280" i="2"/>
  <c r="P280" i="2" s="1"/>
  <c r="N241" i="2"/>
  <c r="P241" i="2" s="1"/>
  <c r="N216" i="2"/>
  <c r="P216" i="2" s="1"/>
  <c r="N191" i="2"/>
  <c r="P191" i="2" s="1"/>
  <c r="N495" i="2"/>
  <c r="P495" i="2" s="1"/>
  <c r="N481" i="2"/>
  <c r="P481" i="2" s="1"/>
  <c r="N456" i="2"/>
  <c r="P456" i="2" s="1"/>
  <c r="N431" i="2"/>
  <c r="P431" i="2" s="1"/>
  <c r="N417" i="2"/>
  <c r="P417" i="2" s="1"/>
  <c r="N392" i="2"/>
  <c r="P392" i="2" s="1"/>
  <c r="N367" i="2"/>
  <c r="P367" i="2" s="1"/>
  <c r="N353" i="2"/>
  <c r="P353" i="2" s="1"/>
  <c r="N328" i="2"/>
  <c r="P328" i="2" s="1"/>
  <c r="N303" i="2"/>
  <c r="P303" i="2" s="1"/>
  <c r="N289" i="2"/>
  <c r="P289" i="2" s="1"/>
  <c r="N264" i="2"/>
  <c r="P264" i="2" s="1"/>
  <c r="N239" i="2"/>
  <c r="P239" i="2" s="1"/>
  <c r="N225" i="2"/>
  <c r="P225" i="2" s="1"/>
  <c r="N200" i="2"/>
  <c r="P200" i="2" s="1"/>
  <c r="N175" i="2"/>
  <c r="P175" i="2" s="1"/>
  <c r="N161" i="2"/>
  <c r="P161" i="2" s="1"/>
  <c r="N136" i="2"/>
  <c r="P136" i="2" s="1"/>
  <c r="N120" i="2"/>
  <c r="P120" i="2" s="1"/>
  <c r="N105" i="2"/>
  <c r="P105" i="2" s="1"/>
  <c r="N89" i="2"/>
  <c r="P89" i="2" s="1"/>
  <c r="N73" i="2"/>
  <c r="P73" i="2" s="1"/>
  <c r="N57" i="2"/>
  <c r="P57" i="2" s="1"/>
  <c r="N41" i="2"/>
  <c r="P41" i="2" s="1"/>
  <c r="N25" i="2"/>
  <c r="P25" i="2" s="1"/>
  <c r="N9" i="2"/>
  <c r="P9" i="2" s="1"/>
  <c r="N65" i="2"/>
  <c r="P65" i="2" s="1"/>
  <c r="N359" i="2"/>
  <c r="P359" i="2" s="1"/>
  <c r="N320" i="2"/>
  <c r="P320" i="2" s="1"/>
  <c r="P281" i="2"/>
  <c r="N281" i="2"/>
  <c r="N217" i="2"/>
  <c r="P217" i="2" s="1"/>
  <c r="N167" i="2"/>
  <c r="P167" i="2" s="1"/>
  <c r="N96" i="2"/>
  <c r="P96" i="2" s="1"/>
  <c r="N511" i="2"/>
  <c r="P511" i="2" s="1"/>
  <c r="N472" i="2"/>
  <c r="P472" i="2" s="1"/>
  <c r="N383" i="2"/>
  <c r="P383" i="2" s="1"/>
  <c r="N344" i="2"/>
  <c r="P344" i="2" s="1"/>
  <c r="N305" i="2"/>
  <c r="P305" i="2" s="1"/>
  <c r="N505" i="2"/>
  <c r="P505" i="2" s="1"/>
  <c r="N480" i="2"/>
  <c r="P480" i="2" s="1"/>
  <c r="N455" i="2"/>
  <c r="P455" i="2" s="1"/>
  <c r="N441" i="2"/>
  <c r="P441" i="2" s="1"/>
  <c r="N416" i="2"/>
  <c r="P416" i="2" s="1"/>
  <c r="N391" i="2"/>
  <c r="P391" i="2" s="1"/>
  <c r="N377" i="2"/>
  <c r="P377" i="2" s="1"/>
  <c r="N352" i="2"/>
  <c r="P352" i="2" s="1"/>
  <c r="N327" i="2"/>
  <c r="P327" i="2" s="1"/>
  <c r="N313" i="2"/>
  <c r="P313" i="2" s="1"/>
  <c r="N288" i="2"/>
  <c r="P288" i="2" s="1"/>
  <c r="N263" i="2"/>
  <c r="P263" i="2" s="1"/>
  <c r="N249" i="2"/>
  <c r="P249" i="2" s="1"/>
  <c r="N224" i="2"/>
  <c r="P224" i="2" s="1"/>
  <c r="N199" i="2"/>
  <c r="P199" i="2" s="1"/>
  <c r="N185" i="2"/>
  <c r="P185" i="2" s="1"/>
  <c r="N160" i="2"/>
  <c r="P160" i="2" s="1"/>
  <c r="N119" i="2"/>
  <c r="P119" i="2" s="1"/>
  <c r="N104" i="2"/>
  <c r="P104" i="2" s="1"/>
  <c r="N88" i="2"/>
  <c r="P88" i="2" s="1"/>
  <c r="N72" i="2"/>
  <c r="P72" i="2" s="1"/>
  <c r="N56" i="2"/>
  <c r="P56" i="2" s="1"/>
  <c r="N40" i="2"/>
  <c r="P40" i="2" s="1"/>
  <c r="N24" i="2"/>
  <c r="P24" i="2" s="1"/>
  <c r="N8" i="2"/>
  <c r="P8" i="2" s="1"/>
  <c r="N135" i="2"/>
  <c r="P135" i="2" s="1"/>
  <c r="N111" i="2"/>
  <c r="P111" i="2" s="1"/>
  <c r="N87" i="2"/>
  <c r="P87" i="2" s="1"/>
  <c r="N63" i="2"/>
  <c r="P63" i="2" s="1"/>
  <c r="N39" i="2"/>
  <c r="P39" i="2" s="1"/>
  <c r="N23" i="2"/>
  <c r="P23" i="2" s="1"/>
  <c r="N510" i="2"/>
  <c r="P510" i="2" s="1"/>
  <c r="N502" i="2"/>
  <c r="P502" i="2" s="1"/>
  <c r="N494" i="2"/>
  <c r="P494" i="2" s="1"/>
  <c r="N486" i="2"/>
  <c r="P486" i="2" s="1"/>
  <c r="N478" i="2"/>
  <c r="P478" i="2" s="1"/>
  <c r="N470" i="2"/>
  <c r="P470" i="2" s="1"/>
  <c r="N462" i="2"/>
  <c r="P462" i="2" s="1"/>
  <c r="N454" i="2"/>
  <c r="P454" i="2" s="1"/>
  <c r="N446" i="2"/>
  <c r="P446" i="2" s="1"/>
  <c r="N438" i="2"/>
  <c r="P438" i="2" s="1"/>
  <c r="N430" i="2"/>
  <c r="P430" i="2" s="1"/>
  <c r="N422" i="2"/>
  <c r="P422" i="2" s="1"/>
  <c r="N414" i="2"/>
  <c r="P414" i="2" s="1"/>
  <c r="N406" i="2"/>
  <c r="P406" i="2" s="1"/>
  <c r="N398" i="2"/>
  <c r="P398" i="2" s="1"/>
  <c r="N390" i="2"/>
  <c r="P390" i="2" s="1"/>
  <c r="N382" i="2"/>
  <c r="P382" i="2" s="1"/>
  <c r="N374" i="2"/>
  <c r="P374" i="2" s="1"/>
  <c r="N366" i="2"/>
  <c r="P366" i="2" s="1"/>
  <c r="N358" i="2"/>
  <c r="P358" i="2" s="1"/>
  <c r="N350" i="2"/>
  <c r="P350" i="2" s="1"/>
  <c r="N342" i="2"/>
  <c r="P342" i="2" s="1"/>
  <c r="N334" i="2"/>
  <c r="P334" i="2" s="1"/>
  <c r="N326" i="2"/>
  <c r="P326" i="2" s="1"/>
  <c r="P318" i="2"/>
  <c r="N318" i="2"/>
  <c r="N310" i="2"/>
  <c r="P310" i="2" s="1"/>
  <c r="N302" i="2"/>
  <c r="P302" i="2" s="1"/>
  <c r="N294" i="2"/>
  <c r="P294" i="2" s="1"/>
  <c r="N286" i="2"/>
  <c r="P286" i="2" s="1"/>
  <c r="N278" i="2"/>
  <c r="P278" i="2" s="1"/>
  <c r="N270" i="2"/>
  <c r="P270" i="2" s="1"/>
  <c r="N262" i="2"/>
  <c r="P262" i="2" s="1"/>
  <c r="N254" i="2"/>
  <c r="P254" i="2" s="1"/>
  <c r="N246" i="2"/>
  <c r="P246" i="2" s="1"/>
  <c r="N238" i="2"/>
  <c r="P238" i="2" s="1"/>
  <c r="N230" i="2"/>
  <c r="P230" i="2" s="1"/>
  <c r="N222" i="2"/>
  <c r="P222" i="2" s="1"/>
  <c r="N214" i="2"/>
  <c r="P214" i="2" s="1"/>
  <c r="N206" i="2"/>
  <c r="P206" i="2" s="1"/>
  <c r="N198" i="2"/>
  <c r="P198" i="2" s="1"/>
  <c r="N190" i="2"/>
  <c r="P190" i="2" s="1"/>
  <c r="N182" i="2"/>
  <c r="P182" i="2" s="1"/>
  <c r="N174" i="2"/>
  <c r="P174" i="2" s="1"/>
  <c r="N166" i="2"/>
  <c r="P166" i="2" s="1"/>
  <c r="N158" i="2"/>
  <c r="P158" i="2" s="1"/>
  <c r="N150" i="2"/>
  <c r="P150" i="2" s="1"/>
  <c r="N142" i="2"/>
  <c r="P142" i="2" s="1"/>
  <c r="N134" i="2"/>
  <c r="P134" i="2" s="1"/>
  <c r="N126" i="2"/>
  <c r="P126" i="2" s="1"/>
  <c r="N118" i="2"/>
  <c r="P118" i="2" s="1"/>
  <c r="N110" i="2"/>
  <c r="P110" i="2" s="1"/>
  <c r="N102" i="2"/>
  <c r="P102" i="2" s="1"/>
  <c r="N94" i="2"/>
  <c r="P94" i="2" s="1"/>
  <c r="N86" i="2"/>
  <c r="P86" i="2" s="1"/>
  <c r="N78" i="2"/>
  <c r="P78" i="2" s="1"/>
  <c r="N70" i="2"/>
  <c r="P70" i="2" s="1"/>
  <c r="N62" i="2"/>
  <c r="P62" i="2" s="1"/>
  <c r="N54" i="2"/>
  <c r="P54" i="2" s="1"/>
  <c r="N46" i="2"/>
  <c r="P46" i="2" s="1"/>
  <c r="N38" i="2"/>
  <c r="P38" i="2" s="1"/>
  <c r="N30" i="2"/>
  <c r="P30" i="2" s="1"/>
  <c r="N22" i="2"/>
  <c r="P22" i="2" s="1"/>
  <c r="N14" i="2"/>
  <c r="P14" i="2" s="1"/>
  <c r="P6" i="2"/>
  <c r="N95" i="2"/>
  <c r="P95" i="2" s="1"/>
  <c r="N71" i="2"/>
  <c r="P71" i="2" s="1"/>
  <c r="N47" i="2"/>
  <c r="P47" i="2" s="1"/>
  <c r="N31" i="2"/>
  <c r="P31" i="2" s="1"/>
  <c r="N7" i="2"/>
  <c r="P7" i="2" s="1"/>
  <c r="N509" i="2"/>
  <c r="P509" i="2" s="1"/>
  <c r="N501" i="2"/>
  <c r="P501" i="2" s="1"/>
  <c r="N493" i="2"/>
  <c r="P493" i="2" s="1"/>
  <c r="N485" i="2"/>
  <c r="P485" i="2" s="1"/>
  <c r="N477" i="2"/>
  <c r="P477" i="2" s="1"/>
  <c r="N469" i="2"/>
  <c r="P469" i="2" s="1"/>
  <c r="N461" i="2"/>
  <c r="P461" i="2" s="1"/>
  <c r="N453" i="2"/>
  <c r="P453" i="2" s="1"/>
  <c r="N445" i="2"/>
  <c r="P445" i="2" s="1"/>
  <c r="N437" i="2"/>
  <c r="P437" i="2" s="1"/>
  <c r="N429" i="2"/>
  <c r="P429" i="2" s="1"/>
  <c r="N421" i="2"/>
  <c r="P421" i="2" s="1"/>
  <c r="N413" i="2"/>
  <c r="P413" i="2" s="1"/>
  <c r="N405" i="2"/>
  <c r="P405" i="2" s="1"/>
  <c r="N397" i="2"/>
  <c r="P397" i="2" s="1"/>
  <c r="N389" i="2"/>
  <c r="P389" i="2" s="1"/>
  <c r="N381" i="2"/>
  <c r="P381" i="2" s="1"/>
  <c r="N373" i="2"/>
  <c r="P373" i="2" s="1"/>
  <c r="N365" i="2"/>
  <c r="P365" i="2" s="1"/>
  <c r="N357" i="2"/>
  <c r="P357" i="2" s="1"/>
  <c r="N349" i="2"/>
  <c r="P349" i="2" s="1"/>
  <c r="N341" i="2"/>
  <c r="P341" i="2" s="1"/>
  <c r="N333" i="2"/>
  <c r="P333" i="2" s="1"/>
  <c r="N325" i="2"/>
  <c r="P325" i="2" s="1"/>
  <c r="N317" i="2"/>
  <c r="P317" i="2" s="1"/>
  <c r="N309" i="2"/>
  <c r="P309" i="2" s="1"/>
  <c r="N301" i="2"/>
  <c r="P301" i="2" s="1"/>
  <c r="N293" i="2"/>
  <c r="P293" i="2" s="1"/>
  <c r="N285" i="2"/>
  <c r="P285" i="2" s="1"/>
  <c r="N277" i="2"/>
  <c r="P277" i="2" s="1"/>
  <c r="N269" i="2"/>
  <c r="P269" i="2" s="1"/>
  <c r="N261" i="2"/>
  <c r="P261" i="2" s="1"/>
  <c r="N253" i="2"/>
  <c r="P253" i="2" s="1"/>
  <c r="N245" i="2"/>
  <c r="P245" i="2" s="1"/>
  <c r="N237" i="2"/>
  <c r="P237" i="2" s="1"/>
  <c r="N229" i="2"/>
  <c r="P229" i="2" s="1"/>
  <c r="N221" i="2"/>
  <c r="P221" i="2" s="1"/>
  <c r="N213" i="2"/>
  <c r="P213" i="2" s="1"/>
  <c r="N205" i="2"/>
  <c r="P205" i="2" s="1"/>
  <c r="N197" i="2"/>
  <c r="P197" i="2" s="1"/>
  <c r="N189" i="2"/>
  <c r="P189" i="2" s="1"/>
  <c r="N181" i="2"/>
  <c r="P181" i="2" s="1"/>
  <c r="N173" i="2"/>
  <c r="P173" i="2" s="1"/>
  <c r="N165" i="2"/>
  <c r="P165" i="2" s="1"/>
  <c r="N157" i="2"/>
  <c r="P157" i="2" s="1"/>
  <c r="N149" i="2"/>
  <c r="P149" i="2" s="1"/>
  <c r="N141" i="2"/>
  <c r="P141" i="2" s="1"/>
  <c r="N133" i="2"/>
  <c r="P133" i="2" s="1"/>
  <c r="N125" i="2"/>
  <c r="P125" i="2" s="1"/>
  <c r="N117" i="2"/>
  <c r="P117" i="2" s="1"/>
  <c r="N109" i="2"/>
  <c r="P109" i="2" s="1"/>
  <c r="N101" i="2"/>
  <c r="P101" i="2" s="1"/>
  <c r="N93" i="2"/>
  <c r="P93" i="2" s="1"/>
  <c r="N85" i="2"/>
  <c r="P85" i="2" s="1"/>
  <c r="N77" i="2"/>
  <c r="P77" i="2" s="1"/>
  <c r="N69" i="2"/>
  <c r="P69" i="2" s="1"/>
  <c r="N61" i="2"/>
  <c r="P61" i="2" s="1"/>
  <c r="N53" i="2"/>
  <c r="P53" i="2" s="1"/>
  <c r="N45" i="2"/>
  <c r="P45" i="2" s="1"/>
  <c r="N37" i="2"/>
  <c r="P37" i="2" s="1"/>
  <c r="N29" i="2"/>
  <c r="P29" i="2" s="1"/>
  <c r="N21" i="2"/>
  <c r="P21" i="2" s="1"/>
  <c r="N13" i="2"/>
  <c r="P13" i="2" s="1"/>
  <c r="P5" i="2"/>
  <c r="N127" i="2"/>
  <c r="P127" i="2" s="1"/>
  <c r="N103" i="2"/>
  <c r="P103" i="2" s="1"/>
  <c r="N79" i="2"/>
  <c r="P79" i="2" s="1"/>
  <c r="N55" i="2"/>
  <c r="P55" i="2" s="1"/>
  <c r="N15" i="2"/>
  <c r="P15" i="2" s="1"/>
  <c r="N508" i="2"/>
  <c r="P508" i="2" s="1"/>
  <c r="N500" i="2"/>
  <c r="P500" i="2" s="1"/>
  <c r="N492" i="2"/>
  <c r="P492" i="2" s="1"/>
  <c r="N484" i="2"/>
  <c r="P484" i="2" s="1"/>
  <c r="N476" i="2"/>
  <c r="P476" i="2" s="1"/>
  <c r="N468" i="2"/>
  <c r="P468" i="2" s="1"/>
  <c r="N460" i="2"/>
  <c r="P460" i="2" s="1"/>
  <c r="N452" i="2"/>
  <c r="P452" i="2" s="1"/>
  <c r="N444" i="2"/>
  <c r="P444" i="2" s="1"/>
  <c r="N436" i="2"/>
  <c r="P436" i="2" s="1"/>
  <c r="N428" i="2"/>
  <c r="P428" i="2" s="1"/>
  <c r="N420" i="2"/>
  <c r="P420" i="2" s="1"/>
  <c r="N412" i="2"/>
  <c r="P412" i="2" s="1"/>
  <c r="N404" i="2"/>
  <c r="P404" i="2" s="1"/>
  <c r="N396" i="2"/>
  <c r="P396" i="2" s="1"/>
  <c r="N388" i="2"/>
  <c r="P388" i="2" s="1"/>
  <c r="N380" i="2"/>
  <c r="P380" i="2" s="1"/>
  <c r="N372" i="2"/>
  <c r="P372" i="2" s="1"/>
  <c r="N364" i="2"/>
  <c r="P364" i="2" s="1"/>
  <c r="N356" i="2"/>
  <c r="P356" i="2" s="1"/>
  <c r="N348" i="2"/>
  <c r="P348" i="2" s="1"/>
  <c r="N340" i="2"/>
  <c r="P340" i="2" s="1"/>
  <c r="N332" i="2"/>
  <c r="P332" i="2" s="1"/>
  <c r="N324" i="2"/>
  <c r="P324" i="2" s="1"/>
  <c r="N316" i="2"/>
  <c r="P316" i="2" s="1"/>
  <c r="N308" i="2"/>
  <c r="P308" i="2" s="1"/>
  <c r="N300" i="2"/>
  <c r="P300" i="2" s="1"/>
  <c r="N292" i="2"/>
  <c r="P292" i="2" s="1"/>
  <c r="N284" i="2"/>
  <c r="P284" i="2" s="1"/>
  <c r="N276" i="2"/>
  <c r="P276" i="2" s="1"/>
  <c r="N268" i="2"/>
  <c r="P268" i="2" s="1"/>
  <c r="N260" i="2"/>
  <c r="P260" i="2" s="1"/>
  <c r="N252" i="2"/>
  <c r="P252" i="2" s="1"/>
  <c r="N244" i="2"/>
  <c r="P244" i="2" s="1"/>
  <c r="N236" i="2"/>
  <c r="P236" i="2" s="1"/>
  <c r="N228" i="2"/>
  <c r="P228" i="2" s="1"/>
  <c r="N220" i="2"/>
  <c r="P220" i="2" s="1"/>
  <c r="N212" i="2"/>
  <c r="P212" i="2" s="1"/>
  <c r="N204" i="2"/>
  <c r="P204" i="2" s="1"/>
  <c r="N196" i="2"/>
  <c r="P196" i="2" s="1"/>
  <c r="N188" i="2"/>
  <c r="P188" i="2" s="1"/>
  <c r="N180" i="2"/>
  <c r="P180" i="2" s="1"/>
  <c r="N172" i="2"/>
  <c r="P172" i="2" s="1"/>
  <c r="N164" i="2"/>
  <c r="P164" i="2" s="1"/>
  <c r="N156" i="2"/>
  <c r="P156" i="2" s="1"/>
  <c r="N148" i="2"/>
  <c r="P148" i="2" s="1"/>
  <c r="N140" i="2"/>
  <c r="P140" i="2" s="1"/>
  <c r="N132" i="2"/>
  <c r="P132" i="2" s="1"/>
  <c r="N124" i="2"/>
  <c r="P124" i="2" s="1"/>
  <c r="N116" i="2"/>
  <c r="P116" i="2" s="1"/>
  <c r="N108" i="2"/>
  <c r="P108" i="2" s="1"/>
  <c r="N100" i="2"/>
  <c r="P100" i="2" s="1"/>
  <c r="N92" i="2"/>
  <c r="P92" i="2" s="1"/>
  <c r="N84" i="2"/>
  <c r="P84" i="2" s="1"/>
  <c r="N76" i="2"/>
  <c r="P76" i="2" s="1"/>
  <c r="N68" i="2"/>
  <c r="P68" i="2" s="1"/>
  <c r="N60" i="2"/>
  <c r="P60" i="2" s="1"/>
  <c r="N52" i="2"/>
  <c r="P52" i="2" s="1"/>
  <c r="N44" i="2"/>
  <c r="P44" i="2" s="1"/>
  <c r="N36" i="2"/>
  <c r="P36" i="2" s="1"/>
  <c r="N28" i="2"/>
  <c r="P28" i="2" s="1"/>
  <c r="N20" i="2"/>
  <c r="P20" i="2" s="1"/>
  <c r="N12" i="2"/>
  <c r="P12" i="2" s="1"/>
  <c r="P4" i="2"/>
  <c r="N474" i="2"/>
  <c r="P474" i="2"/>
  <c r="N418" i="2"/>
  <c r="P418" i="2"/>
  <c r="N371" i="2"/>
  <c r="P371" i="2" s="1"/>
  <c r="N315" i="2"/>
  <c r="P315" i="2"/>
  <c r="N274" i="2"/>
  <c r="P274" i="2"/>
  <c r="N218" i="2"/>
  <c r="P218" i="2"/>
  <c r="N162" i="2"/>
  <c r="P162" i="2" s="1"/>
  <c r="N115" i="2"/>
  <c r="P115" i="2"/>
  <c r="P2" i="2"/>
  <c r="N59" i="2"/>
  <c r="P59" i="2"/>
  <c r="P3" i="2"/>
  <c r="Q516" i="6" l="1"/>
  <c r="J526" i="4"/>
  <c r="F525" i="4"/>
  <c r="J525" i="4"/>
  <c r="Q2" i="4"/>
  <c r="G526" i="4"/>
  <c r="Q515" i="4"/>
  <c r="P278" i="4"/>
  <c r="Q278" i="4" s="1"/>
  <c r="E526" i="4"/>
  <c r="Q514" i="4"/>
  <c r="F526" i="4"/>
  <c r="K525" i="4"/>
  <c r="C526" i="4"/>
  <c r="C525" i="4" l="1"/>
  <c r="L526" i="4"/>
  <c r="H526" i="4"/>
  <c r="K526" i="4"/>
  <c r="L525" i="4"/>
  <c r="Q516" i="4"/>
  <c r="H525" i="4"/>
  <c r="D525" i="4"/>
  <c r="I525" i="4"/>
  <c r="D526" i="4"/>
  <c r="E525" i="4"/>
  <c r="I526" i="4"/>
  <c r="G525" i="4"/>
</calcChain>
</file>

<file path=xl/sharedStrings.xml><?xml version="1.0" encoding="utf-8"?>
<sst xmlns="http://schemas.openxmlformats.org/spreadsheetml/2006/main" count="6296" uniqueCount="573">
  <si>
    <t>Kab/Kota</t>
  </si>
  <si>
    <t>Persentase Penduduk Miskin (P0) Menurut Kabupaten/Kota (Persen)</t>
  </si>
  <si>
    <t>Rata-rata Lama Sekolah Penduduk 15+ (Tahun)</t>
  </si>
  <si>
    <t>Pengeluaran per Kapita Disesuaikan (Ribu Rupiah/Orang/Tahun)</t>
  </si>
  <si>
    <t>Indeks Pembangunan Manusia</t>
  </si>
  <si>
    <t>Umur Harapan Hidup (Tahun)</t>
  </si>
  <si>
    <t>Persentase rumah tangga yang memiliki akses terhadap sanitasi layak</t>
  </si>
  <si>
    <t>Persentase rumah tangga yang memiliki akses terhadap air minum layak</t>
  </si>
  <si>
    <t>Tingkat Pengangguran Terbuka</t>
  </si>
  <si>
    <t>Tingkat Partisipasi Angkatan Kerja</t>
  </si>
  <si>
    <t>PDRB atas Dasar Harga Konstan menurut Pengeluaran (Rupiah)</t>
  </si>
  <si>
    <t>Klasifikasi Kemiskinan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</si>
  <si>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</si>
  <si>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</si>
  <si>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</si>
  <si>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</si>
  <si>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</si>
  <si>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</si>
  <si>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</si>
  <si>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</si>
  <si>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</si>
  <si>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</si>
  <si>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</si>
  <si>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</si>
  <si>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</si>
  <si>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</si>
  <si>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</si>
  <si>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</si>
  <si>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</si>
  <si>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</si>
  <si>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</si>
  <si>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</si>
  <si>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</si>
  <si>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</si>
  <si>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</si>
  <si>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</si>
  <si>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</si>
  <si>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</si>
  <si>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</si>
  <si>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</si>
  <si>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</si>
  <si>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</si>
  <si>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</si>
  <si>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</si>
  <si>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</si>
  <si>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</si>
  <si>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</si>
  <si>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</si>
  <si>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</si>
  <si>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</si>
  <si>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</si>
  <si>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</si>
  <si>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</si>
  <si>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</si>
  <si>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</si>
  <si>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</si>
  <si>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</si>
  <si>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</si>
  <si>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</si>
  <si>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</si>
  <si>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</si>
  <si>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</si>
  <si>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</si>
  <si>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</si>
  <si>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</si>
  <si>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</si>
  <si>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</si>
  <si>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</si>
  <si>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</si>
  <si>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</si>
  <si>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</si>
  <si>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</si>
  <si>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</si>
  <si>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</si>
  <si>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</si>
  <si>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</si>
  <si>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</si>
  <si>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</si>
  <si>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</si>
  <si>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</si>
  <si>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</si>
  <si>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</si>
  <si>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</si>
  <si>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</si>
  <si>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</si>
  <si>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</si>
  <si>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</si>
  <si>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</si>
  <si>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</si>
  <si>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</si>
  <si>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</si>
  <si>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</si>
  <si>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</si>
  <si>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</si>
  <si>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</si>
  <si>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</si>
  <si>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</si>
  <si>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</si>
  <si>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</si>
  <si>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</si>
  <si>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</si>
  <si>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</si>
  <si>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</si>
  <si>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</si>
  <si>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</si>
  <si>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</si>
  <si>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</si>
  <si>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</si>
  <si>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</si>
  <si>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</si>
  <si>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</si>
  <si>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</si>
  <si>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</si>
  <si>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</si>
  <si>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</si>
  <si>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</si>
  <si>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</si>
  <si>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</si>
  <si>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</si>
  <si>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</si>
  <si>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</si>
  <si>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</si>
  <si>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</si>
  <si>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</si>
  <si>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</si>
  <si>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</si>
  <si>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</si>
  <si>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</si>
  <si>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</si>
  <si>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</si>
  <si>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</si>
  <si>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</si>
  <si>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</si>
  <si>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</si>
  <si>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</si>
  <si>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</si>
  <si>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</si>
  <si>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</si>
  <si>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</si>
  <si>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</si>
  <si>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</si>
  <si>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</si>
  <si>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</si>
  <si>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</si>
  <si>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</si>
  <si>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</si>
  <si>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</si>
  <si>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</si>
  <si>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</si>
  <si>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</si>
  <si>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</si>
  <si>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</si>
  <si>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</si>
  <si>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</si>
  <si>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</si>
  <si>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</si>
  <si>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</si>
  <si>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</si>
  <si>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</si>
  <si>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</si>
  <si>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</si>
  <si>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</si>
  <si>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</si>
  <si>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</si>
  <si>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</si>
  <si>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</si>
  <si>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</si>
  <si>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</si>
  <si>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</si>
  <si>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</si>
  <si>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</si>
  <si>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</si>
  <si>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</si>
  <si>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</si>
  <si>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</si>
  <si>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</si>
  <si>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</si>
  <si>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</si>
  <si>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</si>
  <si>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</si>
  <si>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</si>
  <si>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</si>
  <si>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</si>
  <si>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</si>
  <si>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</si>
  <si>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</si>
  <si>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</si>
  <si>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</si>
  <si>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</si>
  <si>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</si>
  <si>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</si>
  <si>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</si>
  <si>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</si>
  <si>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</si>
  <si>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</si>
  <si>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</si>
  <si>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</si>
  <si>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</si>
  <si>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</si>
  <si>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</si>
  <si>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</si>
  <si>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</si>
  <si>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</si>
  <si>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</si>
  <si>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</si>
  <si>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</si>
  <si>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</si>
  <si>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</si>
  <si>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</si>
  <si>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</si>
  <si>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</si>
  <si>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</si>
  <si>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</si>
  <si>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</si>
  <si>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</si>
  <si>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</si>
  <si>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</si>
  <si>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</si>
  <si>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</si>
  <si>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</si>
  <si>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</si>
  <si>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</si>
  <si>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</si>
  <si>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</si>
  <si>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</si>
  <si>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</si>
  <si>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</si>
  <si>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</si>
  <si>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</si>
  <si>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</si>
  <si>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</si>
  <si>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</si>
  <si>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</si>
  <si>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</si>
  <si>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</si>
  <si>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</si>
  <si>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</si>
  <si>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</si>
  <si>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</si>
  <si>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</si>
  <si>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</si>
  <si>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</si>
  <si>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</si>
  <si>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</si>
  <si>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</si>
  <si>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</si>
  <si>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</si>
  <si>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</si>
  <si>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</si>
  <si>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</si>
  <si>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</si>
  <si>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</si>
  <si>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</si>
  <si>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</si>
  <si>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</si>
  <si>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</si>
  <si>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</si>
  <si>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</si>
  <si>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</si>
  <si>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</si>
  <si>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</si>
  <si>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</si>
  <si>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</si>
  <si>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</si>
  <si>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</si>
  <si>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</si>
  <si>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</si>
  <si>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</si>
  <si>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</si>
  <si>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</si>
  <si>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</si>
  <si>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</si>
  <si>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</si>
  <si>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</si>
  <si>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</si>
  <si>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</si>
  <si>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</si>
  <si>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</si>
  <si>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</si>
  <si>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</si>
  <si>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</si>
  <si>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</si>
  <si>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</si>
  <si>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</si>
  <si>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</si>
  <si>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</si>
  <si>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</si>
  <si>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</si>
  <si>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</si>
  <si>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</si>
  <si>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</si>
  <si>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</si>
  <si>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</si>
  <si>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</si>
  <si>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</si>
  <si>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</si>
  <si>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</si>
  <si>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</si>
  <si>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</si>
  <si>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</si>
  <si>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</si>
  <si>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</si>
  <si>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</si>
  <si>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</si>
  <si>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</si>
  <si>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</si>
  <si>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</si>
  <si>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</si>
  <si>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</si>
  <si>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</si>
  <si>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</si>
  <si>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</si>
  <si>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</si>
  <si>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</si>
  <si>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</si>
  <si>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</si>
  <si>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</si>
  <si>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</si>
  <si>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</si>
  <si>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</si>
  <si>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</si>
  <si>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</si>
  <si>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</si>
  <si>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</si>
  <si>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</si>
  <si>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</si>
  <si>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</si>
  <si>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</si>
  <si>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</si>
  <si>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</si>
  <si>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</si>
  <si>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</si>
  <si>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</si>
  <si>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</si>
  <si>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</si>
  <si>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</si>
  <si>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</si>
  <si>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</si>
  <si>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</si>
  <si>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</si>
  <si>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</si>
  <si>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</si>
  <si>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</si>
  <si>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</si>
  <si>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</si>
  <si>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</si>
  <si>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</si>
  <si>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</si>
  <si>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</si>
  <si>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Pontianak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</si>
  <si>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</si>
  <si>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</si>
  <si>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</si>
  <si>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</si>
  <si>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</si>
  <si>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</si>
  <si>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</si>
  <si>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</si>
  <si>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</si>
  <si>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</si>
  <si>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</si>
  <si>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</si>
  <si>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</si>
  <si>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</si>
  <si>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</si>
  <si>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</si>
  <si>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</si>
  <si>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</si>
  <si>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</si>
  <si>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</si>
  <si>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</si>
  <si>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</si>
  <si>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</si>
  <si>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</si>
  <si>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</si>
  <si>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</si>
  <si>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</si>
  <si>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</si>
  <si>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</si>
  <si>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</si>
  <si>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</si>
  <si>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</si>
  <si>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</si>
  <si>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</si>
  <si>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</si>
  <si>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</si>
  <si>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</si>
  <si>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</si>
  <si>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</si>
  <si>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</si>
  <si>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</si>
  <si>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</si>
  <si>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</si>
  <si>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</si>
  <si>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</si>
  <si>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</si>
  <si>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</si>
  <si>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</si>
  <si>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</si>
  <si>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</si>
  <si>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</si>
  <si>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</si>
  <si>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</si>
  <si>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</si>
  <si>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</si>
  <si>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</si>
  <si>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</si>
  <si>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</si>
  <si>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</si>
  <si>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</si>
  <si>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</si>
  <si>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</si>
  <si>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</si>
  <si>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</si>
  <si>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</si>
  <si>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</si>
  <si>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</si>
  <si>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</si>
  <si>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</si>
  <si>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</si>
  <si>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</si>
  <si>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</si>
  <si>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</si>
  <si>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</si>
  <si>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</si>
  <si>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</si>
  <si>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</si>
  <si>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</si>
  <si>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</si>
  <si>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</si>
  <si>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</si>
  <si>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</si>
  <si>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</si>
  <si>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</si>
  <si>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</si>
  <si>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</si>
  <si>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</si>
  <si>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</si>
  <si>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</si>
  <si>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</si>
  <si>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</si>
  <si>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</si>
  <si>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</si>
  <si>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</si>
  <si>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</si>
  <si>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</si>
  <si>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</si>
  <si>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</si>
  <si>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</si>
  <si>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</si>
  <si>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</si>
  <si>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</si>
  <si>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</si>
  <si>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</si>
  <si>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</si>
  <si>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</si>
  <si>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</si>
  <si>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</si>
  <si>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</si>
  <si>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</si>
  <si>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</si>
  <si>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</si>
  <si>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</si>
  <si>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</si>
  <si>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</si>
  <si>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</si>
  <si>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</si>
  <si>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</si>
  <si>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</si>
  <si>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</si>
  <si>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</si>
  <si>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</si>
  <si>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</si>
  <si>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</si>
  <si>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</si>
  <si>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</si>
  <si>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</si>
  <si>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</si>
  <si>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</si>
  <si>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</si>
  <si>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</si>
  <si>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</si>
  <si>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</si>
  <si>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</si>
  <si>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</si>
  <si>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</si>
  <si>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</si>
  <si>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</si>
  <si>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</si>
  <si>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</si>
  <si>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</si>
  <si>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</si>
  <si>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</si>
  <si>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</si>
  <si>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</si>
  <si>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</si>
  <si>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</si>
  <si>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</si>
  <si>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</si>
  <si>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</si>
  <si>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</si>
  <si>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</si>
  <si>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</si>
  <si>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</si>
  <si>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</si>
  <si>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</si>
  <si>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</si>
  <si>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</si>
  <si>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</si>
  <si>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</si>
  <si>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</si>
  <si>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</si>
  <si>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</si>
  <si>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</si>
  <si>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</si>
  <si>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</si>
  <si>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</si>
  <si>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</si>
  <si>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</si>
  <si>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</si>
  <si>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</si>
  <si>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</si>
  <si>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</si>
  <si>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</si>
  <si>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</si>
  <si>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</si>
  <si>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</si>
  <si>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</si>
  <si>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</si>
  <si>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</si>
  <si>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</si>
  <si>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</si>
  <si>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</si>
  <si>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</si>
  <si>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</si>
  <si>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</si>
  <si>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</si>
  <si>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</si>
  <si>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</si>
  <si>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</si>
  <si>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</si>
  <si>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</si>
  <si>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</si>
  <si>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</si>
  <si>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</si>
  <si>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</si>
  <si>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</si>
  <si>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</si>
  <si>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</si>
  <si>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</si>
  <si>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</si>
  <si>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 *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</si>
  <si>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</si>
  <si>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</si>
  <si>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</si>
  <si>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</si>
  <si>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</si>
  <si>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</si>
  <si>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</si>
  <si>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</si>
  <si>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Provinsi+M22NA1:N506</t>
  </si>
  <si>
    <t xml:space="preserve">Mean </t>
  </si>
  <si>
    <t>Standa Deviasi</t>
  </si>
  <si>
    <t>total akurasi</t>
  </si>
  <si>
    <t>LAMA</t>
  </si>
  <si>
    <t>BARU</t>
  </si>
  <si>
    <t>JARAK KE C1</t>
  </si>
  <si>
    <t>JARAK KE C2</t>
  </si>
  <si>
    <t>AKURASI</t>
  </si>
  <si>
    <t>PREDIKSI</t>
  </si>
  <si>
    <t>TOTAL AKURASI</t>
  </si>
  <si>
    <t xml:space="preserve">JARAK KE C1 </t>
  </si>
  <si>
    <t xml:space="preserve">AKURASI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</si>
</sst>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1" xfId="0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0" fontId="0" fillId="3" borderId="0" xfId="0" applyFill="1"/>
    <xf numFmtId="0" fontId="1" fillId="3" borderId="2" xfId="0" applyFont="1" applyFill="1" applyBorder="1"/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0" fillId="7" borderId="0" xfId="0" applyFill="1"/>
    <xf numFmtId="0" fontId="0" fillId="8" borderId="0" xfId="0" applyFill="1"/>
    <xf numFmtId="0" fontId="1" fillId="5" borderId="1" xfId="0" applyFont="1" applyFill="1" applyBorder="1"/>
    <xf numFmtId="0" fontId="1" fillId="8" borderId="1" xfId="0" applyFont="1" applyFill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FA76-B4EC-44A6-A61F-AB5483AC1A76}">
  <dimension ref="A1:X517"/>
  <sheetViews>
    <sheetView topLeftCell="B1" zoomScale="75" workbookViewId="0">
      <selection activeCell="I13" sqref="I13"/>
    </sheetView>
  </sheetViews>
  <sheetFormatPr defaultRowHeight="14.5" x14ac:dyDescent="0.35"/>
  <cols>
    <col min="13" max="13" width="20" bestFit="1" customWidth="1"/>
    <col min="14" max="14" width="10.81640625" bestFit="1" customWidth="1"/>
    <col min="24" max="24" width="12.1796875" customWidth="1"/>
  </cols>
  <sheetData>
    <row r="1" spans="1:24" x14ac:dyDescent="0.35">
      <c r="A1" s="3" t="s">
        <v>560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1"/>
      <c r="O1" s="5" t="s">
        <v>1</v>
      </c>
      <c r="P1" s="5" t="s">
        <v>2</v>
      </c>
      <c r="Q1" s="5" t="s">
        <v>3</v>
      </c>
      <c r="R1" s="5" t="s">
        <v>4</v>
      </c>
      <c r="S1" s="5" t="s">
        <v>5</v>
      </c>
      <c r="T1" s="5" t="s">
        <v>6</v>
      </c>
      <c r="U1" s="5" t="s">
        <v>7</v>
      </c>
      <c r="V1" s="5" t="s">
        <v>8</v>
      </c>
      <c r="W1" s="5" t="s">
        <v>9</v>
      </c>
      <c r="X1" s="5" t="s">
        <v>10</v>
      </c>
    </row>
    <row r="2" spans="1:24" x14ac:dyDescent="0.35">
      <c r="A2" s="2" t="s">
        <v>12</v>
      </c>
      <c r="B2" s="2" t="s">
        <v>13</v>
      </c>
      <c r="C2" s="2">
        <v>18.98</v>
      </c>
      <c r="D2" s="2">
        <v>9.48</v>
      </c>
      <c r="E2" s="2">
        <v>7148</v>
      </c>
      <c r="F2" s="2">
        <v>66.41</v>
      </c>
      <c r="G2" s="2">
        <v>65.28</v>
      </c>
      <c r="H2" s="2">
        <v>71.56</v>
      </c>
      <c r="I2" s="2">
        <v>87.45</v>
      </c>
      <c r="J2" s="2">
        <v>5.71</v>
      </c>
      <c r="K2" s="2">
        <v>71.150000000000006</v>
      </c>
      <c r="L2" s="2">
        <v>1648096</v>
      </c>
      <c r="M2" s="2">
        <v>0</v>
      </c>
      <c r="O2" s="6">
        <f>(C2 - C$516) / C$517</f>
        <v>0.90007362983024741</v>
      </c>
      <c r="P2" s="6">
        <f t="shared" ref="P2:Q17" si="0">(D2 - D$516) / D$517</f>
        <v>0.6404064756636908</v>
      </c>
      <c r="Q2" s="6">
        <f t="shared" si="0"/>
        <v>-1.1703032660289354</v>
      </c>
      <c r="R2" s="6">
        <f t="shared" ref="R2" si="1">(F2 - F$516) / F$517</f>
        <v>-0.54181598615517224</v>
      </c>
      <c r="S2" s="6">
        <f t="shared" ref="S2" si="2">(G2 - G$516) / G$517</f>
        <v>-1.2708103895657952</v>
      </c>
      <c r="T2" s="6">
        <f t="shared" ref="T2" si="3">(H2 - H$516) / H$517</f>
        <v>-0.30391031435603855</v>
      </c>
      <c r="U2" s="6">
        <f t="shared" ref="U2" si="4">(I2 - I$516) / I$517</f>
        <v>0.14747734550993657</v>
      </c>
      <c r="V2" s="6">
        <f t="shared" ref="V2" si="5">(J2 - J$516) / J$517</f>
        <v>0.24692718967569677</v>
      </c>
      <c r="W2" s="6">
        <f t="shared" ref="W2" si="6">(K2 - K$516) / K$517</f>
        <v>0.26377109253929582</v>
      </c>
      <c r="X2" s="6">
        <f t="shared" ref="X2" si="7">(L2 - L$516) / L$517</f>
        <v>-0.42450280274635355</v>
      </c>
    </row>
    <row r="3" spans="1:24" x14ac:dyDescent="0.35">
      <c r="A3" s="2" t="s">
        <v>12</v>
      </c>
      <c r="B3" s="2" t="s">
        <v>14</v>
      </c>
      <c r="C3" s="2">
        <v>20.36</v>
      </c>
      <c r="D3" s="2">
        <v>8.68</v>
      </c>
      <c r="E3" s="2">
        <v>8776</v>
      </c>
      <c r="F3" s="2">
        <v>69.22</v>
      </c>
      <c r="G3" s="2">
        <v>67.430000000000007</v>
      </c>
      <c r="H3" s="2">
        <v>69.56</v>
      </c>
      <c r="I3" s="2">
        <v>78.58</v>
      </c>
      <c r="J3" s="2">
        <v>8.36</v>
      </c>
      <c r="K3" s="2">
        <v>62.85</v>
      </c>
      <c r="L3" s="2">
        <v>1780419</v>
      </c>
      <c r="M3" s="2">
        <v>1</v>
      </c>
      <c r="O3" s="6">
        <f t="shared" ref="O3:P66" si="8">(C3 - C$516) / C$517</f>
        <v>1.0852726328561315</v>
      </c>
      <c r="P3" s="6">
        <f t="shared" si="0"/>
        <v>0.14938439326035369</v>
      </c>
      <c r="Q3" s="6">
        <f t="shared" ref="Q3:Q66" si="9">(E3 - E$516) / E$517</f>
        <v>-0.57056108794429738</v>
      </c>
      <c r="R3" s="6">
        <f t="shared" ref="R3:R66" si="10">(F3 - F$516) / F$517</f>
        <v>-0.1088895406393177</v>
      </c>
      <c r="S3" s="6">
        <f t="shared" ref="S3:S66" si="11">(G3 - G$516) / G$517</f>
        <v>-0.64655602382970401</v>
      </c>
      <c r="T3" s="6">
        <f t="shared" ref="T3:T66" si="12">(H3 - H$516) / H$517</f>
        <v>-0.41163719477023253</v>
      </c>
      <c r="U3" s="6">
        <f t="shared" ref="U3:U66" si="13">(I3 - I$516) / I$517</f>
        <v>-0.41798146643037459</v>
      </c>
      <c r="V3" s="6">
        <f t="shared" ref="V3:V66" si="14">(J3 - J$516) / J$517</f>
        <v>1.2528475301986848</v>
      </c>
      <c r="W3" s="6">
        <f t="shared" ref="W3:W66" si="15">(K3 - K$516) / K$517</f>
        <v>-1.0350968680216379</v>
      </c>
      <c r="X3" s="6">
        <f t="shared" ref="X3:X66" si="16">(L3 - L$516) / L$517</f>
        <v>-0.42173791125360344</v>
      </c>
    </row>
    <row r="4" spans="1:24" x14ac:dyDescent="0.35">
      <c r="A4" s="2" t="s">
        <v>12</v>
      </c>
      <c r="B4" s="2" t="s">
        <v>15</v>
      </c>
      <c r="C4" s="2">
        <v>13.18</v>
      </c>
      <c r="D4" s="2">
        <v>8.8800000000000008</v>
      </c>
      <c r="E4" s="2">
        <v>8180</v>
      </c>
      <c r="F4" s="2">
        <v>67.44</v>
      </c>
      <c r="G4" s="2">
        <v>64.400000000000006</v>
      </c>
      <c r="H4" s="2">
        <v>62.55</v>
      </c>
      <c r="I4" s="2">
        <v>79.650000000000006</v>
      </c>
      <c r="J4" s="2">
        <v>6.46</v>
      </c>
      <c r="K4" s="2">
        <v>60.85</v>
      </c>
      <c r="L4" s="2">
        <v>4345784</v>
      </c>
      <c r="M4" s="2">
        <v>0</v>
      </c>
      <c r="O4" s="6">
        <f t="shared" si="8"/>
        <v>0.12170100841711061</v>
      </c>
      <c r="P4" s="6">
        <f t="shared" si="0"/>
        <v>0.27213991386118852</v>
      </c>
      <c r="Q4" s="6">
        <f t="shared" si="9"/>
        <v>-0.79012272070746958</v>
      </c>
      <c r="R4" s="6">
        <f t="shared" si="10"/>
        <v>-0.38312764491626466</v>
      </c>
      <c r="S4" s="6">
        <f t="shared" si="11"/>
        <v>-1.5263191532159142</v>
      </c>
      <c r="T4" s="6">
        <f t="shared" si="12"/>
        <v>-0.78921991062198271</v>
      </c>
      <c r="U4" s="6">
        <f t="shared" si="13"/>
        <v>-0.34976941132596229</v>
      </c>
      <c r="V4" s="6">
        <f t="shared" si="14"/>
        <v>0.53162162567276894</v>
      </c>
      <c r="W4" s="6">
        <f t="shared" si="15"/>
        <v>-1.3480770994821039</v>
      </c>
      <c r="X4" s="6">
        <f t="shared" si="16"/>
        <v>-0.36813456289920671</v>
      </c>
    </row>
    <row r="5" spans="1:24" x14ac:dyDescent="0.35">
      <c r="A5" s="2" t="s">
        <v>12</v>
      </c>
      <c r="B5" s="2" t="s">
        <v>16</v>
      </c>
      <c r="C5" s="2">
        <v>13.41</v>
      </c>
      <c r="D5" s="2">
        <v>9.67</v>
      </c>
      <c r="E5" s="2">
        <v>8030</v>
      </c>
      <c r="F5" s="2">
        <v>69.44</v>
      </c>
      <c r="G5" s="2">
        <v>68.22</v>
      </c>
      <c r="H5" s="2">
        <v>62.71</v>
      </c>
      <c r="I5" s="2">
        <v>86.71</v>
      </c>
      <c r="J5" s="2">
        <v>6.43</v>
      </c>
      <c r="K5" s="2">
        <v>69.62</v>
      </c>
      <c r="L5" s="2">
        <v>3487157</v>
      </c>
      <c r="M5" s="2">
        <v>0</v>
      </c>
      <c r="O5" s="6">
        <f t="shared" si="8"/>
        <v>0.1525675089214247</v>
      </c>
      <c r="P5" s="6">
        <f t="shared" si="0"/>
        <v>0.75702422023448301</v>
      </c>
      <c r="Q5" s="6">
        <f t="shared" si="9"/>
        <v>-0.8453815208995431</v>
      </c>
      <c r="R5" s="6">
        <f t="shared" si="10"/>
        <v>-7.4994943481493007E-2</v>
      </c>
      <c r="S5" s="6">
        <f t="shared" si="11"/>
        <v>-0.41717883828016644</v>
      </c>
      <c r="T5" s="6">
        <f t="shared" si="12"/>
        <v>-0.78060176018884708</v>
      </c>
      <c r="U5" s="6">
        <f t="shared" si="13"/>
        <v>0.10030265319473533</v>
      </c>
      <c r="V5" s="6">
        <f t="shared" si="14"/>
        <v>0.52023384823288588</v>
      </c>
      <c r="W5" s="6">
        <f t="shared" si="15"/>
        <v>2.4341215472039265E-2</v>
      </c>
      <c r="X5" s="6">
        <f t="shared" si="16"/>
        <v>-0.38607558968778871</v>
      </c>
    </row>
    <row r="6" spans="1:24" x14ac:dyDescent="0.35">
      <c r="A6" s="2" t="s">
        <v>12</v>
      </c>
      <c r="B6" s="2" t="s">
        <v>17</v>
      </c>
      <c r="C6" s="2">
        <v>14.45</v>
      </c>
      <c r="D6" s="2">
        <v>8.2100000000000009</v>
      </c>
      <c r="E6" s="2">
        <v>8577</v>
      </c>
      <c r="F6" s="2">
        <v>67.83</v>
      </c>
      <c r="G6" s="2">
        <v>68.739999999999995</v>
      </c>
      <c r="H6" s="2">
        <v>66.75</v>
      </c>
      <c r="I6" s="2">
        <v>83.16</v>
      </c>
      <c r="J6" s="2">
        <v>7.13</v>
      </c>
      <c r="K6" s="2">
        <v>59.48</v>
      </c>
      <c r="L6" s="2">
        <v>8433526</v>
      </c>
      <c r="M6" s="2">
        <v>0</v>
      </c>
      <c r="O6" s="6">
        <f t="shared" si="8"/>
        <v>0.29213777207136638</v>
      </c>
      <c r="P6" s="6">
        <f t="shared" si="0"/>
        <v>-0.13909108015160596</v>
      </c>
      <c r="Q6" s="6">
        <f t="shared" si="9"/>
        <v>-0.64387109619911498</v>
      </c>
      <c r="R6" s="6">
        <f t="shared" si="10"/>
        <v>-0.32304176813648411</v>
      </c>
      <c r="S6" s="6">
        <f t="shared" si="11"/>
        <v>-0.2661963870323692</v>
      </c>
      <c r="T6" s="6">
        <f t="shared" si="12"/>
        <v>-0.56299346175217524</v>
      </c>
      <c r="U6" s="6">
        <f t="shared" si="13"/>
        <v>-0.12600837074980831</v>
      </c>
      <c r="V6" s="6">
        <f t="shared" si="14"/>
        <v>0.78594865516348666</v>
      </c>
      <c r="W6" s="6">
        <f t="shared" si="15"/>
        <v>-1.5624685580325237</v>
      </c>
      <c r="X6" s="6">
        <f t="shared" si="16"/>
        <v>-0.2827211194286291</v>
      </c>
    </row>
    <row r="7" spans="1:24" x14ac:dyDescent="0.35">
      <c r="A7" s="2" t="s">
        <v>12</v>
      </c>
      <c r="B7" s="2" t="s">
        <v>18</v>
      </c>
      <c r="C7" s="2">
        <v>15.26</v>
      </c>
      <c r="D7" s="2">
        <v>9.86</v>
      </c>
      <c r="E7" s="2">
        <v>10780</v>
      </c>
      <c r="F7" s="2">
        <v>73.37</v>
      </c>
      <c r="G7" s="2">
        <v>68.86</v>
      </c>
      <c r="H7" s="2">
        <v>90.58</v>
      </c>
      <c r="I7" s="2">
        <v>90.1</v>
      </c>
      <c r="J7" s="2">
        <v>2.61</v>
      </c>
      <c r="K7" s="2">
        <v>76.3</v>
      </c>
      <c r="L7" s="2">
        <v>5953118</v>
      </c>
      <c r="M7" s="2">
        <v>0</v>
      </c>
      <c r="O7" s="6">
        <f t="shared" si="8"/>
        <v>0.40084153471699413</v>
      </c>
      <c r="P7" s="6">
        <f t="shared" si="0"/>
        <v>0.87364196480527523</v>
      </c>
      <c r="Q7" s="6">
        <f t="shared" si="9"/>
        <v>0.167696482621805</v>
      </c>
      <c r="R7" s="6">
        <f t="shared" si="10"/>
        <v>0.5304858148378343</v>
      </c>
      <c r="S7" s="6">
        <f t="shared" si="11"/>
        <v>-0.23135428289826052</v>
      </c>
      <c r="T7" s="6">
        <f t="shared" si="12"/>
        <v>0.72057231838294611</v>
      </c>
      <c r="U7" s="6">
        <f t="shared" si="13"/>
        <v>0.31641374366572228</v>
      </c>
      <c r="V7" s="6">
        <f t="shared" si="14"/>
        <v>-0.92980981244553462</v>
      </c>
      <c r="W7" s="6">
        <f t="shared" si="15"/>
        <v>1.0696951885499939</v>
      </c>
      <c r="X7" s="6">
        <f t="shared" si="16"/>
        <v>-0.33454928972214776</v>
      </c>
    </row>
    <row r="8" spans="1:24" x14ac:dyDescent="0.35">
      <c r="A8" s="2" t="s">
        <v>12</v>
      </c>
      <c r="B8" s="2" t="s">
        <v>19</v>
      </c>
      <c r="C8" s="2">
        <v>18.809999999999999</v>
      </c>
      <c r="D8" s="2">
        <v>9.5500000000000007</v>
      </c>
      <c r="E8" s="2">
        <v>9593</v>
      </c>
      <c r="F8" s="2">
        <v>71.67</v>
      </c>
      <c r="G8" s="2">
        <v>67.989999999999995</v>
      </c>
      <c r="H8" s="2">
        <v>89.6</v>
      </c>
      <c r="I8" s="2">
        <v>94.22</v>
      </c>
      <c r="J8" s="2">
        <v>7.09</v>
      </c>
      <c r="K8" s="2">
        <v>60.05</v>
      </c>
      <c r="L8" s="2">
        <v>7485861</v>
      </c>
      <c r="M8" s="2">
        <v>0</v>
      </c>
      <c r="O8" s="6">
        <f t="shared" si="8"/>
        <v>0.87725925989227593</v>
      </c>
      <c r="P8" s="6">
        <f t="shared" si="0"/>
        <v>0.68337090787398302</v>
      </c>
      <c r="Q8" s="6">
        <f t="shared" si="9"/>
        <v>-0.2695848228981369</v>
      </c>
      <c r="R8" s="6">
        <f t="shared" si="10"/>
        <v>0.26857301861827798</v>
      </c>
      <c r="S8" s="6">
        <f t="shared" si="11"/>
        <v>-0.48395953787053997</v>
      </c>
      <c r="T8" s="6">
        <f t="shared" si="12"/>
        <v>0.66778614697999084</v>
      </c>
      <c r="U8" s="6">
        <f t="shared" si="13"/>
        <v>0.57906203060981287</v>
      </c>
      <c r="V8" s="6">
        <f t="shared" si="14"/>
        <v>0.77076495191030947</v>
      </c>
      <c r="W8" s="6">
        <f t="shared" si="15"/>
        <v>-1.4732691920662908</v>
      </c>
      <c r="X8" s="6">
        <f t="shared" si="16"/>
        <v>-0.30252259684734706</v>
      </c>
    </row>
    <row r="9" spans="1:24" x14ac:dyDescent="0.35">
      <c r="A9" s="2" t="s">
        <v>12</v>
      </c>
      <c r="B9" s="2" t="s">
        <v>20</v>
      </c>
      <c r="C9" s="2">
        <v>14.05</v>
      </c>
      <c r="D9" s="2">
        <v>10.33</v>
      </c>
      <c r="E9" s="2">
        <v>9644</v>
      </c>
      <c r="F9" s="2">
        <v>73.58</v>
      </c>
      <c r="G9" s="2">
        <v>69.790000000000006</v>
      </c>
      <c r="H9" s="2">
        <v>87.4</v>
      </c>
      <c r="I9" s="2">
        <v>82.36</v>
      </c>
      <c r="J9" s="2">
        <v>7.7</v>
      </c>
      <c r="K9" s="2">
        <v>61.67</v>
      </c>
      <c r="L9" s="2">
        <v>10261585</v>
      </c>
      <c r="M9" s="2">
        <v>0</v>
      </c>
      <c r="O9" s="6">
        <f t="shared" si="8"/>
        <v>0.23845690162908126</v>
      </c>
      <c r="P9" s="6">
        <f t="shared" si="0"/>
        <v>1.1621174382172359</v>
      </c>
      <c r="Q9" s="6">
        <f t="shared" si="9"/>
        <v>-0.25079683083283189</v>
      </c>
      <c r="R9" s="6">
        <f t="shared" si="10"/>
        <v>0.56283974848848439</v>
      </c>
      <c r="S9" s="6">
        <f t="shared" si="11"/>
        <v>3.8672024141073208E-2</v>
      </c>
      <c r="T9" s="6">
        <f t="shared" si="12"/>
        <v>0.54928657852437801</v>
      </c>
      <c r="U9" s="6">
        <f t="shared" si="13"/>
        <v>-0.17700803811759264</v>
      </c>
      <c r="V9" s="6">
        <f t="shared" si="14"/>
        <v>1.0023164265212616</v>
      </c>
      <c r="W9" s="6">
        <f t="shared" si="15"/>
        <v>-1.2197552045833129</v>
      </c>
      <c r="X9" s="6">
        <f t="shared" si="16"/>
        <v>-0.2445237933602567</v>
      </c>
    </row>
    <row r="10" spans="1:24" x14ac:dyDescent="0.35">
      <c r="A10" s="2" t="s">
        <v>12</v>
      </c>
      <c r="B10" s="2" t="s">
        <v>21</v>
      </c>
      <c r="C10" s="2">
        <v>19.59</v>
      </c>
      <c r="D10" s="2">
        <v>9</v>
      </c>
      <c r="E10" s="2">
        <v>9860</v>
      </c>
      <c r="F10" s="2">
        <v>70.7</v>
      </c>
      <c r="G10" s="2">
        <v>66.95</v>
      </c>
      <c r="H10" s="2">
        <v>54.1</v>
      </c>
      <c r="I10" s="2">
        <v>89.24</v>
      </c>
      <c r="J10" s="2">
        <v>7.28</v>
      </c>
      <c r="K10" s="2">
        <v>60.29</v>
      </c>
      <c r="L10" s="2">
        <v>7975099</v>
      </c>
      <c r="M10" s="2">
        <v>0</v>
      </c>
      <c r="O10" s="6">
        <f t="shared" si="8"/>
        <v>0.9819369572547324</v>
      </c>
      <c r="P10" s="6">
        <f t="shared" si="0"/>
        <v>0.34579322622168857</v>
      </c>
      <c r="Q10" s="6">
        <f t="shared" si="9"/>
        <v>-0.17122415855624601</v>
      </c>
      <c r="R10" s="6">
        <f t="shared" si="10"/>
        <v>0.11912865842241392</v>
      </c>
      <c r="S10" s="6">
        <f t="shared" si="11"/>
        <v>-0.7859244403661344</v>
      </c>
      <c r="T10" s="6">
        <f t="shared" si="12"/>
        <v>-1.2443659803719522</v>
      </c>
      <c r="U10" s="6">
        <f t="shared" si="13"/>
        <v>0.26158910124535395</v>
      </c>
      <c r="V10" s="6">
        <f t="shared" si="14"/>
        <v>0.8428875423629012</v>
      </c>
      <c r="W10" s="6">
        <f t="shared" si="15"/>
        <v>-1.4357115642910345</v>
      </c>
      <c r="X10" s="6">
        <f t="shared" si="16"/>
        <v>-0.2922999599351695</v>
      </c>
    </row>
    <row r="11" spans="1:24" x14ac:dyDescent="0.35">
      <c r="A11" s="2" t="s">
        <v>12</v>
      </c>
      <c r="B11" s="2" t="s">
        <v>22</v>
      </c>
      <c r="C11" s="2">
        <v>13.25</v>
      </c>
      <c r="D11" s="2">
        <v>9.2899999999999991</v>
      </c>
      <c r="E11" s="2">
        <v>8867</v>
      </c>
      <c r="F11" s="2">
        <v>72.33</v>
      </c>
      <c r="G11" s="2">
        <v>71.260000000000005</v>
      </c>
      <c r="H11" s="2">
        <v>81.89</v>
      </c>
      <c r="I11" s="2">
        <v>93.53</v>
      </c>
      <c r="J11" s="2">
        <v>4.32</v>
      </c>
      <c r="K11" s="2">
        <v>65.91</v>
      </c>
      <c r="L11" s="2">
        <v>10374480</v>
      </c>
      <c r="M11" s="2">
        <v>0</v>
      </c>
      <c r="O11" s="6">
        <f t="shared" si="8"/>
        <v>0.13109516074451058</v>
      </c>
      <c r="P11" s="6">
        <f t="shared" si="0"/>
        <v>0.52378873109289759</v>
      </c>
      <c r="Q11" s="6">
        <f t="shared" si="9"/>
        <v>-0.53703741582777276</v>
      </c>
      <c r="R11" s="6">
        <f t="shared" si="10"/>
        <v>0.3702568100917521</v>
      </c>
      <c r="S11" s="6">
        <f t="shared" si="11"/>
        <v>0.4654877997838876</v>
      </c>
      <c r="T11" s="6">
        <f t="shared" si="12"/>
        <v>0.25249902298327331</v>
      </c>
      <c r="U11" s="6">
        <f t="shared" si="13"/>
        <v>0.53507481750509889</v>
      </c>
      <c r="V11" s="6">
        <f t="shared" si="14"/>
        <v>-0.28070649837221007</v>
      </c>
      <c r="W11" s="6">
        <f t="shared" si="15"/>
        <v>-0.55623711388712604</v>
      </c>
      <c r="X11" s="6">
        <f t="shared" si="16"/>
        <v>-0.24216485028101861</v>
      </c>
    </row>
    <row r="12" spans="1:24" x14ac:dyDescent="0.35">
      <c r="A12" s="2" t="s">
        <v>12</v>
      </c>
      <c r="B12" s="2" t="s">
        <v>23</v>
      </c>
      <c r="C12" s="2">
        <v>17.43</v>
      </c>
      <c r="D12" s="2">
        <v>8.64</v>
      </c>
      <c r="E12" s="2">
        <v>8201</v>
      </c>
      <c r="F12" s="2">
        <v>69.459999999999994</v>
      </c>
      <c r="G12" s="2">
        <v>68.81</v>
      </c>
      <c r="H12" s="2">
        <v>79.97</v>
      </c>
      <c r="I12" s="2">
        <v>91.09</v>
      </c>
      <c r="J12" s="2">
        <v>8.31</v>
      </c>
      <c r="K12" s="2">
        <v>58.47</v>
      </c>
      <c r="L12" s="2">
        <v>16924103</v>
      </c>
      <c r="M12" s="2">
        <v>0</v>
      </c>
      <c r="O12" s="6">
        <f t="shared" si="8"/>
        <v>0.69206025686639183</v>
      </c>
      <c r="P12" s="6">
        <f t="shared" si="0"/>
        <v>0.12483328914018736</v>
      </c>
      <c r="Q12" s="6">
        <f t="shared" si="9"/>
        <v>-0.78238648868057925</v>
      </c>
      <c r="R12" s="6">
        <f t="shared" si="10"/>
        <v>-7.1913616467145905E-2</v>
      </c>
      <c r="S12" s="6">
        <f t="shared" si="11"/>
        <v>-0.24587182628747109</v>
      </c>
      <c r="T12" s="6">
        <f t="shared" si="12"/>
        <v>0.14908121778564698</v>
      </c>
      <c r="U12" s="6">
        <f t="shared" si="13"/>
        <v>0.37952583203335621</v>
      </c>
      <c r="V12" s="6">
        <f t="shared" si="14"/>
        <v>1.2338679011322136</v>
      </c>
      <c r="W12" s="6">
        <f t="shared" si="15"/>
        <v>-1.7205235749200585</v>
      </c>
      <c r="X12" s="6">
        <f t="shared" si="16"/>
        <v>-0.10531035851903973</v>
      </c>
    </row>
    <row r="13" spans="1:24" x14ac:dyDescent="0.35">
      <c r="A13" s="2" t="s">
        <v>12</v>
      </c>
      <c r="B13" s="2" t="s">
        <v>24</v>
      </c>
      <c r="C13" s="2">
        <v>16.34</v>
      </c>
      <c r="D13" s="2">
        <v>8.67</v>
      </c>
      <c r="E13" s="2">
        <v>8428</v>
      </c>
      <c r="F13" s="2">
        <v>66.989999999999995</v>
      </c>
      <c r="G13" s="2">
        <v>65.06</v>
      </c>
      <c r="H13" s="2">
        <v>65.709999999999994</v>
      </c>
      <c r="I13" s="2">
        <v>95.34</v>
      </c>
      <c r="J13" s="2">
        <v>4.04</v>
      </c>
      <c r="K13" s="2">
        <v>57.91</v>
      </c>
      <c r="L13" s="2">
        <v>3069805</v>
      </c>
      <c r="M13" s="2">
        <v>0</v>
      </c>
      <c r="O13" s="6">
        <f t="shared" si="8"/>
        <v>0.54577988491116447</v>
      </c>
      <c r="P13" s="6">
        <f t="shared" si="0"/>
        <v>0.1432466172303121</v>
      </c>
      <c r="Q13" s="6">
        <f t="shared" si="9"/>
        <v>-0.69876150438990803</v>
      </c>
      <c r="R13" s="6">
        <f t="shared" si="10"/>
        <v>-0.45245750273908869</v>
      </c>
      <c r="S13" s="6">
        <f t="shared" si="11"/>
        <v>-1.3346875804783249</v>
      </c>
      <c r="T13" s="6">
        <f t="shared" si="12"/>
        <v>-0.61901143956755644</v>
      </c>
      <c r="U13" s="6">
        <f t="shared" si="13"/>
        <v>0.65046156492471141</v>
      </c>
      <c r="V13" s="6">
        <f t="shared" si="14"/>
        <v>-0.38699242114445043</v>
      </c>
      <c r="W13" s="6">
        <f t="shared" si="15"/>
        <v>-1.8081580397289894</v>
      </c>
      <c r="X13" s="6">
        <f t="shared" si="16"/>
        <v>-0.39479616732192818</v>
      </c>
    </row>
    <row r="14" spans="1:24" x14ac:dyDescent="0.35">
      <c r="A14" s="2" t="s">
        <v>12</v>
      </c>
      <c r="B14" s="2" t="s">
        <v>25</v>
      </c>
      <c r="C14" s="2">
        <v>19.64</v>
      </c>
      <c r="D14" s="2">
        <v>8.4</v>
      </c>
      <c r="E14" s="2">
        <v>8856</v>
      </c>
      <c r="F14" s="2">
        <v>67.56</v>
      </c>
      <c r="G14" s="2">
        <v>65.53</v>
      </c>
      <c r="H14" s="2">
        <v>47.63</v>
      </c>
      <c r="I14" s="2">
        <v>84.68</v>
      </c>
      <c r="J14" s="2">
        <v>1.84</v>
      </c>
      <c r="K14" s="2">
        <v>78.989999999999995</v>
      </c>
      <c r="L14" s="2">
        <v>1981879</v>
      </c>
      <c r="M14" s="2">
        <v>0</v>
      </c>
      <c r="O14" s="6">
        <f t="shared" si="8"/>
        <v>0.98864706606001818</v>
      </c>
      <c r="P14" s="6">
        <f t="shared" si="0"/>
        <v>-2.247333558081379E-2</v>
      </c>
      <c r="Q14" s="6">
        <f t="shared" si="9"/>
        <v>-0.54108972784185816</v>
      </c>
      <c r="R14" s="6">
        <f t="shared" si="10"/>
        <v>-0.36463968283017767</v>
      </c>
      <c r="S14" s="6">
        <f t="shared" si="11"/>
        <v>-1.1982226726197382</v>
      </c>
      <c r="T14" s="6">
        <f t="shared" si="12"/>
        <v>-1.5928624385118697</v>
      </c>
      <c r="U14" s="6">
        <f t="shared" si="13"/>
        <v>-2.9109002751017063E-2</v>
      </c>
      <c r="V14" s="6">
        <f t="shared" si="14"/>
        <v>-1.2220961000691954</v>
      </c>
      <c r="W14" s="6">
        <f t="shared" si="15"/>
        <v>1.49065359986432</v>
      </c>
      <c r="X14" s="6">
        <f t="shared" si="16"/>
        <v>-0.4175284008878361</v>
      </c>
    </row>
    <row r="15" spans="1:24" x14ac:dyDescent="0.35">
      <c r="A15" s="2" t="s">
        <v>12</v>
      </c>
      <c r="B15" s="2" t="s">
        <v>26</v>
      </c>
      <c r="C15" s="2">
        <v>13.34</v>
      </c>
      <c r="D15" s="2">
        <v>8.91</v>
      </c>
      <c r="E15" s="2">
        <v>8367</v>
      </c>
      <c r="F15" s="2">
        <v>69.48</v>
      </c>
      <c r="G15" s="2">
        <v>69.63</v>
      </c>
      <c r="H15" s="2">
        <v>87.45</v>
      </c>
      <c r="I15" s="2">
        <v>83.12</v>
      </c>
      <c r="J15" s="2">
        <v>5.87</v>
      </c>
      <c r="K15" s="2">
        <v>66.430000000000007</v>
      </c>
      <c r="L15" s="2">
        <v>6062520</v>
      </c>
      <c r="M15" s="2">
        <v>0</v>
      </c>
      <c r="O15" s="6">
        <f t="shared" si="8"/>
        <v>0.14317335659402475</v>
      </c>
      <c r="P15" s="6">
        <f t="shared" si="0"/>
        <v>0.29055324195131327</v>
      </c>
      <c r="Q15" s="6">
        <f t="shared" si="9"/>
        <v>-0.72123341646801797</v>
      </c>
      <c r="R15" s="6">
        <f t="shared" si="10"/>
        <v>-6.8832289452796611E-2</v>
      </c>
      <c r="S15" s="6">
        <f t="shared" si="11"/>
        <v>-7.7841147044063561E-3</v>
      </c>
      <c r="T15" s="6">
        <f t="shared" si="12"/>
        <v>0.55197975053473269</v>
      </c>
      <c r="U15" s="6">
        <f t="shared" si="13"/>
        <v>-0.12855835411819702</v>
      </c>
      <c r="V15" s="6">
        <f t="shared" si="14"/>
        <v>0.30766200268840554</v>
      </c>
      <c r="W15" s="6">
        <f t="shared" si="15"/>
        <v>-0.47486225370740337</v>
      </c>
      <c r="X15" s="6">
        <f t="shared" si="16"/>
        <v>-0.33226333294146831</v>
      </c>
    </row>
    <row r="16" spans="1:24" x14ac:dyDescent="0.35">
      <c r="A16" s="2" t="s">
        <v>12</v>
      </c>
      <c r="B16" s="2" t="s">
        <v>27</v>
      </c>
      <c r="C16" s="2">
        <v>18.23</v>
      </c>
      <c r="D16" s="2">
        <v>8.69</v>
      </c>
      <c r="E16" s="2">
        <v>8292</v>
      </c>
      <c r="F16" s="2">
        <v>69.31</v>
      </c>
      <c r="G16" s="2">
        <v>69.239999999999995</v>
      </c>
      <c r="H16" s="2">
        <v>74.86</v>
      </c>
      <c r="I16" s="2">
        <v>90.13</v>
      </c>
      <c r="J16" s="2">
        <v>4.99</v>
      </c>
      <c r="K16" s="2">
        <v>64.989999999999995</v>
      </c>
      <c r="L16" s="2">
        <v>7110421</v>
      </c>
      <c r="M16" s="2">
        <v>0</v>
      </c>
      <c r="O16" s="6">
        <f t="shared" si="8"/>
        <v>0.79942199775096245</v>
      </c>
      <c r="P16" s="6">
        <f t="shared" si="0"/>
        <v>0.15552216929039525</v>
      </c>
      <c r="Q16" s="6">
        <f t="shared" si="9"/>
        <v>-0.74886281656405473</v>
      </c>
      <c r="R16" s="6">
        <f t="shared" si="10"/>
        <v>-9.5023569074752456E-2</v>
      </c>
      <c r="S16" s="6">
        <f t="shared" si="11"/>
        <v>-0.12102095314025532</v>
      </c>
      <c r="T16" s="6">
        <f t="shared" si="12"/>
        <v>-0.12616096167261864</v>
      </c>
      <c r="U16" s="6">
        <f t="shared" si="13"/>
        <v>0.31832623119201425</v>
      </c>
      <c r="V16" s="6">
        <f t="shared" si="14"/>
        <v>-2.6379468881492351E-2</v>
      </c>
      <c r="W16" s="6">
        <f t="shared" si="15"/>
        <v>-0.70020802035894059</v>
      </c>
      <c r="X16" s="6">
        <f t="shared" si="16"/>
        <v>-0.31036742247885551</v>
      </c>
    </row>
    <row r="17" spans="1:24" x14ac:dyDescent="0.35">
      <c r="A17" s="2" t="s">
        <v>12</v>
      </c>
      <c r="B17" s="2" t="s">
        <v>28</v>
      </c>
      <c r="C17" s="2">
        <v>13.23</v>
      </c>
      <c r="D17" s="2">
        <v>8.7100000000000009</v>
      </c>
      <c r="E17" s="2">
        <v>9666</v>
      </c>
      <c r="F17" s="2">
        <v>69.84</v>
      </c>
      <c r="G17" s="2">
        <v>67.19</v>
      </c>
      <c r="H17" s="2">
        <v>81.599999999999994</v>
      </c>
      <c r="I17" s="2">
        <v>86.36</v>
      </c>
      <c r="J17" s="2">
        <v>3.47</v>
      </c>
      <c r="K17" s="2">
        <v>72.59</v>
      </c>
      <c r="L17" s="2">
        <v>2033844</v>
      </c>
      <c r="M17" s="2">
        <v>0</v>
      </c>
      <c r="O17" s="6">
        <f t="shared" si="8"/>
        <v>0.12841111722239637</v>
      </c>
      <c r="P17" s="6">
        <f t="shared" si="0"/>
        <v>0.16779772135047949</v>
      </c>
      <c r="Q17" s="6">
        <f t="shared" si="9"/>
        <v>-0.24269220680466111</v>
      </c>
      <c r="R17" s="6">
        <f t="shared" si="10"/>
        <v>-1.33684031945378E-2</v>
      </c>
      <c r="S17" s="6">
        <f t="shared" si="11"/>
        <v>-0.71624023209792131</v>
      </c>
      <c r="T17" s="6">
        <f t="shared" si="12"/>
        <v>0.23687862532321483</v>
      </c>
      <c r="U17" s="6">
        <f t="shared" si="13"/>
        <v>7.7990298721329954E-2</v>
      </c>
      <c r="V17" s="6">
        <f t="shared" si="14"/>
        <v>-0.60336019250222517</v>
      </c>
      <c r="W17" s="6">
        <f t="shared" si="15"/>
        <v>0.48911685919083081</v>
      </c>
      <c r="X17" s="6">
        <f t="shared" si="16"/>
        <v>-0.41644259126728067</v>
      </c>
    </row>
    <row r="18" spans="1:24" x14ac:dyDescent="0.35">
      <c r="A18" s="2" t="s">
        <v>12</v>
      </c>
      <c r="B18" s="2" t="s">
        <v>29</v>
      </c>
      <c r="C18" s="2">
        <v>19.16</v>
      </c>
      <c r="D18" s="2">
        <v>10</v>
      </c>
      <c r="E18" s="2">
        <v>11118</v>
      </c>
      <c r="F18" s="2">
        <v>73.27</v>
      </c>
      <c r="G18" s="2">
        <v>69.260000000000005</v>
      </c>
      <c r="H18" s="2">
        <v>86.69</v>
      </c>
      <c r="I18" s="2">
        <v>89.71</v>
      </c>
      <c r="J18" s="2">
        <v>1.24</v>
      </c>
      <c r="K18" s="2">
        <v>77.53</v>
      </c>
      <c r="L18" s="2">
        <v>3744095</v>
      </c>
      <c r="M18" s="2">
        <v>0</v>
      </c>
      <c r="O18" s="6">
        <f t="shared" si="8"/>
        <v>0.9242300215292758</v>
      </c>
      <c r="P18" s="6">
        <f t="shared" si="8"/>
        <v>0.95957082922585946</v>
      </c>
      <c r="Q18" s="6">
        <f t="shared" si="9"/>
        <v>0.29221297905461069</v>
      </c>
      <c r="R18" s="6">
        <f t="shared" si="10"/>
        <v>0.51507917976609441</v>
      </c>
      <c r="S18" s="6">
        <f t="shared" si="11"/>
        <v>-0.1152139357845678</v>
      </c>
      <c r="T18" s="6">
        <f t="shared" si="12"/>
        <v>0.51104353597733876</v>
      </c>
      <c r="U18" s="6">
        <f t="shared" si="13"/>
        <v>0.2915514058239273</v>
      </c>
      <c r="V18" s="6">
        <f t="shared" si="14"/>
        <v>-1.4498516488668529</v>
      </c>
      <c r="W18" s="6">
        <f t="shared" si="15"/>
        <v>1.2621780308981809</v>
      </c>
      <c r="X18" s="6">
        <f t="shared" si="16"/>
        <v>-0.38070686550254335</v>
      </c>
    </row>
    <row r="19" spans="1:24" x14ac:dyDescent="0.35">
      <c r="A19" s="2" t="s">
        <v>12</v>
      </c>
      <c r="B19" s="2" t="s">
        <v>30</v>
      </c>
      <c r="C19" s="2">
        <v>19.55</v>
      </c>
      <c r="D19" s="2">
        <v>9.34</v>
      </c>
      <c r="E19" s="2">
        <v>10290</v>
      </c>
      <c r="F19" s="2">
        <v>73.599999999999994</v>
      </c>
      <c r="G19" s="2">
        <v>70.180000000000007</v>
      </c>
      <c r="H19" s="2">
        <v>74.3</v>
      </c>
      <c r="I19" s="2">
        <v>93.46</v>
      </c>
      <c r="J19" s="2">
        <v>3.57</v>
      </c>
      <c r="K19" s="2">
        <v>57.77</v>
      </c>
      <c r="L19" s="2">
        <v>2635517</v>
      </c>
      <c r="M19" s="2">
        <v>0</v>
      </c>
      <c r="O19" s="6">
        <f t="shared" si="8"/>
        <v>0.97656887021050398</v>
      </c>
      <c r="P19" s="6">
        <f t="shared" si="8"/>
        <v>0.55447761124310657</v>
      </c>
      <c r="Q19" s="6">
        <f t="shared" si="9"/>
        <v>-1.2815598005635205E-2</v>
      </c>
      <c r="R19" s="6">
        <f t="shared" si="10"/>
        <v>0.56592107550283144</v>
      </c>
      <c r="S19" s="6">
        <f t="shared" si="11"/>
        <v>0.15190886257692218</v>
      </c>
      <c r="T19" s="6">
        <f t="shared" si="12"/>
        <v>-0.15632448818859307</v>
      </c>
      <c r="U19" s="6">
        <f t="shared" si="13"/>
        <v>0.53061234661041723</v>
      </c>
      <c r="V19" s="6">
        <f t="shared" si="14"/>
        <v>-0.5654009343692824</v>
      </c>
      <c r="W19" s="6">
        <f t="shared" si="15"/>
        <v>-1.8300666559312209</v>
      </c>
      <c r="X19" s="6">
        <f t="shared" si="16"/>
        <v>-0.40387062298423521</v>
      </c>
    </row>
    <row r="20" spans="1:24" x14ac:dyDescent="0.35">
      <c r="A20" s="2" t="s">
        <v>12</v>
      </c>
      <c r="B20" s="2" t="s">
        <v>31</v>
      </c>
      <c r="C20" s="2">
        <v>7.61</v>
      </c>
      <c r="D20" s="2">
        <v>12.83</v>
      </c>
      <c r="E20" s="2">
        <v>16891</v>
      </c>
      <c r="F20" s="2">
        <v>85.71</v>
      </c>
      <c r="G20" s="2">
        <v>71.52</v>
      </c>
      <c r="H20" s="2">
        <v>99.88</v>
      </c>
      <c r="I20" s="2">
        <v>99.37</v>
      </c>
      <c r="J20" s="2">
        <v>8.94</v>
      </c>
      <c r="K20" s="2">
        <v>63</v>
      </c>
      <c r="L20" s="2">
        <v>15454371</v>
      </c>
      <c r="M20" s="2">
        <v>0</v>
      </c>
      <c r="O20" s="6">
        <f t="shared" si="8"/>
        <v>-0.625805112491712</v>
      </c>
      <c r="P20" s="6">
        <f t="shared" si="8"/>
        <v>2.6965614457276632</v>
      </c>
      <c r="Q20" s="6">
        <f t="shared" si="9"/>
        <v>2.418940002446881</v>
      </c>
      <c r="R20" s="6">
        <f t="shared" si="10"/>
        <v>2.4316645826903738</v>
      </c>
      <c r="S20" s="6">
        <f t="shared" si="11"/>
        <v>0.5409790254077842</v>
      </c>
      <c r="T20" s="6">
        <f t="shared" si="12"/>
        <v>1.2215023123089479</v>
      </c>
      <c r="U20" s="6">
        <f t="shared" si="13"/>
        <v>0.90737238928992603</v>
      </c>
      <c r="V20" s="6">
        <f t="shared" si="14"/>
        <v>1.4730112273697538</v>
      </c>
      <c r="W20" s="6">
        <f t="shared" si="15"/>
        <v>-1.0116233506621033</v>
      </c>
      <c r="X20" s="6">
        <f t="shared" si="16"/>
        <v>-0.13602043540229192</v>
      </c>
    </row>
    <row r="21" spans="1:24" x14ac:dyDescent="0.35">
      <c r="A21" s="2" t="s">
        <v>12</v>
      </c>
      <c r="B21" s="2" t="s">
        <v>32</v>
      </c>
      <c r="C21" s="2">
        <v>15.32</v>
      </c>
      <c r="D21" s="2">
        <v>11.18</v>
      </c>
      <c r="E21" s="2">
        <v>11378</v>
      </c>
      <c r="F21" s="2">
        <v>76.11</v>
      </c>
      <c r="G21" s="2">
        <v>70.56</v>
      </c>
      <c r="H21" s="2">
        <v>92.25</v>
      </c>
      <c r="I21" s="2">
        <v>96.18</v>
      </c>
      <c r="J21" s="2">
        <v>3.56</v>
      </c>
      <c r="K21" s="2">
        <v>63.71</v>
      </c>
      <c r="L21" s="2">
        <v>1152875</v>
      </c>
      <c r="M21" s="2">
        <v>0</v>
      </c>
      <c r="O21" s="6">
        <f t="shared" si="8"/>
        <v>0.40889366528333698</v>
      </c>
      <c r="P21" s="6">
        <f t="shared" si="8"/>
        <v>1.6838284007707809</v>
      </c>
      <c r="Q21" s="6">
        <f t="shared" si="9"/>
        <v>0.38799489938753817</v>
      </c>
      <c r="R21" s="6">
        <f t="shared" si="10"/>
        <v>0.95262761580347066</v>
      </c>
      <c r="S21" s="6">
        <f t="shared" si="11"/>
        <v>0.2622421923349274</v>
      </c>
      <c r="T21" s="6">
        <f t="shared" si="12"/>
        <v>0.81052426352879814</v>
      </c>
      <c r="U21" s="6">
        <f t="shared" si="13"/>
        <v>0.70401121566088543</v>
      </c>
      <c r="V21" s="6">
        <f t="shared" si="14"/>
        <v>-0.56919686018257654</v>
      </c>
      <c r="W21" s="6">
        <f t="shared" si="15"/>
        <v>-0.90051536849363778</v>
      </c>
      <c r="X21" s="6">
        <f t="shared" si="16"/>
        <v>-0.43485045455239779</v>
      </c>
    </row>
    <row r="22" spans="1:24" x14ac:dyDescent="0.35">
      <c r="A22" s="2" t="s">
        <v>12</v>
      </c>
      <c r="B22" s="2" t="s">
        <v>33</v>
      </c>
      <c r="C22" s="2">
        <v>10.96</v>
      </c>
      <c r="D22" s="2">
        <v>11.12</v>
      </c>
      <c r="E22" s="2">
        <v>12067</v>
      </c>
      <c r="F22" s="2">
        <v>77.44</v>
      </c>
      <c r="G22" s="2">
        <v>69.430000000000007</v>
      </c>
      <c r="H22" s="2">
        <v>91.81</v>
      </c>
      <c r="I22" s="2">
        <v>97.14</v>
      </c>
      <c r="J22" s="2">
        <v>7.21</v>
      </c>
      <c r="K22" s="2">
        <v>67.040000000000006</v>
      </c>
      <c r="L22" s="2">
        <v>3974614</v>
      </c>
      <c r="M22" s="2">
        <v>0</v>
      </c>
      <c r="O22" s="6">
        <f t="shared" si="8"/>
        <v>-0.1762278225375726</v>
      </c>
      <c r="P22" s="6">
        <f t="shared" si="8"/>
        <v>1.6470017445905305</v>
      </c>
      <c r="Q22" s="6">
        <f t="shared" si="9"/>
        <v>0.64181698826979594</v>
      </c>
      <c r="R22" s="6">
        <f t="shared" si="10"/>
        <v>1.1575358622575935</v>
      </c>
      <c r="S22" s="6">
        <f t="shared" si="11"/>
        <v>-6.5854288261248589E-2</v>
      </c>
      <c r="T22" s="6">
        <f t="shared" si="12"/>
        <v>0.78682434983767557</v>
      </c>
      <c r="U22" s="6">
        <f t="shared" si="13"/>
        <v>0.76521081650222644</v>
      </c>
      <c r="V22" s="6">
        <f t="shared" si="14"/>
        <v>0.81631606166984105</v>
      </c>
      <c r="W22" s="6">
        <f t="shared" si="15"/>
        <v>-0.37940328311196136</v>
      </c>
      <c r="X22" s="6">
        <f t="shared" si="16"/>
        <v>-0.37589016680301823</v>
      </c>
    </row>
    <row r="23" spans="1:24" x14ac:dyDescent="0.35">
      <c r="A23" s="2" t="s">
        <v>12</v>
      </c>
      <c r="B23" s="2" t="s">
        <v>34</v>
      </c>
      <c r="C23" s="2">
        <v>11.16</v>
      </c>
      <c r="D23" s="2">
        <v>11.11</v>
      </c>
      <c r="E23" s="2">
        <v>11390</v>
      </c>
      <c r="F23" s="2">
        <v>77.569999999999993</v>
      </c>
      <c r="G23" s="2">
        <v>71.64</v>
      </c>
      <c r="H23" s="2">
        <v>93.1</v>
      </c>
      <c r="I23" s="2">
        <v>94.44</v>
      </c>
      <c r="J23" s="2">
        <v>11.16</v>
      </c>
      <c r="K23" s="2">
        <v>63.91</v>
      </c>
      <c r="L23" s="2">
        <v>7252905</v>
      </c>
      <c r="M23" s="2">
        <v>0</v>
      </c>
      <c r="O23" s="6">
        <f t="shared" si="8"/>
        <v>-0.14938738731643006</v>
      </c>
      <c r="P23" s="6">
        <f t="shared" si="8"/>
        <v>1.6408639685604889</v>
      </c>
      <c r="Q23" s="6">
        <f t="shared" si="9"/>
        <v>0.39241560340290405</v>
      </c>
      <c r="R23" s="6">
        <f t="shared" si="10"/>
        <v>1.1775644878508531</v>
      </c>
      <c r="S23" s="6">
        <f t="shared" si="11"/>
        <v>0.5758211295418928</v>
      </c>
      <c r="T23" s="6">
        <f t="shared" si="12"/>
        <v>0.8563081877048303</v>
      </c>
      <c r="U23" s="6">
        <f t="shared" si="13"/>
        <v>0.59308693913595356</v>
      </c>
      <c r="V23" s="6">
        <f t="shared" si="14"/>
        <v>2.3157067579210877</v>
      </c>
      <c r="W23" s="6">
        <f t="shared" si="15"/>
        <v>-0.86921734534759187</v>
      </c>
      <c r="X23" s="6">
        <f t="shared" si="16"/>
        <v>-0.3073902167062158</v>
      </c>
    </row>
    <row r="24" spans="1:24" x14ac:dyDescent="0.35">
      <c r="A24" s="2" t="s">
        <v>12</v>
      </c>
      <c r="B24" s="2" t="s">
        <v>35</v>
      </c>
      <c r="C24" s="2">
        <v>17.649999999999999</v>
      </c>
      <c r="D24" s="2">
        <v>8.0299999999999994</v>
      </c>
      <c r="E24" s="2">
        <v>7385</v>
      </c>
      <c r="F24" s="2">
        <v>65.27</v>
      </c>
      <c r="G24" s="2">
        <v>64.069999999999993</v>
      </c>
      <c r="H24" s="2">
        <v>69.709999999999994</v>
      </c>
      <c r="I24" s="2">
        <v>60.87</v>
      </c>
      <c r="J24" s="2">
        <v>6.26</v>
      </c>
      <c r="K24" s="2">
        <v>63.78</v>
      </c>
      <c r="L24" s="2">
        <v>1438997</v>
      </c>
      <c r="M24" s="2">
        <v>0</v>
      </c>
      <c r="O24" s="6">
        <f t="shared" si="8"/>
        <v>0.72158473560964864</v>
      </c>
      <c r="P24" s="6">
        <f t="shared" si="8"/>
        <v>-0.24957104869235763</v>
      </c>
      <c r="Q24" s="6">
        <f t="shared" si="9"/>
        <v>-1.0829943617254594</v>
      </c>
      <c r="R24" s="6">
        <f t="shared" si="10"/>
        <v>-0.71745162597299217</v>
      </c>
      <c r="S24" s="6">
        <f t="shared" si="11"/>
        <v>-1.6221349395847131</v>
      </c>
      <c r="T24" s="6">
        <f t="shared" si="12"/>
        <v>-0.40355767873916848</v>
      </c>
      <c r="U24" s="6">
        <f t="shared" si="13"/>
        <v>-1.5469866027847046</v>
      </c>
      <c r="V24" s="6">
        <f t="shared" si="14"/>
        <v>0.45570310940688291</v>
      </c>
      <c r="W24" s="6">
        <f t="shared" si="15"/>
        <v>-0.88956106039252147</v>
      </c>
      <c r="X24" s="6">
        <f t="shared" si="16"/>
        <v>-0.42887193015612018</v>
      </c>
    </row>
    <row r="25" spans="1:24" x14ac:dyDescent="0.35">
      <c r="A25" s="2" t="s">
        <v>36</v>
      </c>
      <c r="B25" s="2" t="s">
        <v>37</v>
      </c>
      <c r="C25" s="2">
        <v>16.82</v>
      </c>
      <c r="D25" s="2">
        <v>5.64</v>
      </c>
      <c r="E25" s="2">
        <v>6995</v>
      </c>
      <c r="F25" s="2">
        <v>62.74</v>
      </c>
      <c r="G25" s="2">
        <v>69.78</v>
      </c>
      <c r="H25" s="2">
        <v>19.93</v>
      </c>
      <c r="I25" s="2">
        <v>47.79</v>
      </c>
      <c r="J25" s="2">
        <v>3.12</v>
      </c>
      <c r="K25" s="2">
        <v>81.790000000000006</v>
      </c>
      <c r="L25" s="2">
        <v>2666855</v>
      </c>
      <c r="M25" s="2">
        <v>0</v>
      </c>
      <c r="O25" s="6">
        <f t="shared" si="8"/>
        <v>0.61019692944190684</v>
      </c>
      <c r="P25" s="6">
        <f t="shared" si="8"/>
        <v>-1.7164995198723259</v>
      </c>
      <c r="Q25" s="6">
        <f t="shared" si="9"/>
        <v>-1.2266672422248506</v>
      </c>
      <c r="R25" s="6">
        <f t="shared" si="10"/>
        <v>-1.1072394932879774</v>
      </c>
      <c r="S25" s="6">
        <f t="shared" si="11"/>
        <v>3.5768515463229449E-2</v>
      </c>
      <c r="T25" s="6">
        <f t="shared" si="12"/>
        <v>-3.0848797322484565</v>
      </c>
      <c r="U25" s="6">
        <f t="shared" si="13"/>
        <v>-2.3808311642479811</v>
      </c>
      <c r="V25" s="6">
        <f t="shared" si="14"/>
        <v>-0.73621759596752556</v>
      </c>
      <c r="W25" s="6">
        <f t="shared" si="15"/>
        <v>1.928825923908974</v>
      </c>
      <c r="X25" s="6">
        <f t="shared" si="16"/>
        <v>-0.40321581490400876</v>
      </c>
    </row>
    <row r="26" spans="1:24" x14ac:dyDescent="0.35">
      <c r="A26" s="2" t="s">
        <v>36</v>
      </c>
      <c r="B26" s="2" t="s">
        <v>38</v>
      </c>
      <c r="C26" s="2">
        <v>9.49</v>
      </c>
      <c r="D26" s="2">
        <v>8.6300000000000008</v>
      </c>
      <c r="E26" s="2">
        <v>9771</v>
      </c>
      <c r="F26" s="2">
        <v>67.19</v>
      </c>
      <c r="G26" s="2">
        <v>62.65</v>
      </c>
      <c r="H26" s="2">
        <v>35.729999999999997</v>
      </c>
      <c r="I26" s="2">
        <v>73.78</v>
      </c>
      <c r="J26" s="2">
        <v>6.12</v>
      </c>
      <c r="K26" s="2">
        <v>69.790000000000006</v>
      </c>
      <c r="L26" s="2">
        <v>9585899</v>
      </c>
      <c r="M26" s="2">
        <v>0</v>
      </c>
      <c r="O26" s="6">
        <f t="shared" si="8"/>
        <v>-0.37350502141297115</v>
      </c>
      <c r="P26" s="6">
        <f t="shared" si="8"/>
        <v>0.11869551311014578</v>
      </c>
      <c r="Q26" s="6">
        <f t="shared" si="9"/>
        <v>-0.20401104667020964</v>
      </c>
      <c r="R26" s="6">
        <f t="shared" si="10"/>
        <v>-0.42164423259561112</v>
      </c>
      <c r="S26" s="6">
        <f t="shared" si="11"/>
        <v>-2.0344331718383146</v>
      </c>
      <c r="T26" s="6">
        <f t="shared" si="12"/>
        <v>-2.2338373769763242</v>
      </c>
      <c r="U26" s="6">
        <f t="shared" si="13"/>
        <v>-0.72397947063708157</v>
      </c>
      <c r="V26" s="6">
        <f t="shared" si="14"/>
        <v>0.4025601480207629</v>
      </c>
      <c r="W26" s="6">
        <f t="shared" si="15"/>
        <v>5.094453514617913E-2</v>
      </c>
      <c r="X26" s="6">
        <f t="shared" si="16"/>
        <v>-0.25864226462504314</v>
      </c>
    </row>
    <row r="27" spans="1:24" x14ac:dyDescent="0.35">
      <c r="A27" s="2" t="s">
        <v>36</v>
      </c>
      <c r="B27" s="2" t="s">
        <v>39</v>
      </c>
      <c r="C27" s="2">
        <v>8.8000000000000007</v>
      </c>
      <c r="D27" s="2">
        <v>9.2899999999999991</v>
      </c>
      <c r="E27" s="2">
        <v>11304</v>
      </c>
      <c r="F27" s="2">
        <v>70.33</v>
      </c>
      <c r="G27" s="2">
        <v>64.97</v>
      </c>
      <c r="H27" s="2">
        <v>46.41</v>
      </c>
      <c r="I27" s="2">
        <v>67.39</v>
      </c>
      <c r="J27" s="2">
        <v>4</v>
      </c>
      <c r="K27" s="2">
        <v>74.38</v>
      </c>
      <c r="L27" s="2">
        <v>10036712</v>
      </c>
      <c r="M27" s="2">
        <v>0</v>
      </c>
      <c r="O27" s="6">
        <f t="shared" si="8"/>
        <v>-0.4661045229259132</v>
      </c>
      <c r="P27" s="6">
        <f t="shared" si="8"/>
        <v>0.52378873109289759</v>
      </c>
      <c r="Q27" s="6">
        <f t="shared" si="9"/>
        <v>0.36073389129278188</v>
      </c>
      <c r="R27" s="6">
        <f t="shared" si="10"/>
        <v>6.212410865698046E-2</v>
      </c>
      <c r="S27" s="6">
        <f t="shared" si="11"/>
        <v>-1.3608191585789065</v>
      </c>
      <c r="T27" s="6">
        <f t="shared" si="12"/>
        <v>-1.6585758355645284</v>
      </c>
      <c r="U27" s="6">
        <f t="shared" si="13"/>
        <v>-1.1313393137372605</v>
      </c>
      <c r="V27" s="6">
        <f t="shared" si="14"/>
        <v>-0.40217612439762762</v>
      </c>
      <c r="W27" s="6">
        <f t="shared" si="15"/>
        <v>0.7692341663479465</v>
      </c>
      <c r="X27" s="6">
        <f t="shared" si="16"/>
        <v>-0.24922251878704715</v>
      </c>
    </row>
    <row r="28" spans="1:24" x14ac:dyDescent="0.35">
      <c r="A28" s="2" t="s">
        <v>36</v>
      </c>
      <c r="B28" s="2" t="s">
        <v>40</v>
      </c>
      <c r="C28" s="2">
        <v>12.67</v>
      </c>
      <c r="D28" s="2">
        <v>8.84</v>
      </c>
      <c r="E28" s="2">
        <v>10138</v>
      </c>
      <c r="F28" s="2">
        <v>69.61</v>
      </c>
      <c r="G28" s="2">
        <v>67.239999999999995</v>
      </c>
      <c r="H28" s="2">
        <v>57.56</v>
      </c>
      <c r="I28" s="2">
        <v>68.81</v>
      </c>
      <c r="J28" s="2">
        <v>7.24</v>
      </c>
      <c r="K28" s="2">
        <v>75.05</v>
      </c>
      <c r="L28" s="2">
        <v>7149285</v>
      </c>
      <c r="M28" s="2">
        <v>0</v>
      </c>
      <c r="O28" s="6">
        <f t="shared" si="8"/>
        <v>5.3257898603196893E-2</v>
      </c>
      <c r="P28" s="6">
        <f t="shared" si="8"/>
        <v>0.2475888097410211</v>
      </c>
      <c r="Q28" s="6">
        <f t="shared" si="9"/>
        <v>-6.8811182200269716E-2</v>
      </c>
      <c r="R28" s="6">
        <f t="shared" si="10"/>
        <v>-4.8803663859537154E-2</v>
      </c>
      <c r="S28" s="6">
        <f t="shared" si="11"/>
        <v>-0.70172268870871068</v>
      </c>
      <c r="T28" s="6">
        <f t="shared" si="12"/>
        <v>-1.0579984772553965</v>
      </c>
      <c r="U28" s="6">
        <f t="shared" si="13"/>
        <v>-1.0408149041594428</v>
      </c>
      <c r="V28" s="6">
        <f t="shared" si="14"/>
        <v>0.827703839109724</v>
      </c>
      <c r="W28" s="6">
        <f t="shared" si="15"/>
        <v>0.87408254388720275</v>
      </c>
      <c r="X28" s="6">
        <f t="shared" si="16"/>
        <v>-0.30955535849168592</v>
      </c>
    </row>
    <row r="29" spans="1:24" x14ac:dyDescent="0.35">
      <c r="A29" s="2" t="s">
        <v>36</v>
      </c>
      <c r="B29" s="2" t="s">
        <v>41</v>
      </c>
      <c r="C29" s="2">
        <v>9.7200000000000006</v>
      </c>
      <c r="D29" s="2">
        <v>9.99</v>
      </c>
      <c r="E29" s="2">
        <v>11710</v>
      </c>
      <c r="F29" s="2">
        <v>73.760000000000005</v>
      </c>
      <c r="G29" s="2">
        <v>68.760000000000005</v>
      </c>
      <c r="H29" s="2">
        <v>83.79</v>
      </c>
      <c r="I29" s="2">
        <v>89.06</v>
      </c>
      <c r="J29" s="2">
        <v>1.54</v>
      </c>
      <c r="K29" s="2">
        <v>82.63</v>
      </c>
      <c r="L29" s="2">
        <v>6058350</v>
      </c>
      <c r="M29" s="2">
        <v>0</v>
      </c>
      <c r="O29" s="6">
        <f t="shared" si="8"/>
        <v>-0.34263852090865704</v>
      </c>
      <c r="P29" s="6">
        <f t="shared" si="8"/>
        <v>0.95343305319581784</v>
      </c>
      <c r="Q29" s="6">
        <f t="shared" si="9"/>
        <v>0.51030104381266095</v>
      </c>
      <c r="R29" s="6">
        <f t="shared" si="10"/>
        <v>0.59057169161761491</v>
      </c>
      <c r="S29" s="6">
        <f t="shared" si="11"/>
        <v>-0.26038936967668164</v>
      </c>
      <c r="T29" s="6">
        <f t="shared" si="12"/>
        <v>0.35483955937675787</v>
      </c>
      <c r="U29" s="6">
        <f t="shared" si="13"/>
        <v>0.25011417608760289</v>
      </c>
      <c r="V29" s="6">
        <f t="shared" si="14"/>
        <v>-1.3359738744680241</v>
      </c>
      <c r="W29" s="6">
        <f t="shared" si="15"/>
        <v>2.0602776211223679</v>
      </c>
      <c r="X29" s="6">
        <f t="shared" si="16"/>
        <v>-0.33235046516734568</v>
      </c>
    </row>
    <row r="30" spans="1:24" x14ac:dyDescent="0.35">
      <c r="A30" s="2" t="s">
        <v>36</v>
      </c>
      <c r="B30" s="2" t="s">
        <v>42</v>
      </c>
      <c r="C30" s="2">
        <v>8.99</v>
      </c>
      <c r="D30" s="2">
        <v>10.57</v>
      </c>
      <c r="E30" s="2">
        <v>12224</v>
      </c>
      <c r="F30" s="2">
        <v>75.39</v>
      </c>
      <c r="G30" s="2">
        <v>70.290000000000006</v>
      </c>
      <c r="H30" s="2">
        <v>89.54</v>
      </c>
      <c r="I30" s="2">
        <v>95.04</v>
      </c>
      <c r="J30" s="2">
        <v>0.83</v>
      </c>
      <c r="K30" s="2">
        <v>80.38</v>
      </c>
      <c r="L30" s="2">
        <v>5649103</v>
      </c>
      <c r="M30" s="2">
        <v>0</v>
      </c>
      <c r="O30" s="6">
        <f t="shared" si="8"/>
        <v>-0.44060610946582773</v>
      </c>
      <c r="P30" s="6">
        <f t="shared" si="8"/>
        <v>1.309424062938237</v>
      </c>
      <c r="Q30" s="6">
        <f t="shared" si="9"/>
        <v>0.69965453247083287</v>
      </c>
      <c r="R30" s="6">
        <f t="shared" si="10"/>
        <v>0.84169984328695302</v>
      </c>
      <c r="S30" s="6">
        <f t="shared" si="11"/>
        <v>0.18384745803318706</v>
      </c>
      <c r="T30" s="6">
        <f t="shared" si="12"/>
        <v>0.66455434056756557</v>
      </c>
      <c r="U30" s="6">
        <f t="shared" si="13"/>
        <v>0.63133668966179246</v>
      </c>
      <c r="V30" s="6">
        <f t="shared" si="14"/>
        <v>-1.6054846072119191</v>
      </c>
      <c r="W30" s="6">
        <f t="shared" si="15"/>
        <v>1.7081748607293439</v>
      </c>
      <c r="X30" s="6">
        <f t="shared" si="16"/>
        <v>-0.3409016886790065</v>
      </c>
    </row>
    <row r="31" spans="1:24" x14ac:dyDescent="0.35">
      <c r="A31" s="2" t="s">
        <v>36</v>
      </c>
      <c r="B31" s="2" t="s">
        <v>43</v>
      </c>
      <c r="C31" s="2">
        <v>8.74</v>
      </c>
      <c r="D31" s="2">
        <v>9.25</v>
      </c>
      <c r="E31" s="2">
        <v>11212</v>
      </c>
      <c r="F31" s="2">
        <v>72.09</v>
      </c>
      <c r="G31" s="2">
        <v>69.95</v>
      </c>
      <c r="H31" s="2">
        <v>81.5</v>
      </c>
      <c r="I31" s="2">
        <v>94.34</v>
      </c>
      <c r="J31" s="2">
        <v>5.66</v>
      </c>
      <c r="K31" s="2">
        <v>61.84</v>
      </c>
      <c r="L31" s="2">
        <v>24147560</v>
      </c>
      <c r="M31" s="2">
        <v>0</v>
      </c>
      <c r="O31" s="6">
        <f t="shared" si="8"/>
        <v>-0.47415665349225605</v>
      </c>
      <c r="P31" s="6">
        <f t="shared" si="8"/>
        <v>0.49923762697273127</v>
      </c>
      <c r="Q31" s="6">
        <f t="shared" si="9"/>
        <v>0.32684182717497678</v>
      </c>
      <c r="R31" s="6">
        <f t="shared" si="10"/>
        <v>0.33328088591958027</v>
      </c>
      <c r="S31" s="6">
        <f t="shared" si="11"/>
        <v>8.5128162986548656E-2</v>
      </c>
      <c r="T31" s="6">
        <f t="shared" si="12"/>
        <v>0.23149228130250543</v>
      </c>
      <c r="U31" s="6">
        <f t="shared" si="13"/>
        <v>0.58671198071498076</v>
      </c>
      <c r="V31" s="6">
        <f t="shared" si="14"/>
        <v>0.22794756060922539</v>
      </c>
      <c r="W31" s="6">
        <f t="shared" si="15"/>
        <v>-1.1931518849091729</v>
      </c>
      <c r="X31" s="6">
        <f t="shared" si="16"/>
        <v>4.5623906934026598E-2</v>
      </c>
    </row>
    <row r="32" spans="1:24" x14ac:dyDescent="0.35">
      <c r="A32" s="2" t="s">
        <v>36</v>
      </c>
      <c r="B32" s="2" t="s">
        <v>44</v>
      </c>
      <c r="C32" s="2">
        <v>9.35</v>
      </c>
      <c r="D32" s="2">
        <v>8.8000000000000007</v>
      </c>
      <c r="E32" s="2">
        <v>11030</v>
      </c>
      <c r="F32" s="2">
        <v>70.489999999999995</v>
      </c>
      <c r="G32" s="2">
        <v>68.37</v>
      </c>
      <c r="H32" s="2">
        <v>89.09</v>
      </c>
      <c r="I32" s="2">
        <v>95.78</v>
      </c>
      <c r="J32" s="2">
        <v>6.39</v>
      </c>
      <c r="K32" s="2">
        <v>63.02</v>
      </c>
      <c r="L32" s="2">
        <v>27279586</v>
      </c>
      <c r="M32" s="2">
        <v>0</v>
      </c>
      <c r="O32" s="6">
        <f t="shared" si="8"/>
        <v>-0.39229332606777106</v>
      </c>
      <c r="P32" s="6">
        <f t="shared" si="8"/>
        <v>0.22303770562085479</v>
      </c>
      <c r="Q32" s="6">
        <f t="shared" si="9"/>
        <v>0.25979448294192758</v>
      </c>
      <c r="R32" s="6">
        <f t="shared" si="10"/>
        <v>8.6774724771761666E-2</v>
      </c>
      <c r="S32" s="6">
        <f t="shared" si="11"/>
        <v>-0.37362620811253061</v>
      </c>
      <c r="T32" s="6">
        <f t="shared" si="12"/>
        <v>0.64031579247437176</v>
      </c>
      <c r="U32" s="6">
        <f t="shared" si="13"/>
        <v>0.67851138197699279</v>
      </c>
      <c r="V32" s="6">
        <f t="shared" si="14"/>
        <v>0.50505014497970868</v>
      </c>
      <c r="W32" s="6">
        <f t="shared" si="15"/>
        <v>-1.0084935483474982</v>
      </c>
      <c r="X32" s="6">
        <f t="shared" si="16"/>
        <v>0.11106764719439023</v>
      </c>
    </row>
    <row r="33" spans="1:24" x14ac:dyDescent="0.35">
      <c r="A33" s="2" t="s">
        <v>36</v>
      </c>
      <c r="B33" s="2" t="s">
        <v>45</v>
      </c>
      <c r="C33" s="2">
        <v>8.81</v>
      </c>
      <c r="D33" s="2">
        <v>9.61</v>
      </c>
      <c r="E33" s="2">
        <v>11376</v>
      </c>
      <c r="F33" s="2">
        <v>73.400000000000006</v>
      </c>
      <c r="G33" s="2">
        <v>71.37</v>
      </c>
      <c r="H33" s="2">
        <v>91.75</v>
      </c>
      <c r="I33" s="2">
        <v>99.74</v>
      </c>
      <c r="J33" s="2">
        <v>4.17</v>
      </c>
      <c r="K33" s="2">
        <v>72.55</v>
      </c>
      <c r="L33" s="2">
        <v>28648781</v>
      </c>
      <c r="M33" s="2">
        <v>0</v>
      </c>
      <c r="O33" s="6">
        <f t="shared" si="8"/>
        <v>-0.46476250116485612</v>
      </c>
      <c r="P33" s="6">
        <f t="shared" si="8"/>
        <v>0.72019756405423241</v>
      </c>
      <c r="Q33" s="6">
        <f t="shared" si="9"/>
        <v>0.38725811538497718</v>
      </c>
      <c r="R33" s="6">
        <f t="shared" si="10"/>
        <v>0.53510780535935609</v>
      </c>
      <c r="S33" s="6">
        <f t="shared" si="11"/>
        <v>0.49742639524015247</v>
      </c>
      <c r="T33" s="6">
        <f t="shared" si="12"/>
        <v>0.78359254342524964</v>
      </c>
      <c r="U33" s="6">
        <f t="shared" si="13"/>
        <v>0.93095973544752575</v>
      </c>
      <c r="V33" s="6">
        <f t="shared" si="14"/>
        <v>-0.33764538557162466</v>
      </c>
      <c r="W33" s="6">
        <f t="shared" si="15"/>
        <v>0.48285725456162054</v>
      </c>
      <c r="X33" s="6">
        <f t="shared" si="16"/>
        <v>0.13967700163327057</v>
      </c>
    </row>
    <row r="34" spans="1:24" x14ac:dyDescent="0.35">
      <c r="A34" s="2" t="s">
        <v>36</v>
      </c>
      <c r="B34" s="2" t="s">
        <v>46</v>
      </c>
      <c r="C34" s="2">
        <v>8.31</v>
      </c>
      <c r="D34" s="2">
        <v>9.59</v>
      </c>
      <c r="E34" s="2">
        <v>10504</v>
      </c>
      <c r="F34" s="2">
        <v>71.84</v>
      </c>
      <c r="G34" s="2">
        <v>69.19</v>
      </c>
      <c r="H34" s="2">
        <v>92.35</v>
      </c>
      <c r="I34" s="2">
        <v>91.9</v>
      </c>
      <c r="J34" s="2">
        <v>1.49</v>
      </c>
      <c r="K34" s="2">
        <v>85.73</v>
      </c>
      <c r="L34" s="2">
        <v>6641674</v>
      </c>
      <c r="M34" s="2">
        <v>0</v>
      </c>
      <c r="O34" s="6">
        <f t="shared" si="8"/>
        <v>-0.53186358921771271</v>
      </c>
      <c r="P34" s="6">
        <f t="shared" si="8"/>
        <v>0.70792201199414928</v>
      </c>
      <c r="Q34" s="6">
        <f t="shared" si="9"/>
        <v>6.6020290268389709E-2</v>
      </c>
      <c r="R34" s="6">
        <f t="shared" si="10"/>
        <v>0.29476429824023381</v>
      </c>
      <c r="S34" s="6">
        <f t="shared" si="11"/>
        <v>-0.1355384965294659</v>
      </c>
      <c r="T34" s="6">
        <f t="shared" si="12"/>
        <v>0.8159106075495075</v>
      </c>
      <c r="U34" s="6">
        <f t="shared" si="13"/>
        <v>0.43116299524323815</v>
      </c>
      <c r="V34" s="6">
        <f t="shared" si="14"/>
        <v>-1.3549535035344955</v>
      </c>
      <c r="W34" s="6">
        <f t="shared" si="15"/>
        <v>2.5453969798860911</v>
      </c>
      <c r="X34" s="6">
        <f t="shared" si="16"/>
        <v>-0.3201618995731787</v>
      </c>
    </row>
    <row r="35" spans="1:24" x14ac:dyDescent="0.35">
      <c r="A35" s="2" t="s">
        <v>36</v>
      </c>
      <c r="B35" s="2" t="s">
        <v>47</v>
      </c>
      <c r="C35" s="2">
        <v>8.7899999999999991</v>
      </c>
      <c r="D35" s="2">
        <v>10</v>
      </c>
      <c r="E35" s="2">
        <v>12412</v>
      </c>
      <c r="F35" s="2">
        <v>74.83</v>
      </c>
      <c r="G35" s="2">
        <v>71.58</v>
      </c>
      <c r="H35" s="2">
        <v>84.33</v>
      </c>
      <c r="I35" s="2">
        <v>91.43</v>
      </c>
      <c r="J35" s="2">
        <v>1.95</v>
      </c>
      <c r="K35" s="2">
        <v>84.56</v>
      </c>
      <c r="L35" s="2">
        <v>14582333</v>
      </c>
      <c r="M35" s="2">
        <v>0</v>
      </c>
      <c r="O35" s="6">
        <f t="shared" si="8"/>
        <v>-0.46744654468697056</v>
      </c>
      <c r="P35" s="6">
        <f t="shared" si="8"/>
        <v>0.95957082922585946</v>
      </c>
      <c r="Q35" s="6">
        <f t="shared" si="9"/>
        <v>0.76891222871156506</v>
      </c>
      <c r="R35" s="6">
        <f t="shared" si="10"/>
        <v>0.75542268688521663</v>
      </c>
      <c r="S35" s="6">
        <f t="shared" si="11"/>
        <v>0.55840007747483844</v>
      </c>
      <c r="T35" s="6">
        <f t="shared" si="12"/>
        <v>0.38392581708858986</v>
      </c>
      <c r="U35" s="6">
        <f t="shared" si="13"/>
        <v>0.40120069066466485</v>
      </c>
      <c r="V35" s="6">
        <f t="shared" si="14"/>
        <v>-1.1803409161229579</v>
      </c>
      <c r="W35" s="6">
        <f t="shared" si="15"/>
        <v>2.3623035444817186</v>
      </c>
      <c r="X35" s="6">
        <f t="shared" si="16"/>
        <v>-0.15424168527990051</v>
      </c>
    </row>
    <row r="36" spans="1:24" x14ac:dyDescent="0.35">
      <c r="A36" s="2" t="s">
        <v>36</v>
      </c>
      <c r="B36" s="2" t="s">
        <v>48</v>
      </c>
      <c r="C36" s="2">
        <v>4.01</v>
      </c>
      <c r="D36" s="2">
        <v>10.1</v>
      </c>
      <c r="E36" s="2">
        <v>12291</v>
      </c>
      <c r="F36" s="2">
        <v>75.53</v>
      </c>
      <c r="G36" s="2">
        <v>71.77</v>
      </c>
      <c r="H36" s="2">
        <v>96.37</v>
      </c>
      <c r="I36" s="2">
        <v>98.18</v>
      </c>
      <c r="J36" s="2">
        <v>9.1300000000000008</v>
      </c>
      <c r="K36" s="2">
        <v>66.78</v>
      </c>
      <c r="L36" s="2">
        <v>72173623</v>
      </c>
      <c r="M36" s="2">
        <v>0</v>
      </c>
      <c r="O36" s="6">
        <f t="shared" si="8"/>
        <v>-1.1089329464722797</v>
      </c>
      <c r="P36" s="6">
        <f t="shared" si="8"/>
        <v>1.0209485895262764</v>
      </c>
      <c r="Q36" s="6">
        <f t="shared" si="9"/>
        <v>0.72433679655662575</v>
      </c>
      <c r="R36" s="6">
        <f t="shared" si="10"/>
        <v>0.86326913238738712</v>
      </c>
      <c r="S36" s="6">
        <f t="shared" si="11"/>
        <v>0.61356674235384112</v>
      </c>
      <c r="T36" s="6">
        <f t="shared" si="12"/>
        <v>1.032441637182038</v>
      </c>
      <c r="U36" s="6">
        <f t="shared" si="13"/>
        <v>0.83151038408034672</v>
      </c>
      <c r="V36" s="6">
        <f t="shared" si="14"/>
        <v>1.5451338178223459</v>
      </c>
      <c r="W36" s="6">
        <f t="shared" si="15"/>
        <v>-0.42009071320182273</v>
      </c>
      <c r="X36" s="6">
        <f t="shared" si="16"/>
        <v>1.0491293672015534</v>
      </c>
    </row>
    <row r="37" spans="1:24" x14ac:dyDescent="0.35">
      <c r="A37" s="2" t="s">
        <v>36</v>
      </c>
      <c r="B37" s="2" t="s">
        <v>49</v>
      </c>
      <c r="C37" s="2">
        <v>10.119999999999999</v>
      </c>
      <c r="D37" s="2">
        <v>8.66</v>
      </c>
      <c r="E37" s="2">
        <v>11142</v>
      </c>
      <c r="F37" s="2">
        <v>71.349999999999994</v>
      </c>
      <c r="G37" s="2">
        <v>68.97</v>
      </c>
      <c r="H37" s="2">
        <v>80.760000000000005</v>
      </c>
      <c r="I37" s="2">
        <v>92.51</v>
      </c>
      <c r="J37" s="2">
        <v>5.12</v>
      </c>
      <c r="K37" s="2">
        <v>69.12</v>
      </c>
      <c r="L37" s="2">
        <v>30247389</v>
      </c>
      <c r="M37" s="2">
        <v>0</v>
      </c>
      <c r="O37" s="6">
        <f t="shared" si="8"/>
        <v>-0.28895765046637195</v>
      </c>
      <c r="P37" s="6">
        <f t="shared" si="8"/>
        <v>0.13710884120027053</v>
      </c>
      <c r="Q37" s="6">
        <f t="shared" si="9"/>
        <v>0.30105438708534249</v>
      </c>
      <c r="R37" s="6">
        <f t="shared" si="10"/>
        <v>0.21927178638871339</v>
      </c>
      <c r="S37" s="6">
        <f t="shared" si="11"/>
        <v>-0.19941568744199564</v>
      </c>
      <c r="T37" s="6">
        <f t="shared" si="12"/>
        <v>0.19163333554925394</v>
      </c>
      <c r="U37" s="6">
        <f t="shared" si="13"/>
        <v>0.47005024161117381</v>
      </c>
      <c r="V37" s="6">
        <f t="shared" si="14"/>
        <v>2.296756669133344E-2</v>
      </c>
      <c r="W37" s="6">
        <f t="shared" si="15"/>
        <v>-5.3903842393077189E-2</v>
      </c>
      <c r="X37" s="6">
        <f t="shared" si="16"/>
        <v>0.17307994488155118</v>
      </c>
    </row>
    <row r="38" spans="1:24" x14ac:dyDescent="0.35">
      <c r="A38" s="2" t="s">
        <v>36</v>
      </c>
      <c r="B38" s="2" t="s">
        <v>50</v>
      </c>
      <c r="C38" s="2">
        <v>16.920000000000002</v>
      </c>
      <c r="D38" s="2">
        <v>6.06</v>
      </c>
      <c r="E38" s="2">
        <v>7041</v>
      </c>
      <c r="F38" s="2">
        <v>62.35</v>
      </c>
      <c r="G38" s="2">
        <v>68.86</v>
      </c>
      <c r="H38" s="2">
        <v>13.14</v>
      </c>
      <c r="I38" s="2">
        <v>66.209999999999994</v>
      </c>
      <c r="J38" s="2">
        <v>3.91</v>
      </c>
      <c r="K38" s="2">
        <v>72.25</v>
      </c>
      <c r="L38" s="2">
        <v>4332626</v>
      </c>
      <c r="M38" s="2">
        <v>0</v>
      </c>
      <c r="O38" s="6">
        <f t="shared" si="8"/>
        <v>0.62361714705247839</v>
      </c>
      <c r="P38" s="6">
        <f t="shared" si="8"/>
        <v>-1.4587129266105743</v>
      </c>
      <c r="Q38" s="6">
        <f t="shared" si="9"/>
        <v>-1.209721210165948</v>
      </c>
      <c r="R38" s="6">
        <f t="shared" si="10"/>
        <v>-1.1673253700677579</v>
      </c>
      <c r="S38" s="6">
        <f t="shared" si="11"/>
        <v>-0.23135428289826052</v>
      </c>
      <c r="T38" s="6">
        <f t="shared" si="12"/>
        <v>-3.450612491254645</v>
      </c>
      <c r="U38" s="6">
        <f t="shared" si="13"/>
        <v>-1.2065638231047431</v>
      </c>
      <c r="V38" s="6">
        <f t="shared" si="14"/>
        <v>-0.4363394567172762</v>
      </c>
      <c r="W38" s="6">
        <f t="shared" si="15"/>
        <v>0.43591021984255107</v>
      </c>
      <c r="X38" s="6">
        <f t="shared" si="16"/>
        <v>-0.36840949954862978</v>
      </c>
    </row>
    <row r="39" spans="1:24" x14ac:dyDescent="0.35">
      <c r="A39" s="2" t="s">
        <v>36</v>
      </c>
      <c r="B39" s="2" t="s">
        <v>51</v>
      </c>
      <c r="C39" s="2">
        <v>9.65</v>
      </c>
      <c r="D39" s="2">
        <v>9.7100000000000009</v>
      </c>
      <c r="E39" s="2">
        <v>8016</v>
      </c>
      <c r="F39" s="2">
        <v>69.41</v>
      </c>
      <c r="G39" s="2">
        <v>69.510000000000005</v>
      </c>
      <c r="H39" s="2">
        <v>91.65</v>
      </c>
      <c r="I39" s="2">
        <v>91.95</v>
      </c>
      <c r="J39" s="2">
        <v>1.94</v>
      </c>
      <c r="K39" s="2">
        <v>84.17</v>
      </c>
      <c r="L39" s="2">
        <v>4219138</v>
      </c>
      <c r="M39" s="2">
        <v>0</v>
      </c>
      <c r="O39" s="6">
        <f t="shared" si="8"/>
        <v>-0.35203267323605703</v>
      </c>
      <c r="P39" s="6">
        <f t="shared" si="8"/>
        <v>0.78157532435465038</v>
      </c>
      <c r="Q39" s="6">
        <f t="shared" si="9"/>
        <v>-0.85053900891747003</v>
      </c>
      <c r="R39" s="6">
        <f t="shared" si="10"/>
        <v>-7.9616934003014755E-2</v>
      </c>
      <c r="S39" s="6">
        <f t="shared" si="11"/>
        <v>-4.2626218838510872E-2</v>
      </c>
      <c r="T39" s="6">
        <f t="shared" si="12"/>
        <v>0.77820619940454028</v>
      </c>
      <c r="U39" s="6">
        <f t="shared" si="13"/>
        <v>0.43435047445372454</v>
      </c>
      <c r="V39" s="6">
        <f t="shared" si="14"/>
        <v>-1.1841368419362523</v>
      </c>
      <c r="W39" s="6">
        <f t="shared" si="15"/>
        <v>2.3012723993469275</v>
      </c>
      <c r="X39" s="6">
        <f t="shared" si="16"/>
        <v>-0.37078083337365808</v>
      </c>
    </row>
    <row r="40" spans="1:24" x14ac:dyDescent="0.35">
      <c r="A40" s="2" t="s">
        <v>36</v>
      </c>
      <c r="B40" s="2" t="s">
        <v>52</v>
      </c>
      <c r="C40" s="2">
        <v>9.35</v>
      </c>
      <c r="D40" s="2">
        <v>9.14</v>
      </c>
      <c r="E40" s="2">
        <v>8254</v>
      </c>
      <c r="F40" s="2">
        <v>67.94</v>
      </c>
      <c r="G40" s="2">
        <v>65.959999999999994</v>
      </c>
      <c r="H40" s="2">
        <v>90.14</v>
      </c>
      <c r="I40" s="2">
        <v>70.69</v>
      </c>
      <c r="J40" s="2">
        <v>1.36</v>
      </c>
      <c r="K40" s="2">
        <v>87.7</v>
      </c>
      <c r="L40" s="2">
        <v>872403</v>
      </c>
      <c r="M40" s="2">
        <v>0</v>
      </c>
      <c r="O40" s="6">
        <f t="shared" si="8"/>
        <v>-0.39229332606777106</v>
      </c>
      <c r="P40" s="6">
        <f t="shared" si="8"/>
        <v>0.43172209064227285</v>
      </c>
      <c r="Q40" s="6">
        <f t="shared" si="9"/>
        <v>-0.76286171261271329</v>
      </c>
      <c r="R40" s="6">
        <f t="shared" si="10"/>
        <v>-0.30609446955757175</v>
      </c>
      <c r="S40" s="6">
        <f t="shared" si="11"/>
        <v>-1.0733717994725225</v>
      </c>
      <c r="T40" s="6">
        <f t="shared" si="12"/>
        <v>0.69687240469182354</v>
      </c>
      <c r="U40" s="6">
        <f t="shared" si="13"/>
        <v>-0.92096568584514948</v>
      </c>
      <c r="V40" s="6">
        <f t="shared" si="14"/>
        <v>-1.4043005391073213</v>
      </c>
      <c r="W40" s="6">
        <f t="shared" si="15"/>
        <v>2.8536825078746499</v>
      </c>
      <c r="X40" s="6">
        <f t="shared" si="16"/>
        <v>-0.44071092209586799</v>
      </c>
    </row>
    <row r="41" spans="1:24" x14ac:dyDescent="0.35">
      <c r="A41" s="2" t="s">
        <v>36</v>
      </c>
      <c r="B41" s="2" t="s">
        <v>53</v>
      </c>
      <c r="C41" s="2">
        <v>12.68</v>
      </c>
      <c r="D41" s="2">
        <v>9.44</v>
      </c>
      <c r="E41" s="2">
        <v>8504</v>
      </c>
      <c r="F41" s="2">
        <v>70.83</v>
      </c>
      <c r="G41" s="2">
        <v>71.41</v>
      </c>
      <c r="H41" s="2">
        <v>91.09</v>
      </c>
      <c r="I41" s="2">
        <v>65.64</v>
      </c>
      <c r="J41" s="2">
        <v>0.7</v>
      </c>
      <c r="K41" s="2">
        <v>84.38</v>
      </c>
      <c r="L41" s="2">
        <v>3162101</v>
      </c>
      <c r="M41" s="2">
        <v>0</v>
      </c>
      <c r="O41" s="6">
        <f t="shared" si="8"/>
        <v>5.4599920364253991E-2</v>
      </c>
      <c r="P41" s="6">
        <f t="shared" si="8"/>
        <v>0.61585537154352343</v>
      </c>
      <c r="Q41" s="6">
        <f t="shared" si="9"/>
        <v>-0.6707637122925908</v>
      </c>
      <c r="R41" s="6">
        <f t="shared" si="10"/>
        <v>0.13915728401567337</v>
      </c>
      <c r="S41" s="6">
        <f t="shared" si="11"/>
        <v>0.50904042995151932</v>
      </c>
      <c r="T41" s="6">
        <f t="shared" si="12"/>
        <v>0.74804267288856585</v>
      </c>
      <c r="U41" s="6">
        <f t="shared" si="13"/>
        <v>-1.2429010861042891</v>
      </c>
      <c r="V41" s="6">
        <f t="shared" si="14"/>
        <v>-1.6548316427847449</v>
      </c>
      <c r="W41" s="6">
        <f t="shared" si="15"/>
        <v>2.3341353236502758</v>
      </c>
      <c r="X41" s="6">
        <f t="shared" si="16"/>
        <v>-0.39286764072250963</v>
      </c>
    </row>
    <row r="42" spans="1:24" x14ac:dyDescent="0.35">
      <c r="A42" s="2" t="s">
        <v>36</v>
      </c>
      <c r="B42" s="2" t="s">
        <v>54</v>
      </c>
      <c r="C42" s="2">
        <v>8.3000000000000007</v>
      </c>
      <c r="D42" s="2">
        <v>8.69</v>
      </c>
      <c r="E42" s="2">
        <v>11017</v>
      </c>
      <c r="F42" s="2">
        <v>70.56</v>
      </c>
      <c r="G42" s="2">
        <v>68.819999999999993</v>
      </c>
      <c r="H42" s="2">
        <v>93.19</v>
      </c>
      <c r="I42" s="2">
        <v>98.14</v>
      </c>
      <c r="J42" s="2">
        <v>3.93</v>
      </c>
      <c r="K42" s="2">
        <v>66.75</v>
      </c>
      <c r="L42" s="2">
        <v>19863243</v>
      </c>
      <c r="M42" s="2">
        <v>0</v>
      </c>
      <c r="O42" s="6">
        <f t="shared" si="8"/>
        <v>-0.53320561097876984</v>
      </c>
      <c r="P42" s="6">
        <f t="shared" si="8"/>
        <v>0.15552216929039525</v>
      </c>
      <c r="Q42" s="6">
        <f t="shared" si="9"/>
        <v>0.25500538692528119</v>
      </c>
      <c r="R42" s="6">
        <f t="shared" si="10"/>
        <v>9.7559369321979811E-2</v>
      </c>
      <c r="S42" s="6">
        <f t="shared" si="11"/>
        <v>-0.24296831760963145</v>
      </c>
      <c r="T42" s="6">
        <f t="shared" si="12"/>
        <v>0.8611558973234692</v>
      </c>
      <c r="U42" s="6">
        <f t="shared" si="13"/>
        <v>0.82896040071195709</v>
      </c>
      <c r="V42" s="6">
        <f t="shared" si="14"/>
        <v>-0.4287476050906876</v>
      </c>
      <c r="W42" s="6">
        <f t="shared" si="15"/>
        <v>-0.42478541667372988</v>
      </c>
      <c r="X42" s="6">
        <f t="shared" si="16"/>
        <v>-4.3896974738430898E-2</v>
      </c>
    </row>
    <row r="43" spans="1:24" x14ac:dyDescent="0.35">
      <c r="A43" s="2" t="s">
        <v>36</v>
      </c>
      <c r="B43" s="2" t="s">
        <v>55</v>
      </c>
      <c r="C43" s="2">
        <v>12.38</v>
      </c>
      <c r="D43" s="2">
        <v>8.07</v>
      </c>
      <c r="E43" s="2">
        <v>10539</v>
      </c>
      <c r="F43" s="2">
        <v>68.58</v>
      </c>
      <c r="G43" s="2">
        <v>67.13</v>
      </c>
      <c r="H43" s="2">
        <v>88.04</v>
      </c>
      <c r="I43" s="2">
        <v>97.83</v>
      </c>
      <c r="J43" s="2">
        <v>6.62</v>
      </c>
      <c r="K43" s="2">
        <v>70</v>
      </c>
      <c r="L43" s="2">
        <v>24486056</v>
      </c>
      <c r="M43" s="2">
        <v>0</v>
      </c>
      <c r="O43" s="6">
        <f t="shared" si="8"/>
        <v>1.4339267532540168E-2</v>
      </c>
      <c r="P43" s="6">
        <f t="shared" si="8"/>
        <v>-0.22501994457219024</v>
      </c>
      <c r="Q43" s="6">
        <f t="shared" si="9"/>
        <v>7.8914010313206856E-2</v>
      </c>
      <c r="R43" s="6">
        <f t="shared" si="10"/>
        <v>-0.20749200509844473</v>
      </c>
      <c r="S43" s="6">
        <f t="shared" si="11"/>
        <v>-0.73366128416497556</v>
      </c>
      <c r="T43" s="6">
        <f t="shared" si="12"/>
        <v>0.58375918025692008</v>
      </c>
      <c r="U43" s="6">
        <f t="shared" si="13"/>
        <v>0.80919802960694043</v>
      </c>
      <c r="V43" s="6">
        <f t="shared" si="14"/>
        <v>0.59235643868547772</v>
      </c>
      <c r="W43" s="6">
        <f t="shared" si="15"/>
        <v>8.3807459449527055E-2</v>
      </c>
      <c r="X43" s="6">
        <f t="shared" si="16"/>
        <v>5.2696787013301813E-2</v>
      </c>
    </row>
    <row r="44" spans="1:24" x14ac:dyDescent="0.35">
      <c r="A44" s="2" t="s">
        <v>36</v>
      </c>
      <c r="B44" s="2" t="s">
        <v>56</v>
      </c>
      <c r="C44" s="2">
        <v>9.92</v>
      </c>
      <c r="D44" s="2">
        <v>9.3800000000000008</v>
      </c>
      <c r="E44" s="2">
        <v>10055</v>
      </c>
      <c r="F44" s="2">
        <v>70.11</v>
      </c>
      <c r="G44" s="2">
        <v>67.22</v>
      </c>
      <c r="H44" s="2">
        <v>67.17</v>
      </c>
      <c r="I44" s="2">
        <v>77.58</v>
      </c>
      <c r="J44" s="2">
        <v>3.19</v>
      </c>
      <c r="K44" s="2">
        <v>76.819999999999993</v>
      </c>
      <c r="L44" s="2">
        <v>8593639</v>
      </c>
      <c r="M44" s="2">
        <v>0</v>
      </c>
      <c r="O44" s="6">
        <f t="shared" si="8"/>
        <v>-0.3157980856875145</v>
      </c>
      <c r="P44" s="6">
        <f t="shared" si="8"/>
        <v>0.57902871536327394</v>
      </c>
      <c r="Q44" s="6">
        <f t="shared" si="9"/>
        <v>-9.938771830655041E-2</v>
      </c>
      <c r="R44" s="6">
        <f t="shared" si="10"/>
        <v>2.8229511499155757E-2</v>
      </c>
      <c r="S44" s="6">
        <f t="shared" si="11"/>
        <v>-0.70752970606439414</v>
      </c>
      <c r="T44" s="6">
        <f t="shared" si="12"/>
        <v>-0.54037081686519439</v>
      </c>
      <c r="U44" s="6">
        <f t="shared" si="13"/>
        <v>-0.48173105064010524</v>
      </c>
      <c r="V44" s="6">
        <f t="shared" si="14"/>
        <v>-0.70964611527446553</v>
      </c>
      <c r="W44" s="6">
        <f t="shared" si="15"/>
        <v>1.1510700487297145</v>
      </c>
      <c r="X44" s="6">
        <f t="shared" si="16"/>
        <v>-0.27937555538021203</v>
      </c>
    </row>
    <row r="45" spans="1:24" x14ac:dyDescent="0.35">
      <c r="A45" s="2" t="s">
        <v>36</v>
      </c>
      <c r="B45" s="2" t="s">
        <v>57</v>
      </c>
      <c r="C45" s="2">
        <v>8.69</v>
      </c>
      <c r="D45" s="2">
        <v>9.02</v>
      </c>
      <c r="E45" s="2">
        <v>8921</v>
      </c>
      <c r="F45" s="2">
        <v>68.64</v>
      </c>
      <c r="G45" s="2">
        <v>67.13</v>
      </c>
      <c r="H45" s="2">
        <v>59.62</v>
      </c>
      <c r="I45" s="2">
        <v>77.84</v>
      </c>
      <c r="J45" s="2">
        <v>4.07</v>
      </c>
      <c r="K45" s="2">
        <v>75.23</v>
      </c>
      <c r="L45" s="2">
        <v>8362135</v>
      </c>
      <c r="M45" s="2">
        <v>0</v>
      </c>
      <c r="O45" s="6">
        <f t="shared" si="8"/>
        <v>-0.48086676229754183</v>
      </c>
      <c r="P45" s="6">
        <f t="shared" si="8"/>
        <v>0.35806877828177169</v>
      </c>
      <c r="Q45" s="6">
        <f t="shared" si="9"/>
        <v>-0.51714424775862633</v>
      </c>
      <c r="R45" s="6">
        <f t="shared" si="10"/>
        <v>-0.19824802405540123</v>
      </c>
      <c r="S45" s="6">
        <f t="shared" si="11"/>
        <v>-0.73366128416497556</v>
      </c>
      <c r="T45" s="6">
        <f t="shared" si="12"/>
        <v>-0.94703979042877695</v>
      </c>
      <c r="U45" s="6">
        <f t="shared" si="13"/>
        <v>-0.46515615874557492</v>
      </c>
      <c r="V45" s="6">
        <f t="shared" si="14"/>
        <v>-0.37560464370456742</v>
      </c>
      <c r="W45" s="6">
        <f t="shared" si="15"/>
        <v>0.90225076471864574</v>
      </c>
      <c r="X45" s="6">
        <f t="shared" si="16"/>
        <v>-0.28421283567266015</v>
      </c>
    </row>
    <row r="46" spans="1:24" x14ac:dyDescent="0.35">
      <c r="A46" s="2" t="s">
        <v>36</v>
      </c>
      <c r="B46" s="2" t="s">
        <v>58</v>
      </c>
      <c r="C46" s="2">
        <v>8.5299999999999994</v>
      </c>
      <c r="D46" s="2">
        <v>8.9</v>
      </c>
      <c r="E46" s="2">
        <v>11562</v>
      </c>
      <c r="F46" s="2">
        <v>71.69</v>
      </c>
      <c r="G46" s="2">
        <v>68.81</v>
      </c>
      <c r="H46" s="2">
        <v>84.85</v>
      </c>
      <c r="I46" s="2">
        <v>84.66</v>
      </c>
      <c r="J46" s="2">
        <v>4.71</v>
      </c>
      <c r="K46" s="2">
        <v>66.38</v>
      </c>
      <c r="L46" s="2">
        <v>19620408</v>
      </c>
      <c r="M46" s="2">
        <v>0</v>
      </c>
      <c r="O46" s="6">
        <f t="shared" si="8"/>
        <v>-0.50233911047445601</v>
      </c>
      <c r="P46" s="6">
        <f t="shared" si="8"/>
        <v>0.28441546592127165</v>
      </c>
      <c r="Q46" s="6">
        <f t="shared" si="9"/>
        <v>0.45577902762314837</v>
      </c>
      <c r="R46" s="6">
        <f t="shared" si="10"/>
        <v>0.27165434563262508</v>
      </c>
      <c r="S46" s="6">
        <f t="shared" si="11"/>
        <v>-0.24587182628747109</v>
      </c>
      <c r="T46" s="6">
        <f t="shared" si="12"/>
        <v>0.41193480599628007</v>
      </c>
      <c r="U46" s="6">
        <f t="shared" si="13"/>
        <v>-3.0383994435212329E-2</v>
      </c>
      <c r="V46" s="6">
        <f t="shared" si="14"/>
        <v>-0.1326653916537327</v>
      </c>
      <c r="W46" s="6">
        <f t="shared" si="15"/>
        <v>-0.48268675949391676</v>
      </c>
      <c r="X46" s="6">
        <f t="shared" si="16"/>
        <v>-4.8971016482057997E-2</v>
      </c>
    </row>
    <row r="47" spans="1:24" x14ac:dyDescent="0.35">
      <c r="A47" s="2" t="s">
        <v>36</v>
      </c>
      <c r="B47" s="2" t="s">
        <v>59</v>
      </c>
      <c r="C47" s="2">
        <v>10.02</v>
      </c>
      <c r="D47" s="2">
        <v>8.41</v>
      </c>
      <c r="E47" s="2">
        <v>11840</v>
      </c>
      <c r="F47" s="2">
        <v>71.87</v>
      </c>
      <c r="G47" s="2">
        <v>69.56</v>
      </c>
      <c r="H47" s="2">
        <v>79.75</v>
      </c>
      <c r="I47" s="2">
        <v>86.75</v>
      </c>
      <c r="J47" s="2">
        <v>5.74</v>
      </c>
      <c r="K47" s="2">
        <v>65.73</v>
      </c>
      <c r="L47" s="2">
        <v>17969257</v>
      </c>
      <c r="M47" s="2">
        <v>0</v>
      </c>
      <c r="O47" s="6">
        <f t="shared" si="8"/>
        <v>-0.30237786807694322</v>
      </c>
      <c r="P47" s="6">
        <f t="shared" si="8"/>
        <v>-1.6335559550772212E-2</v>
      </c>
      <c r="Q47" s="6">
        <f t="shared" si="9"/>
        <v>0.55819200397912461</v>
      </c>
      <c r="R47" s="6">
        <f t="shared" si="10"/>
        <v>0.2993862887617556</v>
      </c>
      <c r="S47" s="6">
        <f t="shared" si="11"/>
        <v>-2.8108675449300315E-2</v>
      </c>
      <c r="T47" s="6">
        <f t="shared" si="12"/>
        <v>0.1372312609400857</v>
      </c>
      <c r="U47" s="6">
        <f t="shared" si="13"/>
        <v>0.10285263656312495</v>
      </c>
      <c r="V47" s="6">
        <f t="shared" si="14"/>
        <v>0.25831496711557977</v>
      </c>
      <c r="W47" s="6">
        <f t="shared" si="15"/>
        <v>-0.58440533471856682</v>
      </c>
      <c r="X47" s="6">
        <f t="shared" si="16"/>
        <v>-8.3471846671411373E-2</v>
      </c>
    </row>
    <row r="48" spans="1:24" x14ac:dyDescent="0.35">
      <c r="A48" s="2" t="s">
        <v>36</v>
      </c>
      <c r="B48" s="2" t="s">
        <v>60</v>
      </c>
      <c r="C48" s="2">
        <v>25.66</v>
      </c>
      <c r="D48" s="2">
        <v>6.77</v>
      </c>
      <c r="E48" s="2">
        <v>6155</v>
      </c>
      <c r="F48" s="2">
        <v>62.82</v>
      </c>
      <c r="G48" s="2">
        <v>69.55</v>
      </c>
      <c r="H48" s="2">
        <v>46.09</v>
      </c>
      <c r="I48" s="2">
        <v>58.17</v>
      </c>
      <c r="J48" s="2">
        <v>3</v>
      </c>
      <c r="K48" s="2">
        <v>74.27</v>
      </c>
      <c r="L48" s="2">
        <v>2417196</v>
      </c>
      <c r="M48" s="2">
        <v>1</v>
      </c>
      <c r="O48" s="6">
        <f t="shared" si="8"/>
        <v>1.7965441662164117</v>
      </c>
      <c r="P48" s="6">
        <f t="shared" si="8"/>
        <v>-1.0229308284776129</v>
      </c>
      <c r="Q48" s="6">
        <f t="shared" si="9"/>
        <v>-1.5361165233004623</v>
      </c>
      <c r="R48" s="6">
        <f t="shared" si="10"/>
        <v>-1.0949141852305868</v>
      </c>
      <c r="S48" s="6">
        <f t="shared" si="11"/>
        <v>-3.1012184127144078E-2</v>
      </c>
      <c r="T48" s="6">
        <f t="shared" si="12"/>
        <v>-1.675812136430799</v>
      </c>
      <c r="U48" s="6">
        <f t="shared" si="13"/>
        <v>-1.7191104801509769</v>
      </c>
      <c r="V48" s="6">
        <f t="shared" si="14"/>
        <v>-0.78176870572705714</v>
      </c>
      <c r="W48" s="6">
        <f t="shared" si="15"/>
        <v>0.75202025361762093</v>
      </c>
      <c r="X48" s="6">
        <f t="shared" si="16"/>
        <v>-0.40843244425180542</v>
      </c>
    </row>
    <row r="49" spans="1:24" x14ac:dyDescent="0.35">
      <c r="A49" s="2" t="s">
        <v>36</v>
      </c>
      <c r="B49" s="2" t="s">
        <v>61</v>
      </c>
      <c r="C49" s="2">
        <v>26.42</v>
      </c>
      <c r="D49" s="2">
        <v>6.69</v>
      </c>
      <c r="E49" s="2">
        <v>5924</v>
      </c>
      <c r="F49" s="2">
        <v>61.99</v>
      </c>
      <c r="G49" s="2">
        <v>69.08</v>
      </c>
      <c r="H49" s="2">
        <v>38.020000000000003</v>
      </c>
      <c r="I49" s="2">
        <v>71.52</v>
      </c>
      <c r="J49" s="2">
        <v>0.74</v>
      </c>
      <c r="K49" s="2">
        <v>82.08</v>
      </c>
      <c r="L49" s="2">
        <v>1285664</v>
      </c>
      <c r="M49" s="2">
        <v>1</v>
      </c>
      <c r="O49" s="6">
        <f t="shared" si="8"/>
        <v>1.898537820056754</v>
      </c>
      <c r="P49" s="6">
        <f t="shared" si="8"/>
        <v>-1.072033036717946</v>
      </c>
      <c r="Q49" s="6">
        <f t="shared" si="9"/>
        <v>-1.6212150755962556</v>
      </c>
      <c r="R49" s="6">
        <f t="shared" si="10"/>
        <v>-1.2227892563260168</v>
      </c>
      <c r="S49" s="6">
        <f t="shared" si="11"/>
        <v>-0.16747709198573077</v>
      </c>
      <c r="T49" s="6">
        <f t="shared" si="12"/>
        <v>-2.1104900989020718</v>
      </c>
      <c r="U49" s="6">
        <f t="shared" si="13"/>
        <v>-0.86805353095107307</v>
      </c>
      <c r="V49" s="6">
        <f t="shared" si="14"/>
        <v>-1.6396479395315677</v>
      </c>
      <c r="W49" s="6">
        <f t="shared" si="15"/>
        <v>1.9742080574707404</v>
      </c>
      <c r="X49" s="6">
        <f t="shared" si="16"/>
        <v>-0.43207582598116834</v>
      </c>
    </row>
    <row r="50" spans="1:24" x14ac:dyDescent="0.35">
      <c r="A50" s="2" t="s">
        <v>36</v>
      </c>
      <c r="B50" s="2" t="s">
        <v>62</v>
      </c>
      <c r="C50" s="2">
        <v>12.33</v>
      </c>
      <c r="D50" s="2">
        <v>10.41</v>
      </c>
      <c r="E50" s="2">
        <v>11540</v>
      </c>
      <c r="F50" s="2">
        <v>73.94</v>
      </c>
      <c r="G50" s="2">
        <v>69.25</v>
      </c>
      <c r="H50" s="2">
        <v>32.33</v>
      </c>
      <c r="I50" s="2">
        <v>92.4</v>
      </c>
      <c r="J50" s="2">
        <v>8.7200000000000006</v>
      </c>
      <c r="K50" s="2">
        <v>71.19</v>
      </c>
      <c r="L50" s="2">
        <v>3595704</v>
      </c>
      <c r="M50" s="2">
        <v>0</v>
      </c>
      <c r="O50" s="6">
        <f t="shared" si="8"/>
        <v>7.6291587272544108E-3</v>
      </c>
      <c r="P50" s="6">
        <f t="shared" si="8"/>
        <v>1.2112196464575697</v>
      </c>
      <c r="Q50" s="6">
        <f t="shared" si="9"/>
        <v>0.44767440359497757</v>
      </c>
      <c r="R50" s="6">
        <f t="shared" si="10"/>
        <v>0.61830363474674321</v>
      </c>
      <c r="S50" s="6">
        <f t="shared" si="11"/>
        <v>-0.11811744446241156</v>
      </c>
      <c r="T50" s="6">
        <f t="shared" si="12"/>
        <v>-2.4169730736804538</v>
      </c>
      <c r="U50" s="6">
        <f t="shared" si="13"/>
        <v>0.46303778734810347</v>
      </c>
      <c r="V50" s="6">
        <f t="shared" si="14"/>
        <v>1.3895008594772797</v>
      </c>
      <c r="W50" s="6">
        <f t="shared" si="15"/>
        <v>0.27003069716850386</v>
      </c>
      <c r="X50" s="6">
        <f t="shared" si="16"/>
        <v>-0.38380749814766685</v>
      </c>
    </row>
    <row r="51" spans="1:24" x14ac:dyDescent="0.35">
      <c r="A51" s="2" t="s">
        <v>36</v>
      </c>
      <c r="B51" s="2" t="s">
        <v>63</v>
      </c>
      <c r="C51" s="2">
        <v>13.4</v>
      </c>
      <c r="D51" s="2">
        <v>9.4499999999999993</v>
      </c>
      <c r="E51" s="2">
        <v>11225</v>
      </c>
      <c r="F51" s="2">
        <v>68.94</v>
      </c>
      <c r="G51" s="2">
        <v>63.44</v>
      </c>
      <c r="H51" s="2">
        <v>89.07</v>
      </c>
      <c r="I51" s="2">
        <v>87.2</v>
      </c>
      <c r="J51" s="2">
        <v>6.59</v>
      </c>
      <c r="K51" s="2">
        <v>66.569999999999993</v>
      </c>
      <c r="L51" s="2">
        <v>5898808</v>
      </c>
      <c r="M51" s="2">
        <v>0</v>
      </c>
      <c r="O51" s="6">
        <f t="shared" si="8"/>
        <v>0.1512254871603676</v>
      </c>
      <c r="P51" s="6">
        <f t="shared" si="8"/>
        <v>0.62199314757356505</v>
      </c>
      <c r="Q51" s="6">
        <f t="shared" si="9"/>
        <v>0.33163092319162318</v>
      </c>
      <c r="R51" s="6">
        <f t="shared" si="10"/>
        <v>-0.15202811884018591</v>
      </c>
      <c r="S51" s="6">
        <f t="shared" si="11"/>
        <v>-1.8050559862887752</v>
      </c>
      <c r="T51" s="6">
        <f t="shared" si="12"/>
        <v>0.63923852367022937</v>
      </c>
      <c r="U51" s="6">
        <f t="shared" si="13"/>
        <v>0.13153994945750391</v>
      </c>
      <c r="V51" s="6">
        <f t="shared" si="14"/>
        <v>0.58096866124559465</v>
      </c>
      <c r="W51" s="6">
        <f t="shared" si="15"/>
        <v>-0.45295363750517287</v>
      </c>
      <c r="X51" s="6">
        <f t="shared" si="16"/>
        <v>-0.33568409816037281</v>
      </c>
    </row>
    <row r="52" spans="1:24" x14ac:dyDescent="0.35">
      <c r="A52" s="2" t="s">
        <v>36</v>
      </c>
      <c r="B52" s="2" t="s">
        <v>64</v>
      </c>
      <c r="C52" s="2">
        <v>8.52</v>
      </c>
      <c r="D52" s="2">
        <v>11.29</v>
      </c>
      <c r="E52" s="2">
        <v>12436</v>
      </c>
      <c r="F52" s="2">
        <v>79.17</v>
      </c>
      <c r="G52" s="2">
        <v>73.77</v>
      </c>
      <c r="H52" s="2">
        <v>88.49</v>
      </c>
      <c r="I52" s="2">
        <v>99.78</v>
      </c>
      <c r="J52" s="2">
        <v>11</v>
      </c>
      <c r="K52" s="2">
        <v>68.8</v>
      </c>
      <c r="L52" s="2">
        <v>9547698</v>
      </c>
      <c r="M52" s="2">
        <v>0</v>
      </c>
      <c r="O52" s="6">
        <f t="shared" si="8"/>
        <v>-0.50368113223551303</v>
      </c>
      <c r="P52" s="6">
        <f t="shared" si="8"/>
        <v>1.7513439371012394</v>
      </c>
      <c r="Q52" s="6">
        <f t="shared" si="9"/>
        <v>0.77775363674229681</v>
      </c>
      <c r="R52" s="6">
        <f t="shared" si="10"/>
        <v>1.4240706489986716</v>
      </c>
      <c r="S52" s="6">
        <f t="shared" si="11"/>
        <v>1.1942684779222965</v>
      </c>
      <c r="T52" s="6">
        <f t="shared" si="12"/>
        <v>0.60799772835011312</v>
      </c>
      <c r="U52" s="6">
        <f t="shared" si="13"/>
        <v>0.93350971881591538</v>
      </c>
      <c r="V52" s="6">
        <f t="shared" si="14"/>
        <v>2.2549719449083789</v>
      </c>
      <c r="W52" s="6">
        <f t="shared" si="15"/>
        <v>-0.10398067942675288</v>
      </c>
      <c r="X52" s="6">
        <f t="shared" si="16"/>
        <v>-0.25944047521514879</v>
      </c>
    </row>
    <row r="53" spans="1:24" x14ac:dyDescent="0.35">
      <c r="A53" s="2" t="s">
        <v>36</v>
      </c>
      <c r="B53" s="2" t="s">
        <v>65</v>
      </c>
      <c r="C53" s="2">
        <v>10.3</v>
      </c>
      <c r="D53" s="2">
        <v>10.44</v>
      </c>
      <c r="E53" s="2">
        <v>12939</v>
      </c>
      <c r="F53" s="2">
        <v>75.42</v>
      </c>
      <c r="G53" s="2">
        <v>70.95</v>
      </c>
      <c r="H53" s="2">
        <v>95.88</v>
      </c>
      <c r="I53" s="2">
        <v>99.35</v>
      </c>
      <c r="J53" s="2">
        <v>8.3699999999999992</v>
      </c>
      <c r="K53" s="2">
        <v>67.19</v>
      </c>
      <c r="L53" s="2">
        <v>4024777</v>
      </c>
      <c r="M53" s="2">
        <v>0</v>
      </c>
      <c r="O53" s="6">
        <f t="shared" si="8"/>
        <v>-0.26480125876734334</v>
      </c>
      <c r="P53" s="6">
        <f t="shared" si="8"/>
        <v>1.2296329745476944</v>
      </c>
      <c r="Q53" s="6">
        <f t="shared" si="9"/>
        <v>0.96305481338638343</v>
      </c>
      <c r="R53" s="6">
        <f t="shared" si="10"/>
        <v>0.84632183380847481</v>
      </c>
      <c r="S53" s="6">
        <f t="shared" si="11"/>
        <v>0.37547903077077632</v>
      </c>
      <c r="T53" s="6">
        <f t="shared" si="12"/>
        <v>1.0060485514805599</v>
      </c>
      <c r="U53" s="6">
        <f t="shared" si="13"/>
        <v>0.90609739760573083</v>
      </c>
      <c r="V53" s="6">
        <f t="shared" si="14"/>
        <v>1.256643456011979</v>
      </c>
      <c r="W53" s="6">
        <f t="shared" si="15"/>
        <v>-0.35592976575242774</v>
      </c>
      <c r="X53" s="6">
        <f t="shared" si="16"/>
        <v>-0.37484201000525202</v>
      </c>
    </row>
    <row r="54" spans="1:24" x14ac:dyDescent="0.35">
      <c r="A54" s="2" t="s">
        <v>36</v>
      </c>
      <c r="B54" s="2" t="s">
        <v>66</v>
      </c>
      <c r="C54" s="2">
        <v>8.34</v>
      </c>
      <c r="D54" s="2">
        <v>11.48</v>
      </c>
      <c r="E54" s="2">
        <v>14999</v>
      </c>
      <c r="F54" s="2">
        <v>81.209999999999994</v>
      </c>
      <c r="G54" s="2">
        <v>73.23</v>
      </c>
      <c r="H54" s="2">
        <v>92.71</v>
      </c>
      <c r="I54" s="2">
        <v>98.8</v>
      </c>
      <c r="J54" s="2">
        <v>10.81</v>
      </c>
      <c r="K54" s="2">
        <v>62.16</v>
      </c>
      <c r="L54" s="2">
        <v>157689187</v>
      </c>
      <c r="M54" s="2">
        <v>0</v>
      </c>
      <c r="O54" s="6">
        <f t="shared" si="8"/>
        <v>-0.52783752393454142</v>
      </c>
      <c r="P54" s="6">
        <f t="shared" si="8"/>
        <v>1.8679616816720328</v>
      </c>
      <c r="Q54" s="6">
        <f t="shared" si="9"/>
        <v>1.7219423360241932</v>
      </c>
      <c r="R54" s="6">
        <f t="shared" si="10"/>
        <v>1.7383660044621374</v>
      </c>
      <c r="S54" s="6">
        <f t="shared" si="11"/>
        <v>1.0374790093188158</v>
      </c>
      <c r="T54" s="6">
        <f t="shared" si="12"/>
        <v>0.83530144602406242</v>
      </c>
      <c r="U54" s="6">
        <f t="shared" si="13"/>
        <v>0.87103512629037916</v>
      </c>
      <c r="V54" s="6">
        <f t="shared" si="14"/>
        <v>2.1828493544557874</v>
      </c>
      <c r="W54" s="6">
        <f t="shared" si="15"/>
        <v>-1.1430750478754994</v>
      </c>
      <c r="X54" s="6">
        <f t="shared" si="16"/>
        <v>2.8359786330232621</v>
      </c>
    </row>
    <row r="55" spans="1:24" x14ac:dyDescent="0.35">
      <c r="A55" s="2" t="s">
        <v>36</v>
      </c>
      <c r="B55" s="2" t="s">
        <v>67</v>
      </c>
      <c r="C55" s="2">
        <v>5.81</v>
      </c>
      <c r="D55" s="2">
        <v>10.94</v>
      </c>
      <c r="E55" s="2">
        <v>11063</v>
      </c>
      <c r="F55" s="2">
        <v>76.010000000000005</v>
      </c>
      <c r="G55" s="2">
        <v>72.45</v>
      </c>
      <c r="H55" s="2">
        <v>95.21</v>
      </c>
      <c r="I55" s="2">
        <v>99.76</v>
      </c>
      <c r="J55" s="2">
        <v>7.86</v>
      </c>
      <c r="K55" s="2">
        <v>62.77</v>
      </c>
      <c r="L55" s="2">
        <v>8162776</v>
      </c>
      <c r="M55" s="2">
        <v>0</v>
      </c>
      <c r="O55" s="6">
        <f t="shared" si="8"/>
        <v>-0.8673690294819959</v>
      </c>
      <c r="P55" s="6">
        <f t="shared" si="8"/>
        <v>1.5365217760497798</v>
      </c>
      <c r="Q55" s="6">
        <f t="shared" si="9"/>
        <v>0.27195141898418373</v>
      </c>
      <c r="R55" s="6">
        <f t="shared" si="10"/>
        <v>0.93722098073173299</v>
      </c>
      <c r="S55" s="6">
        <f t="shared" si="11"/>
        <v>0.81100533244711792</v>
      </c>
      <c r="T55" s="6">
        <f t="shared" si="12"/>
        <v>0.9699600465418049</v>
      </c>
      <c r="U55" s="6">
        <f t="shared" si="13"/>
        <v>0.93223472713172106</v>
      </c>
      <c r="V55" s="6">
        <f t="shared" si="14"/>
        <v>1.0630512395339704</v>
      </c>
      <c r="W55" s="6">
        <f t="shared" si="15"/>
        <v>-1.0476160772800565</v>
      </c>
      <c r="X55" s="6">
        <f t="shared" si="16"/>
        <v>-0.28837844560519771</v>
      </c>
    </row>
    <row r="56" spans="1:24" x14ac:dyDescent="0.35">
      <c r="A56" s="2" t="s">
        <v>36</v>
      </c>
      <c r="B56" s="2" t="s">
        <v>68</v>
      </c>
      <c r="C56" s="2">
        <v>7.53</v>
      </c>
      <c r="D56" s="2">
        <v>11.09</v>
      </c>
      <c r="E56" s="2">
        <v>10965</v>
      </c>
      <c r="F56" s="2">
        <v>75.48</v>
      </c>
      <c r="G56" s="2">
        <v>69.5</v>
      </c>
      <c r="H56" s="2">
        <v>51.33</v>
      </c>
      <c r="I56" s="2">
        <v>54.13</v>
      </c>
      <c r="J56" s="2">
        <v>7.18</v>
      </c>
      <c r="K56" s="2">
        <v>68.69</v>
      </c>
      <c r="L56" s="2">
        <v>4346777</v>
      </c>
      <c r="M56" s="2">
        <v>0</v>
      </c>
      <c r="O56" s="6">
        <f t="shared" si="8"/>
        <v>-0.63654128658016906</v>
      </c>
      <c r="P56" s="6">
        <f t="shared" si="8"/>
        <v>1.6285884165004056</v>
      </c>
      <c r="Q56" s="6">
        <f t="shared" si="9"/>
        <v>0.2358490028586957</v>
      </c>
      <c r="R56" s="6">
        <f t="shared" si="10"/>
        <v>0.85556581485151828</v>
      </c>
      <c r="S56" s="6">
        <f t="shared" si="11"/>
        <v>-4.5529727516354639E-2</v>
      </c>
      <c r="T56" s="6">
        <f t="shared" si="12"/>
        <v>-1.3935677097456109</v>
      </c>
      <c r="U56" s="6">
        <f t="shared" si="13"/>
        <v>-1.9766588003582888</v>
      </c>
      <c r="V56" s="6">
        <f t="shared" si="14"/>
        <v>0.80492828422995799</v>
      </c>
      <c r="W56" s="6">
        <f t="shared" si="15"/>
        <v>-0.12119459215707841</v>
      </c>
      <c r="X56" s="6">
        <f t="shared" si="16"/>
        <v>-0.36811381414613809</v>
      </c>
    </row>
    <row r="57" spans="1:24" x14ac:dyDescent="0.35">
      <c r="A57" s="2" t="s">
        <v>36</v>
      </c>
      <c r="B57" s="2" t="s">
        <v>69</v>
      </c>
      <c r="C57" s="2">
        <v>16.45</v>
      </c>
      <c r="D57" s="2">
        <v>8.6199999999999992</v>
      </c>
      <c r="E57" s="2">
        <v>8134</v>
      </c>
      <c r="F57" s="2">
        <v>69.61</v>
      </c>
      <c r="G57" s="2">
        <v>71.319999999999993</v>
      </c>
      <c r="H57" s="2">
        <v>45.13</v>
      </c>
      <c r="I57" s="2">
        <v>74.11</v>
      </c>
      <c r="J57" s="2">
        <v>4.8</v>
      </c>
      <c r="K57" s="2">
        <v>62.95</v>
      </c>
      <c r="L57" s="2">
        <v>3519128</v>
      </c>
      <c r="M57" s="2">
        <v>0</v>
      </c>
      <c r="O57" s="6">
        <f t="shared" si="8"/>
        <v>0.56054212428279282</v>
      </c>
      <c r="P57" s="6">
        <f t="shared" si="8"/>
        <v>0.11255773708010311</v>
      </c>
      <c r="Q57" s="6">
        <f t="shared" si="9"/>
        <v>-0.80706875276637213</v>
      </c>
      <c r="R57" s="6">
        <f t="shared" si="10"/>
        <v>-4.8803663859537154E-2</v>
      </c>
      <c r="S57" s="6">
        <f t="shared" si="11"/>
        <v>0.48290885185093779</v>
      </c>
      <c r="T57" s="6">
        <f t="shared" si="12"/>
        <v>-1.7275210390296121</v>
      </c>
      <c r="U57" s="6">
        <f t="shared" si="13"/>
        <v>-0.70294210784787048</v>
      </c>
      <c r="V57" s="6">
        <f t="shared" si="14"/>
        <v>-9.8502059334084097E-2</v>
      </c>
      <c r="W57" s="6">
        <f t="shared" si="15"/>
        <v>-1.0194478564486145</v>
      </c>
      <c r="X57" s="6">
        <f t="shared" si="16"/>
        <v>-0.38540755506104418</v>
      </c>
    </row>
    <row r="58" spans="1:24" x14ac:dyDescent="0.35">
      <c r="A58" s="2" t="s">
        <v>70</v>
      </c>
      <c r="B58" s="2" t="s">
        <v>71</v>
      </c>
      <c r="C58" s="2">
        <v>14.84</v>
      </c>
      <c r="D58" s="2">
        <v>7.2</v>
      </c>
      <c r="E58" s="2">
        <v>6321</v>
      </c>
      <c r="F58" s="2">
        <v>61.35</v>
      </c>
      <c r="G58" s="2">
        <v>64.73</v>
      </c>
      <c r="H58" s="2">
        <v>71.05</v>
      </c>
      <c r="I58" s="2">
        <v>55.46</v>
      </c>
      <c r="J58" s="2">
        <v>2.79</v>
      </c>
      <c r="K58" s="2">
        <v>82.57</v>
      </c>
      <c r="L58" s="2">
        <v>3041549</v>
      </c>
      <c r="M58" s="2">
        <v>0</v>
      </c>
      <c r="O58" s="6">
        <f t="shared" si="8"/>
        <v>0.34447662075259461</v>
      </c>
      <c r="P58" s="6">
        <f t="shared" si="8"/>
        <v>-0.75900645918581899</v>
      </c>
      <c r="Q58" s="6">
        <f t="shared" si="9"/>
        <v>-1.4749634510879008</v>
      </c>
      <c r="R58" s="6">
        <f t="shared" si="10"/>
        <v>-1.3213917207851438</v>
      </c>
      <c r="S58" s="6">
        <f t="shared" si="11"/>
        <v>-1.4305033668471197</v>
      </c>
      <c r="T58" s="6">
        <f t="shared" si="12"/>
        <v>-0.33138066886165829</v>
      </c>
      <c r="U58" s="6">
        <f t="shared" si="13"/>
        <v>-1.891871853359347</v>
      </c>
      <c r="V58" s="6">
        <f t="shared" si="14"/>
        <v>-0.86148314780623725</v>
      </c>
      <c r="W58" s="6">
        <f t="shared" si="15"/>
        <v>2.0508882141785536</v>
      </c>
      <c r="X58" s="6">
        <f t="shared" si="16"/>
        <v>-0.39538657695607449</v>
      </c>
    </row>
    <row r="59" spans="1:24" x14ac:dyDescent="0.35">
      <c r="A59" s="2" t="s">
        <v>70</v>
      </c>
      <c r="B59" s="2" t="s">
        <v>72</v>
      </c>
      <c r="C59" s="2">
        <v>7.92</v>
      </c>
      <c r="D59" s="2">
        <v>8.27</v>
      </c>
      <c r="E59" s="2">
        <v>9270</v>
      </c>
      <c r="F59" s="2">
        <v>70.03</v>
      </c>
      <c r="G59" s="2">
        <v>70.959999999999994</v>
      </c>
      <c r="H59" s="2">
        <v>71.400000000000006</v>
      </c>
      <c r="I59" s="2">
        <v>76.23</v>
      </c>
      <c r="J59" s="2">
        <v>5.97</v>
      </c>
      <c r="K59" s="2">
        <v>66.59</v>
      </c>
      <c r="L59" s="2">
        <v>9790360</v>
      </c>
      <c r="M59" s="2">
        <v>0</v>
      </c>
      <c r="O59" s="6">
        <f t="shared" si="8"/>
        <v>-0.584202437898941</v>
      </c>
      <c r="P59" s="6">
        <f t="shared" si="8"/>
        <v>-0.10226442397135649</v>
      </c>
      <c r="Q59" s="6">
        <f t="shared" si="9"/>
        <v>-0.38857543931173522</v>
      </c>
      <c r="R59" s="6">
        <f t="shared" si="10"/>
        <v>1.5904203441765154E-2</v>
      </c>
      <c r="S59" s="6">
        <f t="shared" si="11"/>
        <v>0.378382539448616</v>
      </c>
      <c r="T59" s="6">
        <f t="shared" si="12"/>
        <v>-0.3125284647891739</v>
      </c>
      <c r="U59" s="6">
        <f t="shared" si="13"/>
        <v>-0.56779298932324129</v>
      </c>
      <c r="V59" s="6">
        <f t="shared" si="14"/>
        <v>0.34562126082134836</v>
      </c>
      <c r="W59" s="6">
        <f t="shared" si="15"/>
        <v>-0.44982383519056662</v>
      </c>
      <c r="X59" s="6">
        <f t="shared" si="16"/>
        <v>-0.25437004830966958</v>
      </c>
    </row>
    <row r="60" spans="1:24" x14ac:dyDescent="0.35">
      <c r="A60" s="2" t="s">
        <v>70</v>
      </c>
      <c r="B60" s="2" t="s">
        <v>73</v>
      </c>
      <c r="C60" s="2">
        <v>8.01</v>
      </c>
      <c r="D60" s="2">
        <v>7.87</v>
      </c>
      <c r="E60" s="2">
        <v>10215</v>
      </c>
      <c r="F60" s="2">
        <v>69.239999999999995</v>
      </c>
      <c r="G60" s="2">
        <v>68.790000000000006</v>
      </c>
      <c r="H60" s="2">
        <v>47.63</v>
      </c>
      <c r="I60" s="2">
        <v>78.09</v>
      </c>
      <c r="J60" s="2">
        <v>4.67</v>
      </c>
      <c r="K60" s="2">
        <v>71.209999999999994</v>
      </c>
      <c r="L60" s="2">
        <v>10119822</v>
      </c>
      <c r="M60" s="2">
        <v>0</v>
      </c>
      <c r="O60" s="6">
        <f t="shared" si="8"/>
        <v>-0.5721242420494268</v>
      </c>
      <c r="P60" s="6">
        <f t="shared" si="8"/>
        <v>-0.34777546517302454</v>
      </c>
      <c r="Q60" s="6">
        <f t="shared" si="9"/>
        <v>-4.0444998101671972E-2</v>
      </c>
      <c r="R60" s="6">
        <f t="shared" si="10"/>
        <v>-0.1058082136249706</v>
      </c>
      <c r="S60" s="6">
        <f t="shared" si="11"/>
        <v>-0.25167884364315446</v>
      </c>
      <c r="T60" s="6">
        <f t="shared" si="12"/>
        <v>-1.5928624385118697</v>
      </c>
      <c r="U60" s="6">
        <f t="shared" si="13"/>
        <v>-0.44921876269314226</v>
      </c>
      <c r="V60" s="6">
        <f t="shared" si="14"/>
        <v>-0.14784909490690989</v>
      </c>
      <c r="W60" s="6">
        <f t="shared" si="15"/>
        <v>0.27316049948310789</v>
      </c>
      <c r="X60" s="6">
        <f t="shared" si="16"/>
        <v>-0.2474859338247771</v>
      </c>
    </row>
    <row r="61" spans="1:24" x14ac:dyDescent="0.35">
      <c r="A61" s="2" t="s">
        <v>70</v>
      </c>
      <c r="B61" s="2" t="s">
        <v>74</v>
      </c>
      <c r="C61" s="2">
        <v>6.8</v>
      </c>
      <c r="D61" s="2">
        <v>8.1199999999999992</v>
      </c>
      <c r="E61" s="2">
        <v>10389</v>
      </c>
      <c r="F61" s="2">
        <v>67.86</v>
      </c>
      <c r="G61" s="2">
        <v>66.36</v>
      </c>
      <c r="H61" s="2">
        <v>72.63</v>
      </c>
      <c r="I61" s="2">
        <v>64.12</v>
      </c>
      <c r="J61" s="2">
        <v>3.57</v>
      </c>
      <c r="K61" s="2">
        <v>70.06</v>
      </c>
      <c r="L61" s="2">
        <v>6893214</v>
      </c>
      <c r="M61" s="2">
        <v>0</v>
      </c>
      <c r="O61" s="6">
        <f t="shared" si="8"/>
        <v>-0.73450887513733976</v>
      </c>
      <c r="P61" s="6">
        <f t="shared" si="8"/>
        <v>-0.19433106442198234</v>
      </c>
      <c r="Q61" s="6">
        <f t="shared" si="9"/>
        <v>2.3655210121133328E-2</v>
      </c>
      <c r="R61" s="6">
        <f t="shared" si="10"/>
        <v>-0.31841977761496232</v>
      </c>
      <c r="S61" s="6">
        <f t="shared" si="11"/>
        <v>-0.95723145235882978</v>
      </c>
      <c r="T61" s="6">
        <f t="shared" si="12"/>
        <v>-0.24627643333444516</v>
      </c>
      <c r="U61" s="6">
        <f t="shared" si="13"/>
        <v>-1.3398004541030795</v>
      </c>
      <c r="V61" s="6">
        <f t="shared" si="14"/>
        <v>-0.5654009343692824</v>
      </c>
      <c r="W61" s="6">
        <f t="shared" si="15"/>
        <v>9.319686639334139E-2</v>
      </c>
      <c r="X61" s="6">
        <f t="shared" si="16"/>
        <v>-0.31490596669615539</v>
      </c>
    </row>
    <row r="62" spans="1:24" x14ac:dyDescent="0.35">
      <c r="A62" s="2" t="s">
        <v>70</v>
      </c>
      <c r="B62" s="2" t="s">
        <v>75</v>
      </c>
      <c r="C62" s="2">
        <v>4.54</v>
      </c>
      <c r="D62" s="2">
        <v>8.6199999999999992</v>
      </c>
      <c r="E62" s="2">
        <v>10616</v>
      </c>
      <c r="F62" s="2">
        <v>72.459999999999994</v>
      </c>
      <c r="G62" s="2">
        <v>70.12</v>
      </c>
      <c r="H62" s="2">
        <v>53.73</v>
      </c>
      <c r="I62" s="2">
        <v>86.5</v>
      </c>
      <c r="J62" s="2">
        <v>4.63</v>
      </c>
      <c r="K62" s="2">
        <v>66.88</v>
      </c>
      <c r="L62" s="2">
        <v>9891020</v>
      </c>
      <c r="M62" s="2">
        <v>0</v>
      </c>
      <c r="O62" s="6">
        <f t="shared" si="8"/>
        <v>-1.0378057931362517</v>
      </c>
      <c r="P62" s="6">
        <f t="shared" si="8"/>
        <v>0.11255773708010311</v>
      </c>
      <c r="Q62" s="6">
        <f t="shared" si="9"/>
        <v>0.10728019441180461</v>
      </c>
      <c r="R62" s="6">
        <f t="shared" si="10"/>
        <v>0.39028543568501156</v>
      </c>
      <c r="S62" s="6">
        <f t="shared" si="11"/>
        <v>0.13448781050986786</v>
      </c>
      <c r="T62" s="6">
        <f t="shared" si="12"/>
        <v>-1.2642954532485782</v>
      </c>
      <c r="U62" s="6">
        <f t="shared" si="13"/>
        <v>8.6915240510692285E-2</v>
      </c>
      <c r="V62" s="6">
        <f t="shared" si="14"/>
        <v>-0.16303279816008709</v>
      </c>
      <c r="W62" s="6">
        <f t="shared" si="15"/>
        <v>-0.40444170162880033</v>
      </c>
      <c r="X62" s="6">
        <f t="shared" si="16"/>
        <v>-0.25226675577805963</v>
      </c>
    </row>
    <row r="63" spans="1:24" x14ac:dyDescent="0.35">
      <c r="A63" s="2" t="s">
        <v>70</v>
      </c>
      <c r="B63" s="2" t="s">
        <v>76</v>
      </c>
      <c r="C63" s="2">
        <v>7.22</v>
      </c>
      <c r="D63" s="2">
        <v>7.88</v>
      </c>
      <c r="E63" s="2">
        <v>11050</v>
      </c>
      <c r="F63" s="2">
        <v>70.760000000000005</v>
      </c>
      <c r="G63" s="2">
        <v>68.97</v>
      </c>
      <c r="H63" s="2">
        <v>55.86</v>
      </c>
      <c r="I63" s="2">
        <v>86.09</v>
      </c>
      <c r="J63" s="2">
        <v>8.41</v>
      </c>
      <c r="K63" s="2">
        <v>64.64</v>
      </c>
      <c r="L63" s="2">
        <v>12199848</v>
      </c>
      <c r="M63" s="2">
        <v>0</v>
      </c>
      <c r="O63" s="6">
        <f t="shared" si="8"/>
        <v>-0.67814396117294018</v>
      </c>
      <c r="P63" s="6">
        <f t="shared" si="8"/>
        <v>-0.34163768914298293</v>
      </c>
      <c r="Q63" s="6">
        <f t="shared" si="9"/>
        <v>0.26716232296753739</v>
      </c>
      <c r="R63" s="6">
        <f t="shared" si="10"/>
        <v>0.12837263946545741</v>
      </c>
      <c r="S63" s="6">
        <f t="shared" si="11"/>
        <v>-0.19941568744199564</v>
      </c>
      <c r="T63" s="6">
        <f t="shared" si="12"/>
        <v>-1.1495663256074615</v>
      </c>
      <c r="U63" s="6">
        <f t="shared" si="13"/>
        <v>6.0777910984702935E-2</v>
      </c>
      <c r="V63" s="6">
        <f t="shared" si="14"/>
        <v>1.2718271592651564</v>
      </c>
      <c r="W63" s="6">
        <f t="shared" si="15"/>
        <v>-0.75497956086452123</v>
      </c>
      <c r="X63" s="6">
        <f t="shared" si="16"/>
        <v>-0.20402375270661169</v>
      </c>
    </row>
    <row r="64" spans="1:24" x14ac:dyDescent="0.35">
      <c r="A64" s="2" t="s">
        <v>70</v>
      </c>
      <c r="B64" s="2" t="s">
        <v>77</v>
      </c>
      <c r="C64" s="2">
        <v>6.85</v>
      </c>
      <c r="D64" s="2">
        <v>8.9700000000000006</v>
      </c>
      <c r="E64" s="2">
        <v>9662</v>
      </c>
      <c r="F64" s="2">
        <v>72.569999999999993</v>
      </c>
      <c r="G64" s="2">
        <v>72.53</v>
      </c>
      <c r="H64" s="2">
        <v>77.25</v>
      </c>
      <c r="I64" s="2">
        <v>87.46</v>
      </c>
      <c r="J64" s="2">
        <v>5.0599999999999996</v>
      </c>
      <c r="K64" s="2">
        <v>66.489999999999995</v>
      </c>
      <c r="L64" s="2">
        <v>14939509</v>
      </c>
      <c r="M64" s="2">
        <v>0</v>
      </c>
      <c r="O64" s="6">
        <f t="shared" si="8"/>
        <v>-0.72779876633205409</v>
      </c>
      <c r="P64" s="6">
        <f t="shared" si="8"/>
        <v>0.32737989813156382</v>
      </c>
      <c r="Q64" s="6">
        <f t="shared" si="9"/>
        <v>-0.24416577480978308</v>
      </c>
      <c r="R64" s="6">
        <f t="shared" si="10"/>
        <v>0.40723273426392392</v>
      </c>
      <c r="S64" s="6">
        <f t="shared" si="11"/>
        <v>0.83423340186985562</v>
      </c>
      <c r="T64" s="6">
        <f t="shared" si="12"/>
        <v>2.5726604223432121E-3</v>
      </c>
      <c r="U64" s="6">
        <f t="shared" si="13"/>
        <v>0.14811484135203332</v>
      </c>
      <c r="V64" s="6">
        <f t="shared" si="14"/>
        <v>1.9201181156748245E-4</v>
      </c>
      <c r="W64" s="6">
        <f t="shared" si="15"/>
        <v>-0.46547284676359124</v>
      </c>
      <c r="X64" s="6">
        <f t="shared" si="16"/>
        <v>-0.1467784862607239</v>
      </c>
    </row>
    <row r="65" spans="1:24" x14ac:dyDescent="0.35">
      <c r="A65" s="2" t="s">
        <v>70</v>
      </c>
      <c r="B65" s="2" t="s">
        <v>78</v>
      </c>
      <c r="C65" s="2">
        <v>7.29</v>
      </c>
      <c r="D65" s="2">
        <v>8.07</v>
      </c>
      <c r="E65" s="2">
        <v>9668</v>
      </c>
      <c r="F65" s="2">
        <v>69.680000000000007</v>
      </c>
      <c r="G65" s="2">
        <v>69.84</v>
      </c>
      <c r="H65" s="2">
        <v>55.69</v>
      </c>
      <c r="I65" s="2">
        <v>68.930000000000007</v>
      </c>
      <c r="J65" s="2">
        <v>2.25</v>
      </c>
      <c r="K65" s="2">
        <v>71.33</v>
      </c>
      <c r="L65" s="2">
        <v>11430548</v>
      </c>
      <c r="M65" s="2">
        <v>0</v>
      </c>
      <c r="O65" s="6">
        <f t="shared" si="8"/>
        <v>-0.66874980884554025</v>
      </c>
      <c r="P65" s="6">
        <f t="shared" si="8"/>
        <v>-0.22501994457219024</v>
      </c>
      <c r="Q65" s="6">
        <f t="shared" si="9"/>
        <v>-0.24195542280210014</v>
      </c>
      <c r="R65" s="6">
        <f t="shared" si="10"/>
        <v>-3.8019019309319002E-2</v>
      </c>
      <c r="S65" s="6">
        <f t="shared" si="11"/>
        <v>5.3189567530283768E-2</v>
      </c>
      <c r="T65" s="6">
        <f t="shared" si="12"/>
        <v>-1.1587231104426681</v>
      </c>
      <c r="U65" s="6">
        <f t="shared" si="13"/>
        <v>-1.0331649540542749</v>
      </c>
      <c r="V65" s="6">
        <f t="shared" si="14"/>
        <v>-1.0664631417241293</v>
      </c>
      <c r="W65" s="6">
        <f t="shared" si="15"/>
        <v>0.29193931337073653</v>
      </c>
      <c r="X65" s="6">
        <f t="shared" si="16"/>
        <v>-0.22009829020479904</v>
      </c>
    </row>
    <row r="66" spans="1:24" x14ac:dyDescent="0.35">
      <c r="A66" s="2" t="s">
        <v>70</v>
      </c>
      <c r="B66" s="2" t="s">
        <v>79</v>
      </c>
      <c r="C66" s="2">
        <v>7.48</v>
      </c>
      <c r="D66" s="2">
        <v>8.1</v>
      </c>
      <c r="E66" s="2">
        <v>8440</v>
      </c>
      <c r="F66" s="2">
        <v>66.77</v>
      </c>
      <c r="G66" s="2">
        <v>67.59</v>
      </c>
      <c r="H66" s="2">
        <v>45.26</v>
      </c>
      <c r="I66" s="2">
        <v>82.57</v>
      </c>
      <c r="J66" s="2">
        <v>4.92</v>
      </c>
      <c r="K66" s="2">
        <v>69.349999999999994</v>
      </c>
      <c r="L66" s="2">
        <v>6330067</v>
      </c>
      <c r="M66" s="2">
        <v>0</v>
      </c>
      <c r="O66" s="6">
        <f t="shared" si="8"/>
        <v>-0.64325139538545473</v>
      </c>
      <c r="P66" s="6">
        <f t="shared" si="8"/>
        <v>-0.20660661648206549</v>
      </c>
      <c r="Q66" s="6">
        <f t="shared" si="9"/>
        <v>-0.69434080037454216</v>
      </c>
      <c r="R66" s="6">
        <f t="shared" si="10"/>
        <v>-0.48635209989691341</v>
      </c>
      <c r="S66" s="6">
        <f t="shared" si="11"/>
        <v>-0.6000998849842285</v>
      </c>
      <c r="T66" s="6">
        <f t="shared" si="12"/>
        <v>-1.7205187918026899</v>
      </c>
      <c r="U66" s="6">
        <f t="shared" si="13"/>
        <v>-0.1636206254335496</v>
      </c>
      <c r="V66" s="6">
        <f t="shared" si="14"/>
        <v>-5.2950949574552521E-2</v>
      </c>
      <c r="W66" s="6">
        <f t="shared" si="15"/>
        <v>-1.7911115775125219E-2</v>
      </c>
      <c r="X66" s="6">
        <f t="shared" si="16"/>
        <v>-0.3266729335081815</v>
      </c>
    </row>
    <row r="67" spans="1:24" x14ac:dyDescent="0.35">
      <c r="A67" s="2" t="s">
        <v>70</v>
      </c>
      <c r="B67" s="2" t="s">
        <v>80</v>
      </c>
      <c r="C67" s="2">
        <v>7.52</v>
      </c>
      <c r="D67" s="2">
        <v>8.32</v>
      </c>
      <c r="E67" s="2">
        <v>10367</v>
      </c>
      <c r="F67" s="2">
        <v>69.23</v>
      </c>
      <c r="G67" s="2">
        <v>68.010000000000005</v>
      </c>
      <c r="H67" s="2">
        <v>58.57</v>
      </c>
      <c r="I67" s="2">
        <v>81.010000000000005</v>
      </c>
      <c r="J67" s="2">
        <v>4.84</v>
      </c>
      <c r="K67" s="2">
        <v>72.11</v>
      </c>
      <c r="L67" s="2">
        <v>4059515</v>
      </c>
      <c r="M67" s="2">
        <v>0</v>
      </c>
      <c r="O67" s="6">
        <f t="shared" ref="O67:P130" si="17">(C67 - C$516) / C$517</f>
        <v>-0.63788330834122631</v>
      </c>
      <c r="P67" s="6">
        <f t="shared" si="17"/>
        <v>-7.1575543821147503E-2</v>
      </c>
      <c r="Q67" s="6">
        <f t="shared" ref="Q67:Q130" si="18">(E67 - E$516) / E$517</f>
        <v>1.5550586092962542E-2</v>
      </c>
      <c r="R67" s="6">
        <f t="shared" ref="R67:R130" si="19">(F67 - F$516) / F$517</f>
        <v>-0.10734887713214306</v>
      </c>
      <c r="S67" s="6">
        <f t="shared" ref="S67:S130" si="20">(G67 - G$516) / G$517</f>
        <v>-0.47815252051485241</v>
      </c>
      <c r="T67" s="6">
        <f t="shared" ref="T67:T130" si="21">(H67 - H$516) / H$517</f>
        <v>-1.0035964026462287</v>
      </c>
      <c r="U67" s="6">
        <f t="shared" ref="U67:U130" si="22">(I67 - I$516) / I$517</f>
        <v>-0.26306997680072869</v>
      </c>
      <c r="V67" s="6">
        <f t="shared" ref="V67:V130" si="23">(J67 - J$516) / J$517</f>
        <v>-8.3318356080906902E-2</v>
      </c>
      <c r="W67" s="6">
        <f t="shared" ref="W67:W130" si="24">(K67 - K$516) / K$517</f>
        <v>0.41400160364031841</v>
      </c>
      <c r="X67" s="6">
        <f t="shared" ref="X67:X130" si="25">(L67 - L$516) / L$517</f>
        <v>-0.37411615886315913</v>
      </c>
    </row>
    <row r="68" spans="1:24" x14ac:dyDescent="0.35">
      <c r="A68" s="2" t="s">
        <v>70</v>
      </c>
      <c r="B68" s="2" t="s">
        <v>81</v>
      </c>
      <c r="C68" s="2">
        <v>6.67</v>
      </c>
      <c r="D68" s="2">
        <v>8.5500000000000007</v>
      </c>
      <c r="E68" s="2">
        <v>11324</v>
      </c>
      <c r="F68" s="2">
        <v>71.760000000000005</v>
      </c>
      <c r="G68" s="2">
        <v>71.53</v>
      </c>
      <c r="H68" s="2">
        <v>82.71</v>
      </c>
      <c r="I68" s="2">
        <v>70.27</v>
      </c>
      <c r="J68" s="2">
        <v>5</v>
      </c>
      <c r="K68" s="2">
        <v>73.040000000000006</v>
      </c>
      <c r="L68" s="2">
        <v>7709700</v>
      </c>
      <c r="M68" s="2">
        <v>0</v>
      </c>
      <c r="O68" s="6">
        <f t="shared" si="17"/>
        <v>-0.75195515803108248</v>
      </c>
      <c r="P68" s="6">
        <f t="shared" si="17"/>
        <v>6.9593304869812064E-2</v>
      </c>
      <c r="Q68" s="6">
        <f t="shared" si="18"/>
        <v>0.36810173131839169</v>
      </c>
      <c r="R68" s="6">
        <f t="shared" si="19"/>
        <v>0.28243899018284324</v>
      </c>
      <c r="S68" s="6">
        <f t="shared" si="20"/>
        <v>0.54388253408562792</v>
      </c>
      <c r="T68" s="6">
        <f t="shared" si="21"/>
        <v>0.29666704395309246</v>
      </c>
      <c r="U68" s="6">
        <f t="shared" si="22"/>
        <v>-0.94774051121323644</v>
      </c>
      <c r="V68" s="6">
        <f t="shared" si="23"/>
        <v>-2.2583543068198139E-2</v>
      </c>
      <c r="W68" s="6">
        <f t="shared" si="24"/>
        <v>0.55953741126943612</v>
      </c>
      <c r="X68" s="6">
        <f t="shared" si="25"/>
        <v>-0.2978454768693713</v>
      </c>
    </row>
    <row r="69" spans="1:24" x14ac:dyDescent="0.35">
      <c r="A69" s="2" t="s">
        <v>70</v>
      </c>
      <c r="B69" s="2" t="s">
        <v>82</v>
      </c>
      <c r="C69" s="2">
        <v>7.51</v>
      </c>
      <c r="D69" s="2">
        <v>8.27</v>
      </c>
      <c r="E69" s="2">
        <v>9089</v>
      </c>
      <c r="F69" s="2">
        <v>68.760000000000005</v>
      </c>
      <c r="G69" s="2">
        <v>67.94</v>
      </c>
      <c r="H69" s="2">
        <v>70.28</v>
      </c>
      <c r="I69" s="2">
        <v>81.47</v>
      </c>
      <c r="J69" s="2">
        <v>5.0199999999999996</v>
      </c>
      <c r="K69" s="2">
        <v>66.930000000000007</v>
      </c>
      <c r="L69" s="2">
        <v>11682234</v>
      </c>
      <c r="M69" s="2">
        <v>0</v>
      </c>
      <c r="O69" s="6">
        <f t="shared" si="17"/>
        <v>-0.63922533010228344</v>
      </c>
      <c r="P69" s="6">
        <f t="shared" si="17"/>
        <v>-0.10226442397135649</v>
      </c>
      <c r="Q69" s="6">
        <f t="shared" si="18"/>
        <v>-0.455254391543504</v>
      </c>
      <c r="R69" s="6">
        <f t="shared" si="19"/>
        <v>-0.17976006196931421</v>
      </c>
      <c r="S69" s="6">
        <f t="shared" si="20"/>
        <v>-0.49847708125975049</v>
      </c>
      <c r="T69" s="6">
        <f t="shared" si="21"/>
        <v>-0.37285551782112281</v>
      </c>
      <c r="U69" s="6">
        <f t="shared" si="22"/>
        <v>-0.23374516806425297</v>
      </c>
      <c r="V69" s="6">
        <f t="shared" si="23"/>
        <v>-1.499169144160971E-2</v>
      </c>
      <c r="W69" s="6">
        <f t="shared" si="24"/>
        <v>-0.39661719584228688</v>
      </c>
      <c r="X69" s="6">
        <f t="shared" si="25"/>
        <v>-0.21483930665511911</v>
      </c>
    </row>
    <row r="70" spans="1:24" x14ac:dyDescent="0.35">
      <c r="A70" s="2" t="s">
        <v>70</v>
      </c>
      <c r="B70" s="2" t="s">
        <v>83</v>
      </c>
      <c r="C70" s="2">
        <v>4.9400000000000004</v>
      </c>
      <c r="D70" s="2">
        <v>11.59</v>
      </c>
      <c r="E70" s="2">
        <v>14540</v>
      </c>
      <c r="F70" s="2">
        <v>82.9</v>
      </c>
      <c r="G70" s="2">
        <v>73.69</v>
      </c>
      <c r="H70" s="2">
        <v>80.13</v>
      </c>
      <c r="I70" s="2">
        <v>95.52</v>
      </c>
      <c r="J70" s="2">
        <v>13.37</v>
      </c>
      <c r="K70" s="2">
        <v>63.78</v>
      </c>
      <c r="L70" s="2">
        <v>45227957</v>
      </c>
      <c r="M70" s="2">
        <v>0</v>
      </c>
      <c r="O70" s="6">
        <f t="shared" si="17"/>
        <v>-0.98412492269396634</v>
      </c>
      <c r="P70" s="6">
        <f t="shared" si="17"/>
        <v>1.9354772180024911</v>
      </c>
      <c r="Q70" s="6">
        <f t="shared" si="18"/>
        <v>1.5528504074364482</v>
      </c>
      <c r="R70" s="6">
        <f t="shared" si="19"/>
        <v>1.9987381371745214</v>
      </c>
      <c r="S70" s="6">
        <f t="shared" si="20"/>
        <v>1.1710404084995587</v>
      </c>
      <c r="T70" s="6">
        <f t="shared" si="21"/>
        <v>0.1576993682187823</v>
      </c>
      <c r="U70" s="6">
        <f t="shared" si="22"/>
        <v>0.66193649008246247</v>
      </c>
      <c r="V70" s="6">
        <f t="shared" si="23"/>
        <v>3.1546063626591261</v>
      </c>
      <c r="W70" s="6">
        <f t="shared" si="24"/>
        <v>-0.88956106039252147</v>
      </c>
      <c r="X70" s="6">
        <f t="shared" si="25"/>
        <v>0.48609918582805522</v>
      </c>
    </row>
    <row r="71" spans="1:24" x14ac:dyDescent="0.35">
      <c r="A71" s="2" t="s">
        <v>70</v>
      </c>
      <c r="B71" s="2" t="s">
        <v>84</v>
      </c>
      <c r="C71" s="2">
        <v>3.12</v>
      </c>
      <c r="D71" s="2">
        <v>11.04</v>
      </c>
      <c r="E71" s="2">
        <v>12168</v>
      </c>
      <c r="F71" s="2">
        <v>78.41</v>
      </c>
      <c r="G71" s="2">
        <v>73.73</v>
      </c>
      <c r="H71" s="2">
        <v>91.4</v>
      </c>
      <c r="I71" s="2">
        <v>96.55</v>
      </c>
      <c r="J71" s="2">
        <v>5.15</v>
      </c>
      <c r="K71" s="2">
        <v>66.510000000000005</v>
      </c>
      <c r="L71" s="2">
        <v>2936828</v>
      </c>
      <c r="M71" s="2">
        <v>0</v>
      </c>
      <c r="O71" s="6">
        <f t="shared" si="17"/>
        <v>-1.2283728832063643</v>
      </c>
      <c r="P71" s="6">
        <f t="shared" si="17"/>
        <v>1.5978995363501967</v>
      </c>
      <c r="Q71" s="6">
        <f t="shared" si="18"/>
        <v>0.6790245803991255</v>
      </c>
      <c r="R71" s="6">
        <f t="shared" si="19"/>
        <v>1.3069802224534577</v>
      </c>
      <c r="S71" s="6">
        <f t="shared" si="20"/>
        <v>1.1826544432109296</v>
      </c>
      <c r="T71" s="6">
        <f t="shared" si="21"/>
        <v>0.76474033935276597</v>
      </c>
      <c r="U71" s="6">
        <f t="shared" si="22"/>
        <v>0.72759856181848515</v>
      </c>
      <c r="V71" s="6">
        <f t="shared" si="23"/>
        <v>3.4355344131216416E-2</v>
      </c>
      <c r="W71" s="6">
        <f t="shared" si="24"/>
        <v>-0.462343044448985</v>
      </c>
      <c r="X71" s="6">
        <f t="shared" si="25"/>
        <v>-0.39757472415657846</v>
      </c>
    </row>
    <row r="72" spans="1:24" x14ac:dyDescent="0.35">
      <c r="A72" s="2" t="s">
        <v>70</v>
      </c>
      <c r="B72" s="2" t="s">
        <v>85</v>
      </c>
      <c r="C72" s="2">
        <v>2.38</v>
      </c>
      <c r="D72" s="2">
        <v>10.32</v>
      </c>
      <c r="E72" s="2">
        <v>10195</v>
      </c>
      <c r="F72" s="2">
        <v>72.88</v>
      </c>
      <c r="G72" s="2">
        <v>70.099999999999994</v>
      </c>
      <c r="H72" s="2">
        <v>86.45</v>
      </c>
      <c r="I72" s="2">
        <v>88.27</v>
      </c>
      <c r="J72" s="2">
        <v>6.38</v>
      </c>
      <c r="K72" s="2">
        <v>68.05</v>
      </c>
      <c r="L72" s="2">
        <v>2829590</v>
      </c>
      <c r="M72" s="2">
        <v>0</v>
      </c>
      <c r="O72" s="6">
        <f t="shared" si="17"/>
        <v>-1.3276824935245923</v>
      </c>
      <c r="P72" s="6">
        <f t="shared" si="17"/>
        <v>1.1559796621871943</v>
      </c>
      <c r="Q72" s="6">
        <f t="shared" si="18"/>
        <v>-4.7812838127281779E-2</v>
      </c>
      <c r="R72" s="6">
        <f t="shared" si="19"/>
        <v>0.45499330298631385</v>
      </c>
      <c r="S72" s="6">
        <f t="shared" si="20"/>
        <v>0.12868079315418032</v>
      </c>
      <c r="T72" s="6">
        <f t="shared" si="21"/>
        <v>0.4981163103276357</v>
      </c>
      <c r="U72" s="6">
        <f t="shared" si="22"/>
        <v>0.19975200456191528</v>
      </c>
      <c r="V72" s="6">
        <f t="shared" si="23"/>
        <v>0.50125421916641455</v>
      </c>
      <c r="W72" s="6">
        <f t="shared" si="24"/>
        <v>-0.22134826622442755</v>
      </c>
      <c r="X72" s="6">
        <f t="shared" si="25"/>
        <v>-0.39981546411788171</v>
      </c>
    </row>
    <row r="73" spans="1:24" x14ac:dyDescent="0.35">
      <c r="A73" s="2" t="s">
        <v>70</v>
      </c>
      <c r="B73" s="2" t="s">
        <v>86</v>
      </c>
      <c r="C73" s="2">
        <v>5.92</v>
      </c>
      <c r="D73" s="2">
        <v>11.63</v>
      </c>
      <c r="E73" s="2">
        <v>10754</v>
      </c>
      <c r="F73" s="2">
        <v>77.97</v>
      </c>
      <c r="G73" s="2">
        <v>72.819999999999993</v>
      </c>
      <c r="H73" s="2">
        <v>73.040000000000006</v>
      </c>
      <c r="I73" s="2">
        <v>98.45</v>
      </c>
      <c r="J73" s="2">
        <v>4.9000000000000004</v>
      </c>
      <c r="K73" s="2">
        <v>65.94</v>
      </c>
      <c r="L73" s="2">
        <v>2631518</v>
      </c>
      <c r="M73" s="2">
        <v>0</v>
      </c>
      <c r="O73" s="6">
        <f t="shared" si="17"/>
        <v>-0.85260679011036744</v>
      </c>
      <c r="P73" s="6">
        <f t="shared" si="17"/>
        <v>1.9600283221226587</v>
      </c>
      <c r="Q73" s="6">
        <f t="shared" si="18"/>
        <v>0.15811829058851226</v>
      </c>
      <c r="R73" s="6">
        <f t="shared" si="19"/>
        <v>1.2391910281378082</v>
      </c>
      <c r="S73" s="6">
        <f t="shared" si="20"/>
        <v>0.91843515352727934</v>
      </c>
      <c r="T73" s="6">
        <f t="shared" si="21"/>
        <v>-0.22419242284953481</v>
      </c>
      <c r="U73" s="6">
        <f t="shared" si="22"/>
        <v>0.84872277181697375</v>
      </c>
      <c r="V73" s="6">
        <f t="shared" si="23"/>
        <v>-6.0542801201140951E-2</v>
      </c>
      <c r="W73" s="6">
        <f t="shared" si="24"/>
        <v>-0.5515424104152189</v>
      </c>
      <c r="X73" s="6">
        <f t="shared" si="25"/>
        <v>-0.40395418216200102</v>
      </c>
    </row>
    <row r="74" spans="1:24" x14ac:dyDescent="0.35">
      <c r="A74" s="2" t="s">
        <v>70</v>
      </c>
      <c r="B74" s="2" t="s">
        <v>87</v>
      </c>
      <c r="C74" s="2">
        <v>5.14</v>
      </c>
      <c r="D74" s="2">
        <v>11.34</v>
      </c>
      <c r="E74" s="2">
        <v>13331</v>
      </c>
      <c r="F74" s="2">
        <v>80.7</v>
      </c>
      <c r="G74" s="2">
        <v>74.5</v>
      </c>
      <c r="H74" s="2">
        <v>89.93</v>
      </c>
      <c r="I74" s="2">
        <v>97.05</v>
      </c>
      <c r="J74" s="2">
        <v>6.09</v>
      </c>
      <c r="K74" s="2">
        <v>67.42</v>
      </c>
      <c r="L74" s="2">
        <v>6263130</v>
      </c>
      <c r="M74" s="2">
        <v>0</v>
      </c>
      <c r="O74" s="6">
        <f t="shared" si="17"/>
        <v>-0.9572844874728238</v>
      </c>
      <c r="P74" s="6">
        <f t="shared" si="17"/>
        <v>1.7820328172514484</v>
      </c>
      <c r="Q74" s="6">
        <f t="shared" si="18"/>
        <v>1.1074644778883356</v>
      </c>
      <c r="R74" s="6">
        <f t="shared" si="19"/>
        <v>1.6597921655962722</v>
      </c>
      <c r="S74" s="6">
        <f t="shared" si="20"/>
        <v>1.4062246114047838</v>
      </c>
      <c r="T74" s="6">
        <f t="shared" si="21"/>
        <v>0.68556108224833345</v>
      </c>
      <c r="U74" s="6">
        <f t="shared" si="22"/>
        <v>0.75947335392335047</v>
      </c>
      <c r="V74" s="6">
        <f t="shared" si="23"/>
        <v>0.39117237058087995</v>
      </c>
      <c r="W74" s="6">
        <f t="shared" si="24"/>
        <v>-0.31993703913447358</v>
      </c>
      <c r="X74" s="6">
        <f t="shared" si="25"/>
        <v>-0.32807158334116754</v>
      </c>
    </row>
    <row r="75" spans="1:24" x14ac:dyDescent="0.35">
      <c r="A75" s="2" t="s">
        <v>70</v>
      </c>
      <c r="B75" s="2" t="s">
        <v>88</v>
      </c>
      <c r="C75" s="2">
        <v>6.16</v>
      </c>
      <c r="D75" s="2">
        <v>10.81</v>
      </c>
      <c r="E75" s="2">
        <v>13317</v>
      </c>
      <c r="F75" s="2">
        <v>79.08</v>
      </c>
      <c r="G75" s="2">
        <v>73.84</v>
      </c>
      <c r="H75" s="2">
        <v>89.49</v>
      </c>
      <c r="I75" s="2">
        <v>99.43</v>
      </c>
      <c r="J75" s="2">
        <v>6.47</v>
      </c>
      <c r="K75" s="2">
        <v>71.73</v>
      </c>
      <c r="L75" s="2">
        <v>4571927</v>
      </c>
      <c r="M75" s="2">
        <v>0</v>
      </c>
      <c r="O75" s="6">
        <f t="shared" si="17"/>
        <v>-0.82039826784499625</v>
      </c>
      <c r="P75" s="6">
        <f t="shared" si="17"/>
        <v>1.4567306876592383</v>
      </c>
      <c r="Q75" s="6">
        <f t="shared" si="18"/>
        <v>1.1023069898704088</v>
      </c>
      <c r="R75" s="6">
        <f t="shared" si="19"/>
        <v>1.4102046774341064</v>
      </c>
      <c r="S75" s="6">
        <f t="shared" si="20"/>
        <v>1.2145930386671946</v>
      </c>
      <c r="T75" s="6">
        <f t="shared" si="21"/>
        <v>0.66186116855721011</v>
      </c>
      <c r="U75" s="6">
        <f t="shared" si="22"/>
        <v>0.91119736434251009</v>
      </c>
      <c r="V75" s="6">
        <f t="shared" si="23"/>
        <v>0.53541755148606307</v>
      </c>
      <c r="W75" s="6">
        <f t="shared" si="24"/>
        <v>0.35453535966283062</v>
      </c>
      <c r="X75" s="6">
        <f t="shared" si="25"/>
        <v>-0.36340930079930733</v>
      </c>
    </row>
    <row r="76" spans="1:24" x14ac:dyDescent="0.35">
      <c r="A76" s="2" t="s">
        <v>70</v>
      </c>
      <c r="B76" s="2" t="s">
        <v>89</v>
      </c>
      <c r="C76" s="2">
        <v>4.38</v>
      </c>
      <c r="D76" s="2">
        <v>10.67</v>
      </c>
      <c r="E76" s="2">
        <v>12818</v>
      </c>
      <c r="F76" s="2">
        <v>77.069999999999993</v>
      </c>
      <c r="G76" s="2">
        <v>70.38</v>
      </c>
      <c r="H76" s="2">
        <v>79.56</v>
      </c>
      <c r="I76" s="2">
        <v>97.69</v>
      </c>
      <c r="J76" s="2">
        <v>6.09</v>
      </c>
      <c r="K76" s="2">
        <v>62.7</v>
      </c>
      <c r="L76" s="2">
        <v>3669629</v>
      </c>
      <c r="M76" s="2">
        <v>0</v>
      </c>
      <c r="O76" s="6">
        <f t="shared" si="17"/>
        <v>-1.0592781413131658</v>
      </c>
      <c r="P76" s="6">
        <f t="shared" si="17"/>
        <v>1.3708018232386538</v>
      </c>
      <c r="Q76" s="6">
        <f t="shared" si="18"/>
        <v>0.91847938123144413</v>
      </c>
      <c r="R76" s="6">
        <f t="shared" si="19"/>
        <v>1.1005313124921601</v>
      </c>
      <c r="S76" s="6">
        <f t="shared" si="20"/>
        <v>0.20997903613376442</v>
      </c>
      <c r="T76" s="6">
        <f t="shared" si="21"/>
        <v>0.12699720730073738</v>
      </c>
      <c r="U76" s="6">
        <f t="shared" si="22"/>
        <v>0.80027308781757811</v>
      </c>
      <c r="V76" s="6">
        <f t="shared" si="23"/>
        <v>0.39117237058087995</v>
      </c>
      <c r="W76" s="6">
        <f t="shared" si="24"/>
        <v>-1.0585703853811728</v>
      </c>
      <c r="X76" s="6">
        <f t="shared" si="25"/>
        <v>-0.38226283392752713</v>
      </c>
    </row>
    <row r="77" spans="1:24" x14ac:dyDescent="0.35">
      <c r="A77" s="2" t="s">
        <v>90</v>
      </c>
      <c r="B77" s="2" t="s">
        <v>91</v>
      </c>
      <c r="C77" s="2">
        <v>8.9700000000000006</v>
      </c>
      <c r="D77" s="2">
        <v>8.75</v>
      </c>
      <c r="E77" s="2">
        <v>10309</v>
      </c>
      <c r="F77" s="2">
        <v>70.599999999999994</v>
      </c>
      <c r="G77" s="2">
        <v>68.599999999999994</v>
      </c>
      <c r="H77" s="2">
        <v>87.98</v>
      </c>
      <c r="I77" s="2">
        <v>85.78</v>
      </c>
      <c r="J77" s="2">
        <v>2.06</v>
      </c>
      <c r="K77" s="2">
        <v>67.02</v>
      </c>
      <c r="L77" s="2">
        <v>24689509</v>
      </c>
      <c r="M77" s="2">
        <v>0</v>
      </c>
      <c r="O77" s="6">
        <f t="shared" si="17"/>
        <v>-0.44329015298794194</v>
      </c>
      <c r="P77" s="6">
        <f t="shared" si="17"/>
        <v>0.19234882547064583</v>
      </c>
      <c r="Q77" s="6">
        <f t="shared" si="18"/>
        <v>-5.8161499813058903E-3</v>
      </c>
      <c r="R77" s="6">
        <f t="shared" si="19"/>
        <v>0.10372202335067403</v>
      </c>
      <c r="S77" s="6">
        <f t="shared" si="20"/>
        <v>-0.30684550852216119</v>
      </c>
      <c r="T77" s="6">
        <f t="shared" si="21"/>
        <v>0.58052737384449415</v>
      </c>
      <c r="U77" s="6">
        <f t="shared" si="22"/>
        <v>4.1015539879686293E-2</v>
      </c>
      <c r="V77" s="6">
        <f t="shared" si="23"/>
        <v>-1.1385857321767208</v>
      </c>
      <c r="W77" s="6">
        <f t="shared" si="24"/>
        <v>-0.38253308542656761</v>
      </c>
      <c r="X77" s="6">
        <f t="shared" si="25"/>
        <v>5.694794115033381E-2</v>
      </c>
    </row>
    <row r="78" spans="1:24" x14ac:dyDescent="0.35">
      <c r="A78" s="2" t="s">
        <v>90</v>
      </c>
      <c r="B78" s="2" t="s">
        <v>92</v>
      </c>
      <c r="C78" s="2">
        <v>6.18</v>
      </c>
      <c r="D78" s="2">
        <v>8.39</v>
      </c>
      <c r="E78" s="2">
        <v>10260</v>
      </c>
      <c r="F78" s="2">
        <v>70.010000000000005</v>
      </c>
      <c r="G78" s="2">
        <v>70.260000000000005</v>
      </c>
      <c r="H78" s="2">
        <v>82.82</v>
      </c>
      <c r="I78" s="2">
        <v>64.84</v>
      </c>
      <c r="J78" s="2">
        <v>3.32</v>
      </c>
      <c r="K78" s="2">
        <v>68.45</v>
      </c>
      <c r="L78" s="2">
        <v>31176538</v>
      </c>
      <c r="M78" s="2">
        <v>0</v>
      </c>
      <c r="O78" s="6">
        <f t="shared" si="17"/>
        <v>-0.81771422432288199</v>
      </c>
      <c r="P78" s="6">
        <f t="shared" si="17"/>
        <v>-2.8611111610855368E-2</v>
      </c>
      <c r="Q78" s="6">
        <f t="shared" si="18"/>
        <v>-2.3867358044049911E-2</v>
      </c>
      <c r="R78" s="6">
        <f t="shared" si="19"/>
        <v>1.2822876427418053E-2</v>
      </c>
      <c r="S78" s="6">
        <f t="shared" si="20"/>
        <v>0.17513693199965991</v>
      </c>
      <c r="T78" s="6">
        <f t="shared" si="21"/>
        <v>0.30259202237587313</v>
      </c>
      <c r="U78" s="6">
        <f t="shared" si="22"/>
        <v>-1.2939007534720735</v>
      </c>
      <c r="V78" s="6">
        <f t="shared" si="23"/>
        <v>-0.6602990797016397</v>
      </c>
      <c r="W78" s="6">
        <f t="shared" si="24"/>
        <v>-0.15875221993233349</v>
      </c>
      <c r="X78" s="6">
        <f t="shared" si="25"/>
        <v>0.19249453014335188</v>
      </c>
    </row>
    <row r="79" spans="1:24" x14ac:dyDescent="0.35">
      <c r="A79" s="2" t="s">
        <v>90</v>
      </c>
      <c r="B79" s="2" t="s">
        <v>93</v>
      </c>
      <c r="C79" s="2">
        <v>6.18</v>
      </c>
      <c r="D79" s="2">
        <v>7.24</v>
      </c>
      <c r="E79" s="2">
        <v>9945</v>
      </c>
      <c r="F79" s="2">
        <v>66.63</v>
      </c>
      <c r="G79" s="2">
        <v>67.98</v>
      </c>
      <c r="H79" s="2">
        <v>49.64</v>
      </c>
      <c r="I79" s="2">
        <v>89.6</v>
      </c>
      <c r="J79" s="2">
        <v>2.66</v>
      </c>
      <c r="K79" s="2">
        <v>68.56</v>
      </c>
      <c r="L79" s="2">
        <v>46921264</v>
      </c>
      <c r="M79" s="2">
        <v>0</v>
      </c>
      <c r="O79" s="6">
        <f t="shared" si="17"/>
        <v>-0.81771422432288199</v>
      </c>
      <c r="P79" s="6">
        <f t="shared" si="17"/>
        <v>-0.73445535506565218</v>
      </c>
      <c r="Q79" s="6">
        <f t="shared" si="18"/>
        <v>-0.13991083844740435</v>
      </c>
      <c r="R79" s="6">
        <f t="shared" si="19"/>
        <v>-0.50792138899734751</v>
      </c>
      <c r="S79" s="6">
        <f t="shared" si="20"/>
        <v>-0.48686304654837959</v>
      </c>
      <c r="T79" s="6">
        <f t="shared" si="21"/>
        <v>-1.4845969236956047</v>
      </c>
      <c r="U79" s="6">
        <f t="shared" si="22"/>
        <v>0.28453895156085696</v>
      </c>
      <c r="V79" s="6">
        <f t="shared" si="23"/>
        <v>-0.91083018337906307</v>
      </c>
      <c r="W79" s="6">
        <f t="shared" si="24"/>
        <v>-0.14153830720200797</v>
      </c>
      <c r="X79" s="6">
        <f t="shared" si="25"/>
        <v>0.52148086640447944</v>
      </c>
    </row>
    <row r="80" spans="1:24" x14ac:dyDescent="0.35">
      <c r="A80" s="2" t="s">
        <v>90</v>
      </c>
      <c r="B80" s="2" t="s">
        <v>94</v>
      </c>
      <c r="C80" s="2">
        <v>9.6300000000000008</v>
      </c>
      <c r="D80" s="2">
        <v>8.6999999999999993</v>
      </c>
      <c r="E80" s="2">
        <v>11672</v>
      </c>
      <c r="F80" s="2">
        <v>72.08</v>
      </c>
      <c r="G80" s="2">
        <v>71.239999999999995</v>
      </c>
      <c r="H80" s="2">
        <v>81.13</v>
      </c>
      <c r="I80" s="2">
        <v>83.61</v>
      </c>
      <c r="J80" s="2">
        <v>2.34</v>
      </c>
      <c r="K80" s="2">
        <v>69.180000000000007</v>
      </c>
      <c r="L80" s="2">
        <v>36538811</v>
      </c>
      <c r="M80" s="2">
        <v>0</v>
      </c>
      <c r="O80" s="6">
        <f t="shared" si="17"/>
        <v>-0.35471671675817124</v>
      </c>
      <c r="P80" s="6">
        <f t="shared" si="17"/>
        <v>0.16165994532043684</v>
      </c>
      <c r="Q80" s="6">
        <f t="shared" si="18"/>
        <v>0.49630214776400228</v>
      </c>
      <c r="R80" s="6">
        <f t="shared" si="19"/>
        <v>0.33174022241240564</v>
      </c>
      <c r="S80" s="6">
        <f t="shared" si="20"/>
        <v>0.45968078242820004</v>
      </c>
      <c r="T80" s="6">
        <f t="shared" si="21"/>
        <v>0.2115628084258793</v>
      </c>
      <c r="U80" s="6">
        <f t="shared" si="22"/>
        <v>-9.7321057855429327E-2</v>
      </c>
      <c r="V80" s="6">
        <f t="shared" si="23"/>
        <v>-1.0322998094044806</v>
      </c>
      <c r="W80" s="6">
        <f t="shared" si="24"/>
        <v>-4.4514435449262854E-2</v>
      </c>
      <c r="X80" s="6">
        <f t="shared" si="25"/>
        <v>0.30453932205030315</v>
      </c>
    </row>
    <row r="81" spans="1:24" x14ac:dyDescent="0.35">
      <c r="A81" s="2" t="s">
        <v>90</v>
      </c>
      <c r="B81" s="2" t="s">
        <v>95</v>
      </c>
      <c r="C81" s="2">
        <v>5.18</v>
      </c>
      <c r="D81" s="2">
        <v>9.86</v>
      </c>
      <c r="E81" s="2">
        <v>11807</v>
      </c>
      <c r="F81" s="2">
        <v>73.98</v>
      </c>
      <c r="G81" s="2">
        <v>71.13</v>
      </c>
      <c r="H81" s="2">
        <v>95.41</v>
      </c>
      <c r="I81" s="2">
        <v>93.13</v>
      </c>
      <c r="J81" s="2">
        <v>4.34</v>
      </c>
      <c r="K81" s="2">
        <v>64.69</v>
      </c>
      <c r="L81" s="2">
        <v>54543286</v>
      </c>
      <c r="M81" s="2">
        <v>0</v>
      </c>
      <c r="O81" s="6">
        <f t="shared" si="17"/>
        <v>-0.95191640042859527</v>
      </c>
      <c r="P81" s="6">
        <f t="shared" si="17"/>
        <v>0.87364196480527523</v>
      </c>
      <c r="Q81" s="6">
        <f t="shared" si="18"/>
        <v>0.54603506793686851</v>
      </c>
      <c r="R81" s="6">
        <f t="shared" si="19"/>
        <v>0.62446628877543953</v>
      </c>
      <c r="S81" s="6">
        <f t="shared" si="20"/>
        <v>0.42774218697193517</v>
      </c>
      <c r="T81" s="6">
        <f t="shared" si="21"/>
        <v>0.98073273458322441</v>
      </c>
      <c r="U81" s="6">
        <f t="shared" si="22"/>
        <v>0.50957498382120625</v>
      </c>
      <c r="V81" s="6">
        <f t="shared" si="23"/>
        <v>-0.27311464674562164</v>
      </c>
      <c r="W81" s="6">
        <f t="shared" si="24"/>
        <v>-0.74715505507801006</v>
      </c>
      <c r="X81" s="6">
        <f t="shared" si="25"/>
        <v>0.68074315478483682</v>
      </c>
    </row>
    <row r="82" spans="1:24" x14ac:dyDescent="0.35">
      <c r="A82" s="2" t="s">
        <v>90</v>
      </c>
      <c r="B82" s="2" t="s">
        <v>96</v>
      </c>
      <c r="C82" s="2">
        <v>7.82</v>
      </c>
      <c r="D82" s="2">
        <v>9.27</v>
      </c>
      <c r="E82" s="2">
        <v>10858</v>
      </c>
      <c r="F82" s="2">
        <v>73.02</v>
      </c>
      <c r="G82" s="2">
        <v>70.83</v>
      </c>
      <c r="H82" s="2">
        <v>89.62</v>
      </c>
      <c r="I82" s="2">
        <v>90.41</v>
      </c>
      <c r="J82" s="2">
        <v>4.2699999999999996</v>
      </c>
      <c r="K82" s="2">
        <v>63.06</v>
      </c>
      <c r="L82" s="2">
        <v>53196375</v>
      </c>
      <c r="M82" s="2">
        <v>0</v>
      </c>
      <c r="O82" s="6">
        <f t="shared" si="17"/>
        <v>-0.59762265550951221</v>
      </c>
      <c r="P82" s="6">
        <f t="shared" si="17"/>
        <v>0.51151317903281446</v>
      </c>
      <c r="Q82" s="6">
        <f t="shared" si="18"/>
        <v>0.19643105872168323</v>
      </c>
      <c r="R82" s="6">
        <f t="shared" si="19"/>
        <v>0.47656259208674795</v>
      </c>
      <c r="S82" s="6">
        <f t="shared" si="20"/>
        <v>0.34063692663666773</v>
      </c>
      <c r="T82" s="6">
        <f t="shared" si="21"/>
        <v>0.66886341578413333</v>
      </c>
      <c r="U82" s="6">
        <f t="shared" si="22"/>
        <v>0.33617611477073894</v>
      </c>
      <c r="V82" s="6">
        <f t="shared" si="23"/>
        <v>-0.29968612743868184</v>
      </c>
      <c r="W82" s="6">
        <f t="shared" si="24"/>
        <v>-1.002233943718289</v>
      </c>
      <c r="X82" s="6">
        <f t="shared" si="25"/>
        <v>0.6525994249314363</v>
      </c>
    </row>
    <row r="83" spans="1:24" x14ac:dyDescent="0.35">
      <c r="A83" s="2" t="s">
        <v>90</v>
      </c>
      <c r="B83" s="2" t="s">
        <v>97</v>
      </c>
      <c r="C83" s="2">
        <v>10.4</v>
      </c>
      <c r="D83" s="2">
        <v>8.5399999999999991</v>
      </c>
      <c r="E83" s="2">
        <v>9406</v>
      </c>
      <c r="F83" s="2">
        <v>69.67</v>
      </c>
      <c r="G83" s="2">
        <v>70.180000000000007</v>
      </c>
      <c r="H83" s="2">
        <v>88.85</v>
      </c>
      <c r="I83" s="2">
        <v>92.17</v>
      </c>
      <c r="J83" s="2">
        <v>2.25</v>
      </c>
      <c r="K83" s="2">
        <v>66.5</v>
      </c>
      <c r="L83" s="2">
        <v>26752468</v>
      </c>
      <c r="M83" s="2">
        <v>0</v>
      </c>
      <c r="O83" s="6">
        <f t="shared" si="17"/>
        <v>-0.25138104115677207</v>
      </c>
      <c r="P83" s="6">
        <f t="shared" si="17"/>
        <v>6.3455528839769404E-2</v>
      </c>
      <c r="Q83" s="6">
        <f t="shared" si="18"/>
        <v>-0.33847412713758857</v>
      </c>
      <c r="R83" s="6">
        <f t="shared" si="19"/>
        <v>-3.9559682816493649E-2</v>
      </c>
      <c r="S83" s="6">
        <f t="shared" si="20"/>
        <v>0.15190886257692218</v>
      </c>
      <c r="T83" s="6">
        <f t="shared" si="21"/>
        <v>0.62738856682466804</v>
      </c>
      <c r="U83" s="6">
        <f t="shared" si="22"/>
        <v>0.44837538297986518</v>
      </c>
      <c r="V83" s="6">
        <f t="shared" si="23"/>
        <v>-1.0664631417241293</v>
      </c>
      <c r="W83" s="6">
        <f t="shared" si="24"/>
        <v>-0.46390794560628812</v>
      </c>
      <c r="X83" s="6">
        <f t="shared" si="25"/>
        <v>0.10005350699294799</v>
      </c>
    </row>
    <row r="84" spans="1:24" x14ac:dyDescent="0.35">
      <c r="A84" s="2" t="s">
        <v>90</v>
      </c>
      <c r="B84" s="2" t="s">
        <v>98</v>
      </c>
      <c r="C84" s="2">
        <v>6.64</v>
      </c>
      <c r="D84" s="2">
        <v>9.6999999999999993</v>
      </c>
      <c r="E84" s="2">
        <v>11415</v>
      </c>
      <c r="F84" s="2">
        <v>73.58</v>
      </c>
      <c r="G84" s="2">
        <v>71.239999999999995</v>
      </c>
      <c r="H84" s="2">
        <v>90.34</v>
      </c>
      <c r="I84" s="2">
        <v>93.26</v>
      </c>
      <c r="J84" s="2">
        <v>6.63</v>
      </c>
      <c r="K84" s="2">
        <v>66.760000000000005</v>
      </c>
      <c r="L84" s="2">
        <v>74229737</v>
      </c>
      <c r="M84" s="2">
        <v>0</v>
      </c>
      <c r="O84" s="6">
        <f t="shared" si="17"/>
        <v>-0.75598122331425388</v>
      </c>
      <c r="P84" s="6">
        <f t="shared" si="17"/>
        <v>0.77543754832460776</v>
      </c>
      <c r="Q84" s="6">
        <f t="shared" si="18"/>
        <v>0.40162540343491632</v>
      </c>
      <c r="R84" s="6">
        <f t="shared" si="19"/>
        <v>0.56283974848848439</v>
      </c>
      <c r="S84" s="6">
        <f t="shared" si="20"/>
        <v>0.45968078242820004</v>
      </c>
      <c r="T84" s="6">
        <f t="shared" si="21"/>
        <v>0.70764509273324305</v>
      </c>
      <c r="U84" s="6">
        <f t="shared" si="22"/>
        <v>0.51786242976847185</v>
      </c>
      <c r="V84" s="6">
        <f t="shared" si="23"/>
        <v>0.59615236449877185</v>
      </c>
      <c r="W84" s="6">
        <f t="shared" si="24"/>
        <v>-0.42322051551642675</v>
      </c>
      <c r="X84" s="6">
        <f t="shared" si="25"/>
        <v>1.0920919066446158</v>
      </c>
    </row>
    <row r="85" spans="1:24" x14ac:dyDescent="0.35">
      <c r="A85" s="2" t="s">
        <v>90</v>
      </c>
      <c r="B85" s="2" t="s">
        <v>99</v>
      </c>
      <c r="C85" s="2">
        <v>7.18</v>
      </c>
      <c r="D85" s="2">
        <v>8.26</v>
      </c>
      <c r="E85" s="2">
        <v>9417</v>
      </c>
      <c r="F85" s="2">
        <v>69.34</v>
      </c>
      <c r="G85" s="2">
        <v>70.39</v>
      </c>
      <c r="H85" s="2">
        <v>73.94</v>
      </c>
      <c r="I85" s="2">
        <v>87.52</v>
      </c>
      <c r="J85" s="2">
        <v>3.25</v>
      </c>
      <c r="K85" s="2">
        <v>60.74</v>
      </c>
      <c r="L85" s="2">
        <v>46761280</v>
      </c>
      <c r="M85" s="2">
        <v>0</v>
      </c>
      <c r="O85" s="6">
        <f t="shared" si="17"/>
        <v>-0.68351204821716871</v>
      </c>
      <c r="P85" s="6">
        <f t="shared" si="17"/>
        <v>-0.10840220000139807</v>
      </c>
      <c r="Q85" s="6">
        <f t="shared" si="18"/>
        <v>-0.33442181512350316</v>
      </c>
      <c r="R85" s="6">
        <f t="shared" si="19"/>
        <v>-9.0401578553230708E-2</v>
      </c>
      <c r="S85" s="6">
        <f t="shared" si="20"/>
        <v>0.21288254481160818</v>
      </c>
      <c r="T85" s="6">
        <f t="shared" si="21"/>
        <v>-0.17571532666314796</v>
      </c>
      <c r="U85" s="6">
        <f t="shared" si="22"/>
        <v>0.15193981640461729</v>
      </c>
      <c r="V85" s="6">
        <f t="shared" si="23"/>
        <v>-0.68687056039469974</v>
      </c>
      <c r="W85" s="6">
        <f t="shared" si="24"/>
        <v>-1.3652910122124293</v>
      </c>
      <c r="X85" s="6">
        <f t="shared" si="25"/>
        <v>0.51813799781340963</v>
      </c>
    </row>
    <row r="86" spans="1:24" x14ac:dyDescent="0.35">
      <c r="A86" s="2" t="s">
        <v>90</v>
      </c>
      <c r="B86" s="2" t="s">
        <v>100</v>
      </c>
      <c r="C86" s="2">
        <v>25.68</v>
      </c>
      <c r="D86" s="2">
        <v>7.84</v>
      </c>
      <c r="E86" s="2">
        <v>7780</v>
      </c>
      <c r="F86" s="2">
        <v>65.7</v>
      </c>
      <c r="G86" s="2">
        <v>67.78</v>
      </c>
      <c r="H86" s="2">
        <v>55.98</v>
      </c>
      <c r="I86" s="2">
        <v>88.69</v>
      </c>
      <c r="J86" s="2">
        <v>4.43</v>
      </c>
      <c r="K86" s="2">
        <v>65.599999999999994</v>
      </c>
      <c r="L86" s="2">
        <v>13008808</v>
      </c>
      <c r="M86" s="2">
        <v>1</v>
      </c>
      <c r="O86" s="6">
        <f t="shared" si="17"/>
        <v>1.7992282097385259</v>
      </c>
      <c r="P86" s="6">
        <f t="shared" si="17"/>
        <v>-0.36618879326314979</v>
      </c>
      <c r="Q86" s="6">
        <f t="shared" si="18"/>
        <v>-0.93747952121966571</v>
      </c>
      <c r="R86" s="6">
        <f t="shared" si="19"/>
        <v>-0.65120309516451513</v>
      </c>
      <c r="S86" s="6">
        <f t="shared" si="20"/>
        <v>-0.54493322010522594</v>
      </c>
      <c r="T86" s="6">
        <f t="shared" si="21"/>
        <v>-1.1431027127826101</v>
      </c>
      <c r="U86" s="6">
        <f t="shared" si="22"/>
        <v>0.22652682993000228</v>
      </c>
      <c r="V86" s="6">
        <f t="shared" si="23"/>
        <v>-0.23895131442597306</v>
      </c>
      <c r="W86" s="6">
        <f t="shared" si="24"/>
        <v>-0.60474904976349864</v>
      </c>
      <c r="X86" s="6">
        <f t="shared" si="25"/>
        <v>-0.18712051878677075</v>
      </c>
    </row>
    <row r="87" spans="1:24" x14ac:dyDescent="0.35">
      <c r="A87" s="2" t="s">
        <v>90</v>
      </c>
      <c r="B87" s="2" t="s">
        <v>101</v>
      </c>
      <c r="C87" s="2">
        <v>2.83</v>
      </c>
      <c r="D87" s="2">
        <v>11.92</v>
      </c>
      <c r="E87" s="2">
        <v>14360</v>
      </c>
      <c r="F87" s="2">
        <v>81.58</v>
      </c>
      <c r="G87" s="2">
        <v>72.41</v>
      </c>
      <c r="H87" s="2">
        <v>96.28</v>
      </c>
      <c r="I87" s="2">
        <v>98.76</v>
      </c>
      <c r="J87" s="2">
        <v>8.2899999999999991</v>
      </c>
      <c r="K87" s="2">
        <v>61.61</v>
      </c>
      <c r="L87" s="2">
        <v>72619083</v>
      </c>
      <c r="M87" s="2">
        <v>0</v>
      </c>
      <c r="O87" s="6">
        <f t="shared" si="17"/>
        <v>-1.2672915142770214</v>
      </c>
      <c r="P87" s="6">
        <f t="shared" si="17"/>
        <v>2.1380238269938676</v>
      </c>
      <c r="Q87" s="6">
        <f t="shared" si="18"/>
        <v>1.4865398472059601</v>
      </c>
      <c r="R87" s="6">
        <f t="shared" si="19"/>
        <v>1.7953705542275709</v>
      </c>
      <c r="S87" s="6">
        <f t="shared" si="20"/>
        <v>0.79939129773574702</v>
      </c>
      <c r="T87" s="6">
        <f t="shared" si="21"/>
        <v>1.0275939275633992</v>
      </c>
      <c r="U87" s="6">
        <f t="shared" si="22"/>
        <v>0.86848514292199042</v>
      </c>
      <c r="V87" s="6">
        <f t="shared" si="23"/>
        <v>1.2262760495056246</v>
      </c>
      <c r="W87" s="6">
        <f t="shared" si="24"/>
        <v>-1.2291446115271272</v>
      </c>
      <c r="X87" s="6">
        <f t="shared" si="25"/>
        <v>1.0584372620071461</v>
      </c>
    </row>
    <row r="88" spans="1:24" x14ac:dyDescent="0.35">
      <c r="A88" s="2" t="s">
        <v>90</v>
      </c>
      <c r="B88" s="2" t="s">
        <v>102</v>
      </c>
      <c r="C88" s="2">
        <v>3.42</v>
      </c>
      <c r="D88" s="2">
        <v>10.14</v>
      </c>
      <c r="E88" s="2">
        <v>11818</v>
      </c>
      <c r="F88" s="2">
        <v>74.75</v>
      </c>
      <c r="G88" s="2">
        <v>70.98</v>
      </c>
      <c r="H88" s="2">
        <v>97.03</v>
      </c>
      <c r="I88" s="2">
        <v>92.86</v>
      </c>
      <c r="J88" s="2">
        <v>6.29</v>
      </c>
      <c r="K88" s="2">
        <v>64.91</v>
      </c>
      <c r="L88" s="2">
        <v>26068578</v>
      </c>
      <c r="M88" s="2">
        <v>0</v>
      </c>
      <c r="O88" s="6">
        <f t="shared" si="17"/>
        <v>-1.1881122303746505</v>
      </c>
      <c r="P88" s="6">
        <f t="shared" si="17"/>
        <v>1.0454996936464438</v>
      </c>
      <c r="Q88" s="6">
        <f t="shared" si="18"/>
        <v>0.55008737995095391</v>
      </c>
      <c r="R88" s="6">
        <f t="shared" si="19"/>
        <v>0.74309737882782601</v>
      </c>
      <c r="S88" s="6">
        <f t="shared" si="20"/>
        <v>0.3841895568043035</v>
      </c>
      <c r="T88" s="6">
        <f t="shared" si="21"/>
        <v>1.0679915077187219</v>
      </c>
      <c r="U88" s="6">
        <f t="shared" si="22"/>
        <v>0.49236259608457922</v>
      </c>
      <c r="V88" s="6">
        <f t="shared" si="23"/>
        <v>0.46709088684676592</v>
      </c>
      <c r="W88" s="6">
        <f t="shared" si="24"/>
        <v>-0.71272722961735901</v>
      </c>
      <c r="X88" s="6">
        <f t="shared" si="25"/>
        <v>8.5763612998881494E-2</v>
      </c>
    </row>
    <row r="89" spans="1:24" x14ac:dyDescent="0.35">
      <c r="A89" s="2" t="s">
        <v>103</v>
      </c>
      <c r="B89" s="2" t="s">
        <v>104</v>
      </c>
      <c r="C89" s="2">
        <v>7.71</v>
      </c>
      <c r="D89" s="2">
        <v>8.56</v>
      </c>
      <c r="E89" s="2">
        <v>10184</v>
      </c>
      <c r="F89" s="2">
        <v>71.45</v>
      </c>
      <c r="G89" s="2">
        <v>70</v>
      </c>
      <c r="H89" s="2">
        <v>66.319999999999993</v>
      </c>
      <c r="I89" s="2">
        <v>74.59</v>
      </c>
      <c r="J89" s="2">
        <v>2.3199999999999998</v>
      </c>
      <c r="K89" s="2">
        <v>70.900000000000006</v>
      </c>
      <c r="L89" s="2">
        <v>6844238</v>
      </c>
      <c r="M89" s="2">
        <v>0</v>
      </c>
      <c r="O89" s="6">
        <f t="shared" si="17"/>
        <v>-0.61238489488114067</v>
      </c>
      <c r="P89" s="6">
        <f t="shared" si="17"/>
        <v>7.5731080899853642E-2</v>
      </c>
      <c r="Q89" s="6">
        <f t="shared" si="18"/>
        <v>-5.1865150141367167E-2</v>
      </c>
      <c r="R89" s="6">
        <f t="shared" si="19"/>
        <v>0.23467842146045328</v>
      </c>
      <c r="S89" s="6">
        <f t="shared" si="20"/>
        <v>9.9645706375759216E-2</v>
      </c>
      <c r="T89" s="6">
        <f t="shared" si="21"/>
        <v>-0.58615474104122733</v>
      </c>
      <c r="U89" s="6">
        <f t="shared" si="22"/>
        <v>-0.67234230742719958</v>
      </c>
      <c r="V89" s="6">
        <f t="shared" si="23"/>
        <v>-1.0398916610310691</v>
      </c>
      <c r="W89" s="6">
        <f t="shared" si="24"/>
        <v>0.22464856360673757</v>
      </c>
      <c r="X89" s="6">
        <f t="shared" si="25"/>
        <v>-0.31592932110732297</v>
      </c>
    </row>
    <row r="90" spans="1:24" x14ac:dyDescent="0.35">
      <c r="A90" s="2" t="s">
        <v>103</v>
      </c>
      <c r="B90" s="2" t="s">
        <v>105</v>
      </c>
      <c r="C90" s="2">
        <v>9.11</v>
      </c>
      <c r="D90" s="2">
        <v>7.9</v>
      </c>
      <c r="E90" s="2">
        <v>10380</v>
      </c>
      <c r="F90" s="2">
        <v>69.53</v>
      </c>
      <c r="G90" s="2">
        <v>71.290000000000006</v>
      </c>
      <c r="H90" s="2">
        <v>71.069999999999993</v>
      </c>
      <c r="I90" s="2">
        <v>68.91</v>
      </c>
      <c r="J90" s="2">
        <v>4.83</v>
      </c>
      <c r="K90" s="2">
        <v>69.849999999999994</v>
      </c>
      <c r="L90" s="2">
        <v>10371678</v>
      </c>
      <c r="M90" s="2">
        <v>0</v>
      </c>
      <c r="O90" s="6">
        <f t="shared" si="17"/>
        <v>-0.42450184833314225</v>
      </c>
      <c r="P90" s="6">
        <f t="shared" si="17"/>
        <v>-0.32936213708289924</v>
      </c>
      <c r="Q90" s="6">
        <f t="shared" si="18"/>
        <v>2.0339682109608917E-2</v>
      </c>
      <c r="R90" s="6">
        <f t="shared" si="19"/>
        <v>-6.1128971916927753E-2</v>
      </c>
      <c r="S90" s="6">
        <f t="shared" si="20"/>
        <v>0.47419832581741478</v>
      </c>
      <c r="T90" s="6">
        <f t="shared" si="21"/>
        <v>-0.33030340005751657</v>
      </c>
      <c r="U90" s="6">
        <f t="shared" si="22"/>
        <v>-1.0344399457384701</v>
      </c>
      <c r="V90" s="6">
        <f t="shared" si="23"/>
        <v>-8.7114281894201118E-2</v>
      </c>
      <c r="W90" s="6">
        <f t="shared" si="24"/>
        <v>6.0333942089991231E-2</v>
      </c>
      <c r="X90" s="6">
        <f t="shared" si="25"/>
        <v>-0.24222339812200383</v>
      </c>
    </row>
    <row r="91" spans="1:24" x14ac:dyDescent="0.35">
      <c r="A91" s="2" t="s">
        <v>103</v>
      </c>
      <c r="B91" s="2" t="s">
        <v>106</v>
      </c>
      <c r="C91" s="2">
        <v>8.8699999999999992</v>
      </c>
      <c r="D91" s="2">
        <v>8.0399999999999991</v>
      </c>
      <c r="E91" s="2">
        <v>11792</v>
      </c>
      <c r="F91" s="2">
        <v>70.25</v>
      </c>
      <c r="G91" s="2">
        <v>69.209999999999994</v>
      </c>
      <c r="H91" s="2">
        <v>76.03</v>
      </c>
      <c r="I91" s="2">
        <v>69.959999999999994</v>
      </c>
      <c r="J91" s="2">
        <v>5.52</v>
      </c>
      <c r="K91" s="2">
        <v>64.86</v>
      </c>
      <c r="L91" s="2">
        <v>11397733</v>
      </c>
      <c r="M91" s="2">
        <v>0</v>
      </c>
      <c r="O91" s="6">
        <f t="shared" si="17"/>
        <v>-0.45671037059851349</v>
      </c>
      <c r="P91" s="6">
        <f t="shared" si="17"/>
        <v>-0.24343327266231607</v>
      </c>
      <c r="Q91" s="6">
        <f t="shared" si="18"/>
        <v>0.54050918791766112</v>
      </c>
      <c r="R91" s="6">
        <f t="shared" si="19"/>
        <v>4.9798800599589861E-2</v>
      </c>
      <c r="S91" s="6">
        <f t="shared" si="20"/>
        <v>-0.12973147917378247</v>
      </c>
      <c r="T91" s="6">
        <f t="shared" si="21"/>
        <v>-6.3140736630315067E-2</v>
      </c>
      <c r="U91" s="6">
        <f t="shared" si="22"/>
        <v>-0.9675028823182531</v>
      </c>
      <c r="V91" s="6">
        <f t="shared" si="23"/>
        <v>0.17480459922310504</v>
      </c>
      <c r="W91" s="6">
        <f t="shared" si="24"/>
        <v>-0.72055173540387019</v>
      </c>
      <c r="X91" s="6">
        <f t="shared" si="25"/>
        <v>-0.22078396022690097</v>
      </c>
    </row>
    <row r="92" spans="1:24" x14ac:dyDescent="0.35">
      <c r="A92" s="2" t="s">
        <v>103</v>
      </c>
      <c r="B92" s="2" t="s">
        <v>107</v>
      </c>
      <c r="C92" s="2">
        <v>10.050000000000001</v>
      </c>
      <c r="D92" s="2">
        <v>8.1199999999999992</v>
      </c>
      <c r="E92" s="2">
        <v>10032</v>
      </c>
      <c r="F92" s="2">
        <v>70.11</v>
      </c>
      <c r="G92" s="2">
        <v>70.64</v>
      </c>
      <c r="H92" s="2">
        <v>79.680000000000007</v>
      </c>
      <c r="I92" s="2">
        <v>73.08</v>
      </c>
      <c r="J92" s="2">
        <v>4.26</v>
      </c>
      <c r="K92" s="2">
        <v>68.81</v>
      </c>
      <c r="L92" s="2">
        <v>12221193</v>
      </c>
      <c r="M92" s="2">
        <v>0</v>
      </c>
      <c r="O92" s="6">
        <f t="shared" si="17"/>
        <v>-0.29835180279377166</v>
      </c>
      <c r="P92" s="6">
        <f t="shared" si="17"/>
        <v>-0.19433106442198234</v>
      </c>
      <c r="Q92" s="6">
        <f t="shared" si="18"/>
        <v>-0.10786073433600168</v>
      </c>
      <c r="R92" s="6">
        <f t="shared" si="19"/>
        <v>2.8229511499155757E-2</v>
      </c>
      <c r="S92" s="6">
        <f t="shared" si="20"/>
        <v>0.2854702617576651</v>
      </c>
      <c r="T92" s="6">
        <f t="shared" si="21"/>
        <v>0.13346082012558927</v>
      </c>
      <c r="U92" s="6">
        <f t="shared" si="22"/>
        <v>-0.76860417958389315</v>
      </c>
      <c r="V92" s="6">
        <f t="shared" si="23"/>
        <v>-0.30348205325197602</v>
      </c>
      <c r="W92" s="6">
        <f t="shared" si="24"/>
        <v>-0.10241577826944974</v>
      </c>
      <c r="X92" s="6">
        <f t="shared" si="25"/>
        <v>-0.20357774854321795</v>
      </c>
    </row>
    <row r="93" spans="1:24" x14ac:dyDescent="0.35">
      <c r="A93" s="2" t="s">
        <v>103</v>
      </c>
      <c r="B93" s="2" t="s">
        <v>108</v>
      </c>
      <c r="C93" s="2">
        <v>4.53</v>
      </c>
      <c r="D93" s="2">
        <v>8.58</v>
      </c>
      <c r="E93" s="2">
        <v>8825</v>
      </c>
      <c r="F93" s="2">
        <v>69.55</v>
      </c>
      <c r="G93" s="2">
        <v>71.319999999999993</v>
      </c>
      <c r="H93" s="2">
        <v>89.17</v>
      </c>
      <c r="I93" s="2">
        <v>80.66</v>
      </c>
      <c r="J93" s="2">
        <v>5.59</v>
      </c>
      <c r="K93" s="2">
        <v>62.78</v>
      </c>
      <c r="L93" s="2">
        <v>16847013</v>
      </c>
      <c r="M93" s="2">
        <v>0</v>
      </c>
      <c r="O93" s="6">
        <f t="shared" si="17"/>
        <v>-1.0391478148973088</v>
      </c>
      <c r="P93" s="6">
        <f t="shared" si="17"/>
        <v>8.8006632959936798E-2</v>
      </c>
      <c r="Q93" s="6">
        <f t="shared" si="18"/>
        <v>-0.55250987988155342</v>
      </c>
      <c r="R93" s="6">
        <f t="shared" si="19"/>
        <v>-5.8047644902580652E-2</v>
      </c>
      <c r="S93" s="6">
        <f t="shared" si="20"/>
        <v>0.48290885185093779</v>
      </c>
      <c r="T93" s="6">
        <f t="shared" si="21"/>
        <v>0.64462486769093952</v>
      </c>
      <c r="U93" s="6">
        <f t="shared" si="22"/>
        <v>-0.28538233127413493</v>
      </c>
      <c r="V93" s="6">
        <f t="shared" si="23"/>
        <v>0.20137607991616521</v>
      </c>
      <c r="W93" s="6">
        <f t="shared" si="24"/>
        <v>-1.0460511761227544</v>
      </c>
      <c r="X93" s="6">
        <f t="shared" si="25"/>
        <v>-0.10692115547176984</v>
      </c>
    </row>
    <row r="94" spans="1:24" x14ac:dyDescent="0.35">
      <c r="A94" s="2" t="s">
        <v>103</v>
      </c>
      <c r="B94" s="2" t="s">
        <v>109</v>
      </c>
      <c r="C94" s="2">
        <v>11.39</v>
      </c>
      <c r="D94" s="2">
        <v>6.92</v>
      </c>
      <c r="E94" s="2">
        <v>9163</v>
      </c>
      <c r="F94" s="2">
        <v>64.91</v>
      </c>
      <c r="G94" s="2">
        <v>66.34</v>
      </c>
      <c r="H94" s="2">
        <v>70.27</v>
      </c>
      <c r="I94" s="2">
        <v>85.91</v>
      </c>
      <c r="J94" s="2">
        <v>1.56</v>
      </c>
      <c r="K94" s="2">
        <v>71.22</v>
      </c>
      <c r="L94" s="2">
        <v>17284926</v>
      </c>
      <c r="M94" s="2">
        <v>0</v>
      </c>
      <c r="O94" s="6">
        <f t="shared" si="17"/>
        <v>-0.11852088681211596</v>
      </c>
      <c r="P94" s="6">
        <f t="shared" si="17"/>
        <v>-0.93086418802698701</v>
      </c>
      <c r="Q94" s="6">
        <f t="shared" si="18"/>
        <v>-0.42799338344874771</v>
      </c>
      <c r="R94" s="6">
        <f t="shared" si="19"/>
        <v>-0.77291551223125099</v>
      </c>
      <c r="S94" s="6">
        <f t="shared" si="20"/>
        <v>-0.96303846971451312</v>
      </c>
      <c r="T94" s="6">
        <f t="shared" si="21"/>
        <v>-0.37339415222319405</v>
      </c>
      <c r="U94" s="6">
        <f t="shared" si="22"/>
        <v>4.9302985826950987E-2</v>
      </c>
      <c r="V94" s="6">
        <f t="shared" si="23"/>
        <v>-1.3283820228414356</v>
      </c>
      <c r="W94" s="6">
        <f t="shared" si="24"/>
        <v>0.27472540064041101</v>
      </c>
      <c r="X94" s="6">
        <f t="shared" si="25"/>
        <v>-9.7770955368502291E-2</v>
      </c>
    </row>
    <row r="95" spans="1:24" x14ac:dyDescent="0.35">
      <c r="A95" s="2" t="s">
        <v>103</v>
      </c>
      <c r="B95" s="2" t="s">
        <v>110</v>
      </c>
      <c r="C95" s="2">
        <v>10.75</v>
      </c>
      <c r="D95" s="2">
        <v>8</v>
      </c>
      <c r="E95" s="2">
        <v>9699</v>
      </c>
      <c r="F95" s="2">
        <v>68.16</v>
      </c>
      <c r="G95" s="2">
        <v>68.17</v>
      </c>
      <c r="H95" s="2">
        <v>81.89</v>
      </c>
      <c r="I95" s="2">
        <v>91.76</v>
      </c>
      <c r="J95" s="2">
        <v>2.5299999999999998</v>
      </c>
      <c r="K95" s="2">
        <v>73.89</v>
      </c>
      <c r="L95" s="2">
        <v>30976199</v>
      </c>
      <c r="M95" s="2">
        <v>0</v>
      </c>
      <c r="O95" s="6">
        <f t="shared" si="17"/>
        <v>-0.2044102795197725</v>
      </c>
      <c r="P95" s="6">
        <f t="shared" si="17"/>
        <v>-0.26798437678248238</v>
      </c>
      <c r="Q95" s="6">
        <f t="shared" si="18"/>
        <v>-0.23053527076240493</v>
      </c>
      <c r="R95" s="6">
        <f t="shared" si="19"/>
        <v>-0.27219987239974702</v>
      </c>
      <c r="S95" s="6">
        <f t="shared" si="20"/>
        <v>-0.43169638166937696</v>
      </c>
      <c r="T95" s="6">
        <f t="shared" si="21"/>
        <v>0.25249902298327331</v>
      </c>
      <c r="U95" s="6">
        <f t="shared" si="22"/>
        <v>0.42223805345387583</v>
      </c>
      <c r="V95" s="6">
        <f t="shared" si="23"/>
        <v>-0.96017721895188901</v>
      </c>
      <c r="W95" s="6">
        <f t="shared" si="24"/>
        <v>0.69255400964013314</v>
      </c>
      <c r="X95" s="6">
        <f t="shared" si="25"/>
        <v>0.18830844309298225</v>
      </c>
    </row>
    <row r="96" spans="1:24" x14ac:dyDescent="0.35">
      <c r="A96" s="2" t="s">
        <v>103</v>
      </c>
      <c r="B96" s="2" t="s">
        <v>111</v>
      </c>
      <c r="C96" s="2">
        <v>6.68</v>
      </c>
      <c r="D96" s="2">
        <v>7.59</v>
      </c>
      <c r="E96" s="2">
        <v>10546</v>
      </c>
      <c r="F96" s="2">
        <v>69.349999999999994</v>
      </c>
      <c r="G96" s="2">
        <v>70.02</v>
      </c>
      <c r="H96" s="2">
        <v>83.38</v>
      </c>
      <c r="I96" s="2">
        <v>69.97</v>
      </c>
      <c r="J96" s="2">
        <v>2.83</v>
      </c>
      <c r="K96" s="2">
        <v>70.650000000000006</v>
      </c>
      <c r="L96" s="2">
        <v>10597493</v>
      </c>
      <c r="M96" s="2">
        <v>0</v>
      </c>
      <c r="O96" s="6">
        <f t="shared" si="17"/>
        <v>-0.75061313627002535</v>
      </c>
      <c r="P96" s="6">
        <f t="shared" si="17"/>
        <v>-0.5196331940141925</v>
      </c>
      <c r="Q96" s="6">
        <f t="shared" si="18"/>
        <v>8.1492754322170291E-2</v>
      </c>
      <c r="R96" s="6">
        <f t="shared" si="19"/>
        <v>-8.8860915046058253E-2</v>
      </c>
      <c r="S96" s="6">
        <f t="shared" si="20"/>
        <v>0.10545272373144261</v>
      </c>
      <c r="T96" s="6">
        <f t="shared" si="21"/>
        <v>0.33275554889184755</v>
      </c>
      <c r="U96" s="6">
        <f t="shared" si="22"/>
        <v>-0.9668653864761555</v>
      </c>
      <c r="V96" s="6">
        <f t="shared" si="23"/>
        <v>-0.84629944455306005</v>
      </c>
      <c r="W96" s="6">
        <f t="shared" si="24"/>
        <v>0.18552603467417933</v>
      </c>
      <c r="X96" s="6">
        <f t="shared" si="25"/>
        <v>-0.23750498958807276</v>
      </c>
    </row>
    <row r="97" spans="1:24" x14ac:dyDescent="0.35">
      <c r="A97" s="2" t="s">
        <v>103</v>
      </c>
      <c r="B97" s="2" t="s">
        <v>112</v>
      </c>
      <c r="C97" s="2">
        <v>6.23</v>
      </c>
      <c r="D97" s="2">
        <v>8.2799999999999994</v>
      </c>
      <c r="E97" s="2">
        <v>11670</v>
      </c>
      <c r="F97" s="2">
        <v>70.150000000000006</v>
      </c>
      <c r="G97" s="2">
        <v>67.83</v>
      </c>
      <c r="H97" s="2">
        <v>77.58</v>
      </c>
      <c r="I97" s="2">
        <v>73.63</v>
      </c>
      <c r="J97" s="2">
        <v>5.86</v>
      </c>
      <c r="K97" s="2">
        <v>63.58</v>
      </c>
      <c r="L97" s="2">
        <v>13133523</v>
      </c>
      <c r="M97" s="2">
        <v>0</v>
      </c>
      <c r="O97" s="6">
        <f t="shared" si="17"/>
        <v>-0.81100411551759621</v>
      </c>
      <c r="P97" s="6">
        <f t="shared" si="17"/>
        <v>-9.6126647941314911E-2</v>
      </c>
      <c r="Q97" s="6">
        <f t="shared" si="18"/>
        <v>0.49556536376144134</v>
      </c>
      <c r="R97" s="6">
        <f t="shared" si="19"/>
        <v>3.4392165527852153E-2</v>
      </c>
      <c r="S97" s="6">
        <f t="shared" si="20"/>
        <v>-0.53041567671601542</v>
      </c>
      <c r="T97" s="6">
        <f t="shared" si="21"/>
        <v>2.0347595690685127E-2</v>
      </c>
      <c r="U97" s="6">
        <f t="shared" si="22"/>
        <v>-0.73354190826854149</v>
      </c>
      <c r="V97" s="6">
        <f t="shared" si="23"/>
        <v>0.30386607687511136</v>
      </c>
      <c r="W97" s="6">
        <f t="shared" si="24"/>
        <v>-0.92085908353856849</v>
      </c>
      <c r="X97" s="6">
        <f t="shared" si="25"/>
        <v>-0.18451459659245587</v>
      </c>
    </row>
    <row r="98" spans="1:24" x14ac:dyDescent="0.35">
      <c r="A98" s="2" t="s">
        <v>103</v>
      </c>
      <c r="B98" s="2" t="s">
        <v>113</v>
      </c>
      <c r="C98" s="2">
        <v>9.02</v>
      </c>
      <c r="D98" s="2">
        <v>11.2</v>
      </c>
      <c r="E98" s="2">
        <v>12240</v>
      </c>
      <c r="F98" s="2">
        <v>79.12</v>
      </c>
      <c r="G98" s="2">
        <v>72.709999999999994</v>
      </c>
      <c r="H98" s="2">
        <v>93.22</v>
      </c>
      <c r="I98" s="2">
        <v>95.83</v>
      </c>
      <c r="J98" s="2">
        <v>10.66</v>
      </c>
      <c r="K98" s="2">
        <v>63.12</v>
      </c>
      <c r="L98" s="2">
        <v>19515486</v>
      </c>
      <c r="M98" s="2">
        <v>0</v>
      </c>
      <c r="O98" s="6">
        <f t="shared" si="17"/>
        <v>-0.43658004418265645</v>
      </c>
      <c r="P98" s="6">
        <f t="shared" si="17"/>
        <v>1.6961039528308641</v>
      </c>
      <c r="Q98" s="6">
        <f t="shared" si="18"/>
        <v>0.70554880449132074</v>
      </c>
      <c r="R98" s="6">
        <f t="shared" si="19"/>
        <v>1.4163673314628027</v>
      </c>
      <c r="S98" s="6">
        <f t="shared" si="20"/>
        <v>0.88649655807101446</v>
      </c>
      <c r="T98" s="6">
        <f t="shared" si="21"/>
        <v>0.86277180052968216</v>
      </c>
      <c r="U98" s="6">
        <f t="shared" si="22"/>
        <v>0.68169886118747913</v>
      </c>
      <c r="V98" s="6">
        <f t="shared" si="23"/>
        <v>2.1259104672563729</v>
      </c>
      <c r="W98" s="6">
        <f t="shared" si="24"/>
        <v>-0.99284453677447571</v>
      </c>
      <c r="X98" s="6">
        <f t="shared" si="25"/>
        <v>-5.1163363581219333E-2</v>
      </c>
    </row>
    <row r="99" spans="1:24" x14ac:dyDescent="0.35">
      <c r="A99" s="2" t="s">
        <v>103</v>
      </c>
      <c r="B99" s="2" t="s">
        <v>114</v>
      </c>
      <c r="C99" s="2">
        <v>3.41</v>
      </c>
      <c r="D99" s="2">
        <v>10.33</v>
      </c>
      <c r="E99" s="2">
        <v>10454</v>
      </c>
      <c r="F99" s="2">
        <v>75.7</v>
      </c>
      <c r="G99" s="2">
        <v>72.209999999999994</v>
      </c>
      <c r="H99" s="2">
        <v>74.040000000000006</v>
      </c>
      <c r="I99" s="2">
        <v>90.55</v>
      </c>
      <c r="J99" s="2">
        <v>3</v>
      </c>
      <c r="K99" s="2">
        <v>64.92</v>
      </c>
      <c r="L99" s="2">
        <v>4768840</v>
      </c>
      <c r="M99" s="2">
        <v>0</v>
      </c>
      <c r="O99" s="6">
        <f t="shared" si="17"/>
        <v>-1.1894542521357077</v>
      </c>
      <c r="P99" s="6">
        <f t="shared" si="17"/>
        <v>1.1621174382172359</v>
      </c>
      <c r="Q99" s="6">
        <f t="shared" si="18"/>
        <v>4.7600690204365192E-2</v>
      </c>
      <c r="R99" s="6">
        <f t="shared" si="19"/>
        <v>0.889460412009343</v>
      </c>
      <c r="S99" s="6">
        <f t="shared" si="20"/>
        <v>0.74132112417890061</v>
      </c>
      <c r="T99" s="6">
        <f t="shared" si="21"/>
        <v>-0.17032898264243782</v>
      </c>
      <c r="U99" s="6">
        <f t="shared" si="22"/>
        <v>0.34510105656010126</v>
      </c>
      <c r="V99" s="6">
        <f t="shared" si="23"/>
        <v>-0.78176870572705714</v>
      </c>
      <c r="W99" s="6">
        <f t="shared" si="24"/>
        <v>-0.71116232846005589</v>
      </c>
      <c r="X99" s="6">
        <f t="shared" si="25"/>
        <v>-0.35929480008127723</v>
      </c>
    </row>
    <row r="100" spans="1:24" x14ac:dyDescent="0.35">
      <c r="A100" s="2" t="s">
        <v>115</v>
      </c>
      <c r="B100" s="2" t="s">
        <v>116</v>
      </c>
      <c r="C100" s="2">
        <v>12.62</v>
      </c>
      <c r="D100" s="2">
        <v>8.7100000000000009</v>
      </c>
      <c r="E100" s="2">
        <v>10040</v>
      </c>
      <c r="F100" s="2">
        <v>69.599999999999994</v>
      </c>
      <c r="G100" s="2">
        <v>68.239999999999995</v>
      </c>
      <c r="H100" s="2">
        <v>82.72</v>
      </c>
      <c r="I100" s="2">
        <v>81.78</v>
      </c>
      <c r="J100" s="2">
        <v>4.57</v>
      </c>
      <c r="K100" s="2">
        <v>69.959999999999994</v>
      </c>
      <c r="L100" s="2">
        <v>10114558</v>
      </c>
      <c r="M100" s="2">
        <v>0</v>
      </c>
      <c r="O100" s="6">
        <f t="shared" si="17"/>
        <v>4.6547789797911132E-2</v>
      </c>
      <c r="P100" s="6">
        <f t="shared" si="17"/>
        <v>0.16779772135047949</v>
      </c>
      <c r="Q100" s="6">
        <f t="shared" si="18"/>
        <v>-0.10491359832575776</v>
      </c>
      <c r="R100" s="6">
        <f t="shared" si="19"/>
        <v>-5.0344327366711801E-2</v>
      </c>
      <c r="S100" s="6">
        <f t="shared" si="20"/>
        <v>-0.41137182092448304</v>
      </c>
      <c r="T100" s="6">
        <f t="shared" si="21"/>
        <v>0.2972056783551637</v>
      </c>
      <c r="U100" s="6">
        <f t="shared" si="22"/>
        <v>-0.2139827969592363</v>
      </c>
      <c r="V100" s="6">
        <f t="shared" si="23"/>
        <v>-0.18580835303985271</v>
      </c>
      <c r="W100" s="6">
        <f t="shared" si="24"/>
        <v>7.7547854820316758E-2</v>
      </c>
      <c r="X100" s="6">
        <f t="shared" si="25"/>
        <v>-0.24759592520056087</v>
      </c>
    </row>
    <row r="101" spans="1:24" x14ac:dyDescent="0.35">
      <c r="A101" s="2" t="s">
        <v>115</v>
      </c>
      <c r="B101" s="2" t="s">
        <v>117</v>
      </c>
      <c r="C101" s="2">
        <v>14.68</v>
      </c>
      <c r="D101" s="2">
        <v>7.05</v>
      </c>
      <c r="E101" s="2">
        <v>10755</v>
      </c>
      <c r="F101" s="2">
        <v>67.17</v>
      </c>
      <c r="G101" s="2">
        <v>68.67</v>
      </c>
      <c r="H101" s="2">
        <v>68.09</v>
      </c>
      <c r="I101" s="2">
        <v>79.02</v>
      </c>
      <c r="J101" s="2">
        <v>3.01</v>
      </c>
      <c r="K101" s="2">
        <v>69.680000000000007</v>
      </c>
      <c r="L101" s="2">
        <v>20909479</v>
      </c>
      <c r="M101" s="2">
        <v>0</v>
      </c>
      <c r="O101" s="6">
        <f t="shared" si="17"/>
        <v>0.32300427257568043</v>
      </c>
      <c r="P101" s="6">
        <f t="shared" si="17"/>
        <v>-0.85107309963644484</v>
      </c>
      <c r="Q101" s="6">
        <f t="shared" si="18"/>
        <v>0.15848668258979276</v>
      </c>
      <c r="R101" s="6">
        <f t="shared" si="19"/>
        <v>-0.42472555960995823</v>
      </c>
      <c r="S101" s="6">
        <f t="shared" si="20"/>
        <v>-0.28652094777726311</v>
      </c>
      <c r="T101" s="6">
        <f t="shared" si="21"/>
        <v>-0.49081645187466505</v>
      </c>
      <c r="U101" s="6">
        <f t="shared" si="22"/>
        <v>-0.38993164937809321</v>
      </c>
      <c r="V101" s="6">
        <f t="shared" si="23"/>
        <v>-0.7779727799137629</v>
      </c>
      <c r="W101" s="6">
        <f t="shared" si="24"/>
        <v>3.3730622415853596E-2</v>
      </c>
      <c r="X101" s="6">
        <f t="shared" si="25"/>
        <v>-2.2035854481114451E-2</v>
      </c>
    </row>
    <row r="102" spans="1:24" x14ac:dyDescent="0.35">
      <c r="A102" s="2" t="s">
        <v>115</v>
      </c>
      <c r="B102" s="2" t="s">
        <v>118</v>
      </c>
      <c r="C102" s="2">
        <v>12.32</v>
      </c>
      <c r="D102" s="2">
        <v>7.8</v>
      </c>
      <c r="E102" s="2">
        <v>10995</v>
      </c>
      <c r="F102" s="2">
        <v>68.86</v>
      </c>
      <c r="G102" s="2">
        <v>69.02</v>
      </c>
      <c r="H102" s="2">
        <v>84.35</v>
      </c>
      <c r="I102" s="2">
        <v>89.48</v>
      </c>
      <c r="J102" s="2">
        <v>5.03</v>
      </c>
      <c r="K102" s="2">
        <v>69.569999999999993</v>
      </c>
      <c r="L102" s="2">
        <v>43987266</v>
      </c>
      <c r="M102" s="2">
        <v>0</v>
      </c>
      <c r="O102" s="6">
        <f t="shared" si="17"/>
        <v>6.2871369661973075E-3</v>
      </c>
      <c r="P102" s="6">
        <f t="shared" si="17"/>
        <v>-0.39073989738331666</v>
      </c>
      <c r="Q102" s="6">
        <f t="shared" si="18"/>
        <v>0.24690076289711041</v>
      </c>
      <c r="R102" s="6">
        <f t="shared" si="19"/>
        <v>-0.16435342689757651</v>
      </c>
      <c r="S102" s="6">
        <f t="shared" si="20"/>
        <v>-0.1848981440527851</v>
      </c>
      <c r="T102" s="6">
        <f t="shared" si="21"/>
        <v>0.38500308589273158</v>
      </c>
      <c r="U102" s="6">
        <f t="shared" si="22"/>
        <v>0.2768890014556899</v>
      </c>
      <c r="V102" s="6">
        <f t="shared" si="23"/>
        <v>-1.1195765628315158E-2</v>
      </c>
      <c r="W102" s="6">
        <f t="shared" si="24"/>
        <v>1.6516709685525842E-2</v>
      </c>
      <c r="X102" s="6">
        <f t="shared" si="25"/>
        <v>0.46017492480743444</v>
      </c>
    </row>
    <row r="103" spans="1:24" x14ac:dyDescent="0.35">
      <c r="A103" s="2" t="s">
        <v>115</v>
      </c>
      <c r="B103" s="2" t="s">
        <v>119</v>
      </c>
      <c r="C103" s="2">
        <v>16.46</v>
      </c>
      <c r="D103" s="2">
        <v>8.52</v>
      </c>
      <c r="E103" s="2">
        <v>9735</v>
      </c>
      <c r="F103" s="2">
        <v>67.58</v>
      </c>
      <c r="G103" s="2">
        <v>66.16</v>
      </c>
      <c r="H103" s="2">
        <v>70.44</v>
      </c>
      <c r="I103" s="2">
        <v>81.67</v>
      </c>
      <c r="J103" s="2">
        <v>3.6</v>
      </c>
      <c r="K103" s="2">
        <v>69.540000000000006</v>
      </c>
      <c r="L103" s="2">
        <v>13002365</v>
      </c>
      <c r="M103" s="2">
        <v>0</v>
      </c>
      <c r="O103" s="6">
        <f t="shared" si="17"/>
        <v>0.56188414604385017</v>
      </c>
      <c r="P103" s="6">
        <f t="shared" si="17"/>
        <v>5.1179976779686241E-2</v>
      </c>
      <c r="Q103" s="6">
        <f t="shared" si="18"/>
        <v>-0.21727315871630729</v>
      </c>
      <c r="R103" s="6">
        <f t="shared" si="19"/>
        <v>-0.36155835581583057</v>
      </c>
      <c r="S103" s="6">
        <f t="shared" si="20"/>
        <v>-1.0153016259156762</v>
      </c>
      <c r="T103" s="6">
        <f t="shared" si="21"/>
        <v>-0.36423736738798745</v>
      </c>
      <c r="U103" s="6">
        <f t="shared" si="22"/>
        <v>-0.22099525122230665</v>
      </c>
      <c r="V103" s="6">
        <f t="shared" si="23"/>
        <v>-0.55401315692939934</v>
      </c>
      <c r="W103" s="6">
        <f t="shared" si="24"/>
        <v>1.18220062136209E-2</v>
      </c>
      <c r="X103" s="6">
        <f t="shared" si="25"/>
        <v>-0.18725514538900762</v>
      </c>
    </row>
    <row r="104" spans="1:24" x14ac:dyDescent="0.35">
      <c r="A104" s="2" t="s">
        <v>115</v>
      </c>
      <c r="B104" s="2" t="s">
        <v>120</v>
      </c>
      <c r="C104" s="2">
        <v>13.89</v>
      </c>
      <c r="D104" s="2">
        <v>7.53</v>
      </c>
      <c r="E104" s="2">
        <v>9550</v>
      </c>
      <c r="F104" s="2">
        <v>67.010000000000005</v>
      </c>
      <c r="G104" s="2">
        <v>68.260000000000005</v>
      </c>
      <c r="H104" s="2">
        <v>69.22</v>
      </c>
      <c r="I104" s="2">
        <v>83.15</v>
      </c>
      <c r="J104" s="2">
        <v>2.78</v>
      </c>
      <c r="K104" s="2">
        <v>70.53</v>
      </c>
      <c r="L104" s="2">
        <v>14032621</v>
      </c>
      <c r="M104" s="2">
        <v>0</v>
      </c>
      <c r="O104" s="6">
        <f t="shared" si="17"/>
        <v>0.21698455345216711</v>
      </c>
      <c r="P104" s="6">
        <f t="shared" si="17"/>
        <v>-0.55645985019444255</v>
      </c>
      <c r="Q104" s="6">
        <f t="shared" si="18"/>
        <v>-0.28542567895319798</v>
      </c>
      <c r="R104" s="6">
        <f t="shared" si="19"/>
        <v>-0.44937617572473942</v>
      </c>
      <c r="S104" s="6">
        <f t="shared" si="20"/>
        <v>-0.40556480356879548</v>
      </c>
      <c r="T104" s="6">
        <f t="shared" si="21"/>
        <v>-0.42995076444064573</v>
      </c>
      <c r="U104" s="6">
        <f t="shared" si="22"/>
        <v>-0.12664586659190502</v>
      </c>
      <c r="V104" s="6">
        <f t="shared" si="23"/>
        <v>-0.86527907361953171</v>
      </c>
      <c r="W104" s="6">
        <f t="shared" si="24"/>
        <v>0.16674722078655069</v>
      </c>
      <c r="X104" s="6">
        <f t="shared" si="25"/>
        <v>-0.16572792752246332</v>
      </c>
    </row>
    <row r="105" spans="1:24" x14ac:dyDescent="0.35">
      <c r="A105" s="2" t="s">
        <v>115</v>
      </c>
      <c r="B105" s="2" t="s">
        <v>121</v>
      </c>
      <c r="C105" s="2">
        <v>15.84</v>
      </c>
      <c r="D105" s="2">
        <v>7.63</v>
      </c>
      <c r="E105" s="2">
        <v>10140</v>
      </c>
      <c r="F105" s="2">
        <v>68.099999999999994</v>
      </c>
      <c r="G105" s="2">
        <v>68.84</v>
      </c>
      <c r="H105" s="2">
        <v>71.069999999999993</v>
      </c>
      <c r="I105" s="2">
        <v>79.37</v>
      </c>
      <c r="J105" s="2">
        <v>3.99</v>
      </c>
      <c r="K105" s="2">
        <v>69.180000000000007</v>
      </c>
      <c r="L105" s="2">
        <v>46128391</v>
      </c>
      <c r="M105" s="2">
        <v>0</v>
      </c>
      <c r="O105" s="6">
        <f t="shared" si="17"/>
        <v>0.47867879685830783</v>
      </c>
      <c r="P105" s="6">
        <f t="shared" si="17"/>
        <v>-0.49508208989402569</v>
      </c>
      <c r="Q105" s="6">
        <f t="shared" si="18"/>
        <v>-6.8074398197708746E-2</v>
      </c>
      <c r="R105" s="6">
        <f t="shared" si="19"/>
        <v>-0.28144385344279055</v>
      </c>
      <c r="S105" s="6">
        <f t="shared" si="20"/>
        <v>-0.23716130025394391</v>
      </c>
      <c r="T105" s="6">
        <f t="shared" si="21"/>
        <v>-0.33030340005751657</v>
      </c>
      <c r="U105" s="6">
        <f t="shared" si="22"/>
        <v>-0.36761929490468698</v>
      </c>
      <c r="V105" s="6">
        <f t="shared" si="23"/>
        <v>-0.40597205021092181</v>
      </c>
      <c r="W105" s="6">
        <f t="shared" si="24"/>
        <v>-4.4514435449262854E-2</v>
      </c>
      <c r="X105" s="6">
        <f t="shared" si="25"/>
        <v>0.50491377064235765</v>
      </c>
    </row>
    <row r="106" spans="1:24" x14ac:dyDescent="0.35">
      <c r="A106" s="2" t="s">
        <v>115</v>
      </c>
      <c r="B106" s="2" t="s">
        <v>122</v>
      </c>
      <c r="C106" s="2">
        <v>10.75</v>
      </c>
      <c r="D106" s="2">
        <v>7.44</v>
      </c>
      <c r="E106" s="2">
        <v>9860</v>
      </c>
      <c r="F106" s="2">
        <v>67.13</v>
      </c>
      <c r="G106" s="2">
        <v>69.06</v>
      </c>
      <c r="H106" s="2">
        <v>72.2</v>
      </c>
      <c r="I106" s="2">
        <v>76.97</v>
      </c>
      <c r="J106" s="2">
        <v>3.84</v>
      </c>
      <c r="K106" s="2">
        <v>65.540000000000006</v>
      </c>
      <c r="L106" s="2">
        <v>20767642</v>
      </c>
      <c r="M106" s="2">
        <v>0</v>
      </c>
      <c r="O106" s="6">
        <f t="shared" si="17"/>
        <v>-0.2044102795197725</v>
      </c>
      <c r="P106" s="6">
        <f t="shared" si="17"/>
        <v>-0.6116998344648179</v>
      </c>
      <c r="Q106" s="6">
        <f t="shared" si="18"/>
        <v>-0.17122415855624601</v>
      </c>
      <c r="R106" s="6">
        <f t="shared" si="19"/>
        <v>-0.43088821363865459</v>
      </c>
      <c r="S106" s="6">
        <f t="shared" si="20"/>
        <v>-0.17328410934141417</v>
      </c>
      <c r="T106" s="6">
        <f t="shared" si="21"/>
        <v>-0.26943771262349647</v>
      </c>
      <c r="U106" s="6">
        <f t="shared" si="22"/>
        <v>-0.52061829700804085</v>
      </c>
      <c r="V106" s="6">
        <f t="shared" si="23"/>
        <v>-0.4629109374103364</v>
      </c>
      <c r="W106" s="6">
        <f t="shared" si="24"/>
        <v>-0.61413845670731071</v>
      </c>
      <c r="X106" s="6">
        <f t="shared" si="25"/>
        <v>-2.4999541176981343E-2</v>
      </c>
    </row>
    <row r="107" spans="1:24" x14ac:dyDescent="0.35">
      <c r="A107" s="2" t="s">
        <v>115</v>
      </c>
      <c r="B107" s="2" t="s">
        <v>123</v>
      </c>
      <c r="C107" s="2">
        <v>11.12</v>
      </c>
      <c r="D107" s="2">
        <v>7.85</v>
      </c>
      <c r="E107" s="2">
        <v>8585</v>
      </c>
      <c r="F107" s="2">
        <v>65.34</v>
      </c>
      <c r="G107" s="2">
        <v>67.069999999999993</v>
      </c>
      <c r="H107" s="2">
        <v>56.2</v>
      </c>
      <c r="I107" s="2">
        <v>77.12</v>
      </c>
      <c r="J107" s="2">
        <v>3.23</v>
      </c>
      <c r="K107" s="2">
        <v>76.17</v>
      </c>
      <c r="L107" s="2">
        <v>5985137</v>
      </c>
      <c r="M107" s="2">
        <v>0</v>
      </c>
      <c r="O107" s="6">
        <f t="shared" si="17"/>
        <v>-0.1547554743606587</v>
      </c>
      <c r="P107" s="6">
        <f t="shared" si="17"/>
        <v>-0.36005101723310823</v>
      </c>
      <c r="Q107" s="6">
        <f t="shared" si="18"/>
        <v>-0.6409239601888711</v>
      </c>
      <c r="R107" s="6">
        <f t="shared" si="19"/>
        <v>-0.70666698142277395</v>
      </c>
      <c r="S107" s="6">
        <f t="shared" si="20"/>
        <v>-0.75108233623202991</v>
      </c>
      <c r="T107" s="6">
        <f t="shared" si="21"/>
        <v>-1.1312527559370484</v>
      </c>
      <c r="U107" s="6">
        <f t="shared" si="22"/>
        <v>-0.51105585937658093</v>
      </c>
      <c r="V107" s="6">
        <f t="shared" si="23"/>
        <v>-0.69446241202128833</v>
      </c>
      <c r="W107" s="6">
        <f t="shared" si="24"/>
        <v>1.0493514735050644</v>
      </c>
      <c r="X107" s="6">
        <f t="shared" si="25"/>
        <v>-0.33388025213452982</v>
      </c>
    </row>
    <row r="108" spans="1:24" x14ac:dyDescent="0.35">
      <c r="A108" s="2" t="s">
        <v>115</v>
      </c>
      <c r="B108" s="2" t="s">
        <v>124</v>
      </c>
      <c r="C108" s="2">
        <v>10.6</v>
      </c>
      <c r="D108" s="2">
        <v>7.56</v>
      </c>
      <c r="E108" s="2">
        <v>11531</v>
      </c>
      <c r="F108" s="2">
        <v>69.58</v>
      </c>
      <c r="G108" s="2">
        <v>69.17</v>
      </c>
      <c r="H108" s="2">
        <v>83.86</v>
      </c>
      <c r="I108" s="2">
        <v>93.32</v>
      </c>
      <c r="J108" s="2">
        <v>3.18</v>
      </c>
      <c r="K108" s="2">
        <v>71.31</v>
      </c>
      <c r="L108" s="2">
        <v>10551001</v>
      </c>
      <c r="M108" s="2">
        <v>0</v>
      </c>
      <c r="O108" s="6">
        <f t="shared" si="17"/>
        <v>-0.22454060593562952</v>
      </c>
      <c r="P108" s="6">
        <f t="shared" si="17"/>
        <v>-0.5380465221043178</v>
      </c>
      <c r="Q108" s="6">
        <f t="shared" si="18"/>
        <v>0.44435887558345316</v>
      </c>
      <c r="R108" s="6">
        <f t="shared" si="19"/>
        <v>-5.3425654381058903E-2</v>
      </c>
      <c r="S108" s="6">
        <f t="shared" si="20"/>
        <v>-0.14134551388514929</v>
      </c>
      <c r="T108" s="6">
        <f t="shared" si="21"/>
        <v>0.35861000019125433</v>
      </c>
      <c r="U108" s="6">
        <f t="shared" si="22"/>
        <v>0.52168740482105491</v>
      </c>
      <c r="V108" s="6">
        <f t="shared" si="23"/>
        <v>-0.71344204108775977</v>
      </c>
      <c r="W108" s="6">
        <f t="shared" si="24"/>
        <v>0.28880951105613251</v>
      </c>
      <c r="X108" s="6">
        <f t="shared" si="25"/>
        <v>-0.23847644077404145</v>
      </c>
    </row>
    <row r="109" spans="1:24" x14ac:dyDescent="0.35">
      <c r="A109" s="2" t="s">
        <v>115</v>
      </c>
      <c r="B109" s="2" t="s">
        <v>125</v>
      </c>
      <c r="C109" s="2">
        <v>13.82</v>
      </c>
      <c r="D109" s="2">
        <v>7.87</v>
      </c>
      <c r="E109" s="2">
        <v>10454</v>
      </c>
      <c r="F109" s="2">
        <v>67.17</v>
      </c>
      <c r="G109" s="2">
        <v>65.599999999999994</v>
      </c>
      <c r="H109" s="2">
        <v>67.92</v>
      </c>
      <c r="I109" s="2">
        <v>72.53</v>
      </c>
      <c r="J109" s="2">
        <v>3.07</v>
      </c>
      <c r="K109" s="2">
        <v>68.48</v>
      </c>
      <c r="L109" s="2">
        <v>7775123</v>
      </c>
      <c r="M109" s="2">
        <v>0</v>
      </c>
      <c r="O109" s="6">
        <f t="shared" si="17"/>
        <v>0.20759040112476715</v>
      </c>
      <c r="P109" s="6">
        <f t="shared" si="17"/>
        <v>-0.34777546517302454</v>
      </c>
      <c r="Q109" s="6">
        <f t="shared" si="18"/>
        <v>4.7600690204365192E-2</v>
      </c>
      <c r="R109" s="6">
        <f t="shared" si="19"/>
        <v>-0.42472555960995823</v>
      </c>
      <c r="S109" s="6">
        <f t="shared" si="20"/>
        <v>-1.1778981118748444</v>
      </c>
      <c r="T109" s="6">
        <f t="shared" si="21"/>
        <v>-0.49997323670987165</v>
      </c>
      <c r="U109" s="6">
        <f t="shared" si="22"/>
        <v>-0.80366645089924482</v>
      </c>
      <c r="V109" s="6">
        <f t="shared" si="23"/>
        <v>-0.75519722503399711</v>
      </c>
      <c r="W109" s="6">
        <f t="shared" si="24"/>
        <v>-0.15405751646042634</v>
      </c>
      <c r="X109" s="6">
        <f t="shared" si="25"/>
        <v>-0.29647846209393397</v>
      </c>
    </row>
    <row r="110" spans="1:24" x14ac:dyDescent="0.35">
      <c r="A110" s="2" t="s">
        <v>115</v>
      </c>
      <c r="B110" s="2" t="s">
        <v>126</v>
      </c>
      <c r="C110" s="2">
        <v>13.35</v>
      </c>
      <c r="D110" s="2">
        <v>7.64</v>
      </c>
      <c r="E110" s="2">
        <v>9400</v>
      </c>
      <c r="F110" s="2">
        <v>65.39</v>
      </c>
      <c r="G110" s="2">
        <v>65.13</v>
      </c>
      <c r="H110" s="2">
        <v>51.7</v>
      </c>
      <c r="I110" s="2">
        <v>51.87</v>
      </c>
      <c r="J110" s="2">
        <v>2.41</v>
      </c>
      <c r="K110" s="2">
        <v>72.3</v>
      </c>
      <c r="L110" s="2">
        <v>3605939</v>
      </c>
      <c r="M110" s="2">
        <v>0</v>
      </c>
      <c r="O110" s="6">
        <f t="shared" si="17"/>
        <v>0.14451537835508185</v>
      </c>
      <c r="P110" s="6">
        <f t="shared" si="17"/>
        <v>-0.48894431386398413</v>
      </c>
      <c r="Q110" s="6">
        <f t="shared" si="18"/>
        <v>-0.3406844791452715</v>
      </c>
      <c r="R110" s="6">
        <f t="shared" si="19"/>
        <v>-0.69896366388690512</v>
      </c>
      <c r="S110" s="6">
        <f t="shared" si="20"/>
        <v>-1.3143630197334311</v>
      </c>
      <c r="T110" s="6">
        <f t="shared" si="21"/>
        <v>-1.3736382368689848</v>
      </c>
      <c r="U110" s="6">
        <f t="shared" si="22"/>
        <v>-2.1207328606722804</v>
      </c>
      <c r="V110" s="6">
        <f t="shared" si="23"/>
        <v>-1.0057283287114205</v>
      </c>
      <c r="W110" s="6">
        <f t="shared" si="24"/>
        <v>0.4437347256290623</v>
      </c>
      <c r="X110" s="6">
        <f t="shared" si="25"/>
        <v>-0.38359363763643073</v>
      </c>
    </row>
    <row r="111" spans="1:24" x14ac:dyDescent="0.35">
      <c r="A111" s="2" t="s">
        <v>115</v>
      </c>
      <c r="B111" s="2" t="s">
        <v>127</v>
      </c>
      <c r="C111" s="2">
        <v>12.91</v>
      </c>
      <c r="D111" s="2">
        <v>7.05</v>
      </c>
      <c r="E111" s="2">
        <v>8210</v>
      </c>
      <c r="F111" s="2">
        <v>64.88</v>
      </c>
      <c r="G111" s="2">
        <v>68.33</v>
      </c>
      <c r="H111" s="2">
        <v>94.31</v>
      </c>
      <c r="I111" s="2">
        <v>87.49</v>
      </c>
      <c r="J111" s="2">
        <v>3.61</v>
      </c>
      <c r="K111" s="2">
        <v>73.13</v>
      </c>
      <c r="L111" s="2">
        <v>4819885</v>
      </c>
      <c r="M111" s="2">
        <v>0</v>
      </c>
      <c r="O111" s="6">
        <f t="shared" si="17"/>
        <v>8.5466420868568094E-2</v>
      </c>
      <c r="P111" s="6">
        <f t="shared" si="17"/>
        <v>-0.85107309963644484</v>
      </c>
      <c r="Q111" s="6">
        <f t="shared" si="18"/>
        <v>-0.7790709606690549</v>
      </c>
      <c r="R111" s="6">
        <f t="shared" si="19"/>
        <v>-0.77753750275277267</v>
      </c>
      <c r="S111" s="6">
        <f t="shared" si="20"/>
        <v>-0.38524024282390151</v>
      </c>
      <c r="T111" s="6">
        <f t="shared" si="21"/>
        <v>0.92148295035541805</v>
      </c>
      <c r="U111" s="6">
        <f t="shared" si="22"/>
        <v>0.15002732887832532</v>
      </c>
      <c r="V111" s="6">
        <f t="shared" si="23"/>
        <v>-0.55021723111610521</v>
      </c>
      <c r="W111" s="6">
        <f t="shared" si="24"/>
        <v>0.57362152168515534</v>
      </c>
      <c r="X111" s="6">
        <f t="shared" si="25"/>
        <v>-0.35822821387746212</v>
      </c>
    </row>
    <row r="112" spans="1:24" x14ac:dyDescent="0.35">
      <c r="A112" s="2" t="s">
        <v>115</v>
      </c>
      <c r="B112" s="2" t="s">
        <v>128</v>
      </c>
      <c r="C112" s="2">
        <v>20.11</v>
      </c>
      <c r="D112" s="2">
        <v>7.09</v>
      </c>
      <c r="E112" s="2">
        <v>9855</v>
      </c>
      <c r="F112" s="2">
        <v>64.930000000000007</v>
      </c>
      <c r="G112" s="2">
        <v>65.760000000000005</v>
      </c>
      <c r="H112" s="2">
        <v>65.900000000000006</v>
      </c>
      <c r="I112" s="2">
        <v>80.33</v>
      </c>
      <c r="J112" s="2">
        <v>6.72</v>
      </c>
      <c r="K112" s="2">
        <v>69.69</v>
      </c>
      <c r="L112" s="2">
        <v>5706543</v>
      </c>
      <c r="M112" s="2">
        <v>1</v>
      </c>
      <c r="O112" s="6">
        <f t="shared" si="17"/>
        <v>1.0517220888297032</v>
      </c>
      <c r="P112" s="6">
        <f t="shared" si="17"/>
        <v>-0.82652199551627803</v>
      </c>
      <c r="Q112" s="6">
        <f t="shared" si="18"/>
        <v>-0.17306611856264845</v>
      </c>
      <c r="R112" s="6">
        <f t="shared" si="19"/>
        <v>-0.76983418521690161</v>
      </c>
      <c r="S112" s="6">
        <f t="shared" si="20"/>
        <v>-1.1314419730293648</v>
      </c>
      <c r="T112" s="6">
        <f t="shared" si="21"/>
        <v>-0.6087773859282074</v>
      </c>
      <c r="U112" s="6">
        <f t="shared" si="22"/>
        <v>-0.30641969406334596</v>
      </c>
      <c r="V112" s="6">
        <f t="shared" si="23"/>
        <v>0.63031569681842048</v>
      </c>
      <c r="W112" s="6">
        <f t="shared" si="24"/>
        <v>3.5295523573154505E-2</v>
      </c>
      <c r="X112" s="6">
        <f t="shared" si="25"/>
        <v>-0.3397014788338279</v>
      </c>
    </row>
    <row r="113" spans="1:24" x14ac:dyDescent="0.35">
      <c r="A113" s="2" t="s">
        <v>115</v>
      </c>
      <c r="B113" s="2" t="s">
        <v>129</v>
      </c>
      <c r="C113" s="2">
        <v>11.34</v>
      </c>
      <c r="D113" s="2">
        <v>10.75</v>
      </c>
      <c r="E113" s="2">
        <v>14704</v>
      </c>
      <c r="F113" s="2">
        <v>78.72</v>
      </c>
      <c r="G113" s="2">
        <v>71.010000000000005</v>
      </c>
      <c r="H113" s="2">
        <v>94.21</v>
      </c>
      <c r="I113" s="2">
        <v>97.43</v>
      </c>
      <c r="J113" s="2">
        <v>10.11</v>
      </c>
      <c r="K113" s="2">
        <v>63.93</v>
      </c>
      <c r="L113" s="2">
        <v>107250192</v>
      </c>
      <c r="M113" s="2">
        <v>0</v>
      </c>
      <c r="O113" s="6">
        <f t="shared" si="17"/>
        <v>-0.12523099561740172</v>
      </c>
      <c r="P113" s="6">
        <f t="shared" si="17"/>
        <v>1.4199040314789877</v>
      </c>
      <c r="Q113" s="6">
        <f t="shared" si="18"/>
        <v>1.6132666956464488</v>
      </c>
      <c r="R113" s="6">
        <f t="shared" si="19"/>
        <v>1.3547407911758476</v>
      </c>
      <c r="S113" s="6">
        <f t="shared" si="20"/>
        <v>0.39290008283783068</v>
      </c>
      <c r="T113" s="6">
        <f t="shared" si="21"/>
        <v>0.91609660633470791</v>
      </c>
      <c r="U113" s="6">
        <f t="shared" si="22"/>
        <v>0.78369819592304879</v>
      </c>
      <c r="V113" s="6">
        <f t="shared" si="23"/>
        <v>1.9171345475251862</v>
      </c>
      <c r="W113" s="6">
        <f t="shared" si="24"/>
        <v>-0.86608754303298674</v>
      </c>
      <c r="X113" s="6">
        <f t="shared" si="25"/>
        <v>1.7820549147100104</v>
      </c>
    </row>
    <row r="114" spans="1:24" x14ac:dyDescent="0.35">
      <c r="A114" s="2" t="s">
        <v>115</v>
      </c>
      <c r="B114" s="2" t="s">
        <v>130</v>
      </c>
      <c r="C114" s="2">
        <v>12.2</v>
      </c>
      <c r="D114" s="2">
        <v>9.9700000000000006</v>
      </c>
      <c r="E114" s="2">
        <v>12752</v>
      </c>
      <c r="F114" s="2">
        <v>74.67</v>
      </c>
      <c r="G114" s="2">
        <v>70.47</v>
      </c>
      <c r="H114" s="2">
        <v>95.33</v>
      </c>
      <c r="I114" s="2">
        <v>93.77</v>
      </c>
      <c r="J114" s="2">
        <v>5.86</v>
      </c>
      <c r="K114" s="2">
        <v>69.41</v>
      </c>
      <c r="L114" s="2">
        <v>5541968</v>
      </c>
      <c r="M114" s="2">
        <v>0</v>
      </c>
      <c r="O114" s="6">
        <f t="shared" si="17"/>
        <v>-9.8171241664884133E-3</v>
      </c>
      <c r="P114" s="6">
        <f t="shared" si="17"/>
        <v>0.94115750113573471</v>
      </c>
      <c r="Q114" s="6">
        <f t="shared" si="18"/>
        <v>0.89416550914693171</v>
      </c>
      <c r="R114" s="6">
        <f t="shared" si="19"/>
        <v>0.73077207077043549</v>
      </c>
      <c r="S114" s="6">
        <f t="shared" si="20"/>
        <v>0.2361106142343459</v>
      </c>
      <c r="T114" s="6">
        <f t="shared" si="21"/>
        <v>0.97642365936665676</v>
      </c>
      <c r="U114" s="6">
        <f t="shared" si="22"/>
        <v>0.55037471771543389</v>
      </c>
      <c r="V114" s="6">
        <f t="shared" si="23"/>
        <v>0.30386607687511136</v>
      </c>
      <c r="W114" s="6">
        <f t="shared" si="24"/>
        <v>-8.5217088313108893E-3</v>
      </c>
      <c r="X114" s="6">
        <f t="shared" si="25"/>
        <v>-0.34314027645343559</v>
      </c>
    </row>
    <row r="115" spans="1:24" x14ac:dyDescent="0.35">
      <c r="A115" s="2" t="s">
        <v>115</v>
      </c>
      <c r="B115" s="2" t="s">
        <v>131</v>
      </c>
      <c r="C115" s="2">
        <v>9.4</v>
      </c>
      <c r="D115" s="2">
        <v>9.4</v>
      </c>
      <c r="E115" s="2">
        <v>8877</v>
      </c>
      <c r="F115" s="2">
        <v>68.680000000000007</v>
      </c>
      <c r="G115" s="2">
        <v>66.849999999999994</v>
      </c>
      <c r="H115" s="2">
        <v>58.66</v>
      </c>
      <c r="I115" s="2">
        <v>93.16</v>
      </c>
      <c r="J115" s="2">
        <v>1.64</v>
      </c>
      <c r="K115" s="2">
        <v>74.2</v>
      </c>
      <c r="L115" s="2">
        <v>2332447</v>
      </c>
      <c r="M115" s="2">
        <v>0</v>
      </c>
      <c r="O115" s="6">
        <f t="shared" si="17"/>
        <v>-0.38558321726248529</v>
      </c>
      <c r="P115" s="6">
        <f t="shared" si="17"/>
        <v>0.59130426742335718</v>
      </c>
      <c r="Q115" s="6">
        <f t="shared" si="18"/>
        <v>-0.53335349581496794</v>
      </c>
      <c r="R115" s="6">
        <f t="shared" si="19"/>
        <v>-0.19208537002670484</v>
      </c>
      <c r="S115" s="6">
        <f t="shared" si="20"/>
        <v>-0.81495952714455966</v>
      </c>
      <c r="T115" s="6">
        <f t="shared" si="21"/>
        <v>-0.99874869302759006</v>
      </c>
      <c r="U115" s="6">
        <f t="shared" si="22"/>
        <v>0.51148747134749817</v>
      </c>
      <c r="V115" s="6">
        <f t="shared" si="23"/>
        <v>-1.2980146163350814</v>
      </c>
      <c r="W115" s="6">
        <f t="shared" si="24"/>
        <v>0.74106594551650573</v>
      </c>
      <c r="X115" s="6">
        <f t="shared" si="25"/>
        <v>-0.41020327614889868</v>
      </c>
    </row>
    <row r="116" spans="1:24" x14ac:dyDescent="0.35">
      <c r="A116" s="2" t="s">
        <v>115</v>
      </c>
      <c r="B116" s="2" t="s">
        <v>132</v>
      </c>
      <c r="C116" s="2">
        <v>13.23</v>
      </c>
      <c r="D116" s="2">
        <v>9.9</v>
      </c>
      <c r="E116" s="2">
        <v>13267</v>
      </c>
      <c r="F116" s="2">
        <v>74.89</v>
      </c>
      <c r="G116" s="2">
        <v>69.39</v>
      </c>
      <c r="H116" s="2">
        <v>85.5</v>
      </c>
      <c r="I116" s="2">
        <v>96.1</v>
      </c>
      <c r="J116" s="2">
        <v>6.27</v>
      </c>
      <c r="K116" s="2">
        <v>73.599999999999994</v>
      </c>
      <c r="L116" s="2">
        <v>4470232</v>
      </c>
      <c r="M116" s="2">
        <v>0</v>
      </c>
      <c r="O116" s="6">
        <f t="shared" si="17"/>
        <v>0.12841111722239637</v>
      </c>
      <c r="P116" s="6">
        <f t="shared" si="17"/>
        <v>0.89819306892544259</v>
      </c>
      <c r="Q116" s="6">
        <f t="shared" si="18"/>
        <v>1.0838873898063841</v>
      </c>
      <c r="R116" s="6">
        <f t="shared" si="19"/>
        <v>0.7646666679282601</v>
      </c>
      <c r="S116" s="6">
        <f t="shared" si="20"/>
        <v>-7.7468322972619519E-2</v>
      </c>
      <c r="T116" s="6">
        <f t="shared" si="21"/>
        <v>0.4469460421308934</v>
      </c>
      <c r="U116" s="6">
        <f t="shared" si="22"/>
        <v>0.69891124892410617</v>
      </c>
      <c r="V116" s="6">
        <f t="shared" si="23"/>
        <v>0.45949903522017715</v>
      </c>
      <c r="W116" s="6">
        <f t="shared" si="24"/>
        <v>0.64717187607836468</v>
      </c>
      <c r="X116" s="6">
        <f t="shared" si="25"/>
        <v>-0.36553421967475019</v>
      </c>
    </row>
    <row r="117" spans="1:24" x14ac:dyDescent="0.35">
      <c r="A117" s="2" t="s">
        <v>133</v>
      </c>
      <c r="B117" s="2" t="s">
        <v>134</v>
      </c>
      <c r="C117" s="2">
        <v>18.16</v>
      </c>
      <c r="D117" s="2">
        <v>9.27</v>
      </c>
      <c r="E117" s="2">
        <v>9916</v>
      </c>
      <c r="F117" s="2">
        <v>70.75</v>
      </c>
      <c r="G117" s="2">
        <v>67.930000000000007</v>
      </c>
      <c r="H117" s="2">
        <v>74.739999999999995</v>
      </c>
      <c r="I117" s="2">
        <v>58.22</v>
      </c>
      <c r="J117" s="2">
        <v>2.5499999999999998</v>
      </c>
      <c r="K117" s="2">
        <v>73.95</v>
      </c>
      <c r="L117" s="2">
        <v>3742506</v>
      </c>
      <c r="M117" s="2">
        <v>0</v>
      </c>
      <c r="O117" s="6">
        <f t="shared" si="17"/>
        <v>0.79002784542356252</v>
      </c>
      <c r="P117" s="6">
        <f t="shared" si="17"/>
        <v>0.51151317903281446</v>
      </c>
      <c r="Q117" s="6">
        <f t="shared" si="18"/>
        <v>-0.15059420648453856</v>
      </c>
      <c r="R117" s="6">
        <f t="shared" si="19"/>
        <v>0.12683197595828277</v>
      </c>
      <c r="S117" s="6">
        <f t="shared" si="20"/>
        <v>-0.50138058993759016</v>
      </c>
      <c r="T117" s="6">
        <f t="shared" si="21"/>
        <v>-0.13262457449747053</v>
      </c>
      <c r="U117" s="6">
        <f t="shared" si="22"/>
        <v>-1.7159230009404907</v>
      </c>
      <c r="V117" s="6">
        <f t="shared" si="23"/>
        <v>-0.95258536732530041</v>
      </c>
      <c r="W117" s="6">
        <f t="shared" si="24"/>
        <v>0.70194341658394743</v>
      </c>
      <c r="X117" s="6">
        <f t="shared" si="25"/>
        <v>-0.3807400676864568</v>
      </c>
    </row>
    <row r="118" spans="1:24" x14ac:dyDescent="0.35">
      <c r="A118" s="2" t="s">
        <v>133</v>
      </c>
      <c r="B118" s="2" t="s">
        <v>135</v>
      </c>
      <c r="C118" s="2">
        <v>15.85</v>
      </c>
      <c r="D118" s="2">
        <v>8.33</v>
      </c>
      <c r="E118" s="2">
        <v>10323</v>
      </c>
      <c r="F118" s="2">
        <v>70.77</v>
      </c>
      <c r="G118" s="2">
        <v>68.75</v>
      </c>
      <c r="H118" s="2">
        <v>71.5</v>
      </c>
      <c r="I118" s="2">
        <v>65.069999999999993</v>
      </c>
      <c r="J118" s="2">
        <v>2.4500000000000002</v>
      </c>
      <c r="K118" s="2">
        <v>76.09</v>
      </c>
      <c r="L118" s="2">
        <v>6274229</v>
      </c>
      <c r="M118" s="2">
        <v>0</v>
      </c>
      <c r="O118" s="6">
        <f t="shared" si="17"/>
        <v>0.48002081861936491</v>
      </c>
      <c r="P118" s="6">
        <f t="shared" si="17"/>
        <v>-6.5437767791105925E-2</v>
      </c>
      <c r="Q118" s="6">
        <f t="shared" si="18"/>
        <v>-6.5866196337902743E-4</v>
      </c>
      <c r="R118" s="6">
        <f t="shared" si="19"/>
        <v>0.12991330297262987</v>
      </c>
      <c r="S118" s="6">
        <f t="shared" si="20"/>
        <v>-0.26329287835452542</v>
      </c>
      <c r="T118" s="6">
        <f t="shared" si="21"/>
        <v>-0.30714212076846453</v>
      </c>
      <c r="U118" s="6">
        <f t="shared" si="22"/>
        <v>-1.2792383491038359</v>
      </c>
      <c r="V118" s="6">
        <f t="shared" si="23"/>
        <v>-0.99054462545824329</v>
      </c>
      <c r="W118" s="6">
        <f t="shared" si="24"/>
        <v>1.0368322642466461</v>
      </c>
      <c r="X118" s="6">
        <f t="shared" si="25"/>
        <v>-0.32783966953421007</v>
      </c>
    </row>
    <row r="119" spans="1:24" x14ac:dyDescent="0.35">
      <c r="A119" s="2" t="s">
        <v>133</v>
      </c>
      <c r="B119" s="2" t="s">
        <v>136</v>
      </c>
      <c r="C119" s="2">
        <v>11.61</v>
      </c>
      <c r="D119" s="2">
        <v>8.09</v>
      </c>
      <c r="E119" s="2">
        <v>10410</v>
      </c>
      <c r="F119" s="2">
        <v>69.28</v>
      </c>
      <c r="G119" s="2">
        <v>68.27</v>
      </c>
      <c r="H119" s="2">
        <v>81.36</v>
      </c>
      <c r="I119" s="2">
        <v>53.11</v>
      </c>
      <c r="J119" s="2">
        <v>3.51</v>
      </c>
      <c r="K119" s="2">
        <v>67.62</v>
      </c>
      <c r="L119" s="2">
        <v>5425357</v>
      </c>
      <c r="M119" s="2">
        <v>0</v>
      </c>
      <c r="O119" s="6">
        <f t="shared" si="17"/>
        <v>-8.8996408068859195E-2</v>
      </c>
      <c r="P119" s="6">
        <f t="shared" si="17"/>
        <v>-0.21274439251210708</v>
      </c>
      <c r="Q119" s="6">
        <f t="shared" si="18"/>
        <v>3.139144214802362E-2</v>
      </c>
      <c r="R119" s="6">
        <f t="shared" si="19"/>
        <v>-9.9645559596274205E-2</v>
      </c>
      <c r="S119" s="6">
        <f t="shared" si="20"/>
        <v>-0.40266129489095587</v>
      </c>
      <c r="T119" s="6">
        <f t="shared" si="21"/>
        <v>0.22395139967351183</v>
      </c>
      <c r="U119" s="6">
        <f t="shared" si="22"/>
        <v>-2.0416833762522142</v>
      </c>
      <c r="V119" s="6">
        <f t="shared" si="23"/>
        <v>-0.5881764892490482</v>
      </c>
      <c r="W119" s="6">
        <f t="shared" si="24"/>
        <v>-0.28863901598842656</v>
      </c>
      <c r="X119" s="6">
        <f t="shared" si="25"/>
        <v>-0.34557686542029004</v>
      </c>
    </row>
    <row r="120" spans="1:24" x14ac:dyDescent="0.35">
      <c r="A120" s="2" t="s">
        <v>133</v>
      </c>
      <c r="B120" s="2" t="s">
        <v>137</v>
      </c>
      <c r="C120" s="2">
        <v>18.62</v>
      </c>
      <c r="D120" s="2">
        <v>8.3800000000000008</v>
      </c>
      <c r="E120" s="2">
        <v>8638</v>
      </c>
      <c r="F120" s="2">
        <v>67.17</v>
      </c>
      <c r="G120" s="2">
        <v>66.73</v>
      </c>
      <c r="H120" s="2">
        <v>78.63</v>
      </c>
      <c r="I120" s="2">
        <v>86.2</v>
      </c>
      <c r="J120" s="2">
        <v>3.45</v>
      </c>
      <c r="K120" s="2">
        <v>69.28</v>
      </c>
      <c r="L120" s="2">
        <v>2333305</v>
      </c>
      <c r="M120" s="2">
        <v>0</v>
      </c>
      <c r="O120" s="6">
        <f t="shared" si="17"/>
        <v>0.85176084643219074</v>
      </c>
      <c r="P120" s="6">
        <f t="shared" si="17"/>
        <v>-3.4748887640896946E-2</v>
      </c>
      <c r="Q120" s="6">
        <f t="shared" si="18"/>
        <v>-0.62139918412100503</v>
      </c>
      <c r="R120" s="6">
        <f t="shared" si="19"/>
        <v>-0.42472555960995823</v>
      </c>
      <c r="S120" s="6">
        <f t="shared" si="20"/>
        <v>-0.84980163127866415</v>
      </c>
      <c r="T120" s="6">
        <f t="shared" si="21"/>
        <v>7.6904207908136818E-2</v>
      </c>
      <c r="U120" s="6">
        <f t="shared" si="22"/>
        <v>6.7790365247773279E-2</v>
      </c>
      <c r="V120" s="6">
        <f t="shared" si="23"/>
        <v>-0.61095204412881376</v>
      </c>
      <c r="W120" s="6">
        <f t="shared" si="24"/>
        <v>-2.8865423876240456E-2</v>
      </c>
      <c r="X120" s="6">
        <f t="shared" si="25"/>
        <v>-0.41018534822328651</v>
      </c>
    </row>
    <row r="121" spans="1:24" x14ac:dyDescent="0.35">
      <c r="A121" s="2" t="s">
        <v>133</v>
      </c>
      <c r="B121" s="2" t="s">
        <v>138</v>
      </c>
      <c r="C121" s="2">
        <v>18.72</v>
      </c>
      <c r="D121" s="2">
        <v>8</v>
      </c>
      <c r="E121" s="2">
        <v>8256</v>
      </c>
      <c r="F121" s="2">
        <v>67.03</v>
      </c>
      <c r="G121" s="2">
        <v>67.900000000000006</v>
      </c>
      <c r="H121" s="2">
        <v>84.29</v>
      </c>
      <c r="I121" s="2">
        <v>47.04</v>
      </c>
      <c r="J121" s="2">
        <v>3.44</v>
      </c>
      <c r="K121" s="2">
        <v>70.13</v>
      </c>
      <c r="L121" s="2">
        <v>2932955</v>
      </c>
      <c r="M121" s="2">
        <v>0</v>
      </c>
      <c r="O121" s="6">
        <f t="shared" si="17"/>
        <v>0.86518106404276174</v>
      </c>
      <c r="P121" s="6">
        <f t="shared" si="17"/>
        <v>-0.26798437678248238</v>
      </c>
      <c r="Q121" s="6">
        <f t="shared" si="18"/>
        <v>-0.76212492861015235</v>
      </c>
      <c r="R121" s="6">
        <f t="shared" si="19"/>
        <v>-0.44629484871039232</v>
      </c>
      <c r="S121" s="6">
        <f t="shared" si="20"/>
        <v>-0.51009111597111734</v>
      </c>
      <c r="T121" s="6">
        <f t="shared" si="21"/>
        <v>0.38177127948030637</v>
      </c>
      <c r="U121" s="6">
        <f t="shared" si="22"/>
        <v>-2.4286433524052793</v>
      </c>
      <c r="V121" s="6">
        <f t="shared" si="23"/>
        <v>-0.61474796994210812</v>
      </c>
      <c r="W121" s="6">
        <f t="shared" si="24"/>
        <v>0.10415117449445663</v>
      </c>
      <c r="X121" s="6">
        <f t="shared" si="25"/>
        <v>-0.3976556505620516</v>
      </c>
    </row>
    <row r="122" spans="1:24" x14ac:dyDescent="0.35">
      <c r="A122" s="2" t="s">
        <v>133</v>
      </c>
      <c r="B122" s="2" t="s">
        <v>139</v>
      </c>
      <c r="C122" s="2">
        <v>11.93</v>
      </c>
      <c r="D122" s="2">
        <v>8.3000000000000007</v>
      </c>
      <c r="E122" s="2">
        <v>10405</v>
      </c>
      <c r="F122" s="2">
        <v>68.64</v>
      </c>
      <c r="G122" s="2">
        <v>66.73</v>
      </c>
      <c r="H122" s="2">
        <v>86.79</v>
      </c>
      <c r="I122" s="2">
        <v>75.989999999999995</v>
      </c>
      <c r="J122" s="2">
        <v>3.68</v>
      </c>
      <c r="K122" s="2">
        <v>64.11</v>
      </c>
      <c r="L122" s="2">
        <v>3429923</v>
      </c>
      <c r="M122" s="2">
        <v>0</v>
      </c>
      <c r="O122" s="6">
        <f t="shared" si="17"/>
        <v>-4.6051711715030925E-2</v>
      </c>
      <c r="P122" s="6">
        <f t="shared" si="17"/>
        <v>-8.3851095881230658E-2</v>
      </c>
      <c r="Q122" s="6">
        <f t="shared" si="18"/>
        <v>2.9549482141621172E-2</v>
      </c>
      <c r="R122" s="6">
        <f t="shared" si="19"/>
        <v>-0.19824802405540123</v>
      </c>
      <c r="S122" s="6">
        <f t="shared" si="20"/>
        <v>-0.84980163127866415</v>
      </c>
      <c r="T122" s="6">
        <f t="shared" si="21"/>
        <v>0.5164298799980489</v>
      </c>
      <c r="U122" s="6">
        <f t="shared" si="22"/>
        <v>-0.58309288953357719</v>
      </c>
      <c r="V122" s="6">
        <f t="shared" si="23"/>
        <v>-0.52364575042304495</v>
      </c>
      <c r="W122" s="6">
        <f t="shared" si="24"/>
        <v>-0.83791932220154486</v>
      </c>
      <c r="X122" s="6">
        <f t="shared" si="25"/>
        <v>-0.38727149515921888</v>
      </c>
    </row>
    <row r="123" spans="1:24" x14ac:dyDescent="0.35">
      <c r="A123" s="2" t="s">
        <v>133</v>
      </c>
      <c r="B123" s="2" t="s">
        <v>140</v>
      </c>
      <c r="C123" s="2">
        <v>12</v>
      </c>
      <c r="D123" s="2">
        <v>8.18</v>
      </c>
      <c r="E123" s="2">
        <v>11317</v>
      </c>
      <c r="F123" s="2">
        <v>67.459999999999994</v>
      </c>
      <c r="G123" s="2">
        <v>63.4</v>
      </c>
      <c r="H123" s="2">
        <v>51.55</v>
      </c>
      <c r="I123" s="2">
        <v>57.37</v>
      </c>
      <c r="J123" s="2">
        <v>3.18</v>
      </c>
      <c r="K123" s="2">
        <v>72.010000000000005</v>
      </c>
      <c r="L123" s="2">
        <v>2192263</v>
      </c>
      <c r="M123" s="2">
        <v>0</v>
      </c>
      <c r="O123" s="6">
        <f t="shared" si="17"/>
        <v>-3.6657559387630961E-2</v>
      </c>
      <c r="P123" s="6">
        <f t="shared" si="17"/>
        <v>-0.15750440824173179</v>
      </c>
      <c r="Q123" s="6">
        <f t="shared" si="18"/>
        <v>0.36552298730942828</v>
      </c>
      <c r="R123" s="6">
        <f t="shared" si="19"/>
        <v>-0.38004631790191756</v>
      </c>
      <c r="S123" s="6">
        <f t="shared" si="20"/>
        <v>-1.8166700210001441</v>
      </c>
      <c r="T123" s="6">
        <f t="shared" si="21"/>
        <v>-1.3817177529000497</v>
      </c>
      <c r="U123" s="6">
        <f t="shared" si="22"/>
        <v>-1.7701101475187617</v>
      </c>
      <c r="V123" s="6">
        <f t="shared" si="23"/>
        <v>-0.71344204108775977</v>
      </c>
      <c r="W123" s="6">
        <f t="shared" si="24"/>
        <v>0.39835259206729601</v>
      </c>
      <c r="X123" s="6">
        <f t="shared" si="25"/>
        <v>-0.41313242337968759</v>
      </c>
    </row>
    <row r="124" spans="1:24" x14ac:dyDescent="0.35">
      <c r="A124" s="2" t="s">
        <v>133</v>
      </c>
      <c r="B124" s="2" t="s">
        <v>141</v>
      </c>
      <c r="C124" s="2">
        <v>14.83</v>
      </c>
      <c r="D124" s="2">
        <v>8.2899999999999991</v>
      </c>
      <c r="E124" s="2">
        <v>9377</v>
      </c>
      <c r="F124" s="2">
        <v>68.62</v>
      </c>
      <c r="G124" s="2">
        <v>68.08</v>
      </c>
      <c r="H124" s="2">
        <v>66.88</v>
      </c>
      <c r="I124" s="2">
        <v>62.65</v>
      </c>
      <c r="J124" s="2">
        <v>1.89</v>
      </c>
      <c r="K124" s="2">
        <v>75.59</v>
      </c>
      <c r="L124" s="2">
        <v>2894350</v>
      </c>
      <c r="M124" s="2">
        <v>0</v>
      </c>
      <c r="O124" s="6">
        <f t="shared" si="17"/>
        <v>0.34313459899153748</v>
      </c>
      <c r="P124" s="6">
        <f t="shared" si="17"/>
        <v>-8.9988871911273333E-2</v>
      </c>
      <c r="Q124" s="6">
        <f t="shared" si="18"/>
        <v>-0.34915749517472278</v>
      </c>
      <c r="R124" s="6">
        <f t="shared" si="19"/>
        <v>-0.20132935106974834</v>
      </c>
      <c r="S124" s="6">
        <f t="shared" si="20"/>
        <v>-0.45782795976995844</v>
      </c>
      <c r="T124" s="6">
        <f t="shared" si="21"/>
        <v>-0.55599121452525291</v>
      </c>
      <c r="U124" s="6">
        <f t="shared" si="22"/>
        <v>-1.4335123428913839</v>
      </c>
      <c r="V124" s="6">
        <f t="shared" si="23"/>
        <v>-1.203116471002724</v>
      </c>
      <c r="W124" s="6">
        <f t="shared" si="24"/>
        <v>0.9585872063815295</v>
      </c>
      <c r="X124" s="6">
        <f t="shared" si="25"/>
        <v>-0.39846230273950839</v>
      </c>
    </row>
    <row r="125" spans="1:24" x14ac:dyDescent="0.35">
      <c r="A125" s="2" t="s">
        <v>133</v>
      </c>
      <c r="B125" s="2" t="s">
        <v>142</v>
      </c>
      <c r="C125" s="2">
        <v>9.68</v>
      </c>
      <c r="D125" s="2">
        <v>7.48</v>
      </c>
      <c r="E125" s="2">
        <v>9471</v>
      </c>
      <c r="F125" s="2">
        <v>67.959999999999994</v>
      </c>
      <c r="G125" s="2">
        <v>68.19</v>
      </c>
      <c r="H125" s="2">
        <v>80.23</v>
      </c>
      <c r="I125" s="2">
        <v>63.06</v>
      </c>
      <c r="J125" s="2">
        <v>4.07</v>
      </c>
      <c r="K125" s="2">
        <v>67.319999999999993</v>
      </c>
      <c r="L125" s="2">
        <v>2951442</v>
      </c>
      <c r="M125" s="2">
        <v>0</v>
      </c>
      <c r="O125" s="6">
        <f t="shared" si="17"/>
        <v>-0.34800660795288568</v>
      </c>
      <c r="P125" s="6">
        <f t="shared" si="17"/>
        <v>-0.58714873034465098</v>
      </c>
      <c r="Q125" s="6">
        <f t="shared" si="18"/>
        <v>-0.31452864705435668</v>
      </c>
      <c r="R125" s="6">
        <f t="shared" si="19"/>
        <v>-0.30301314254322465</v>
      </c>
      <c r="S125" s="6">
        <f t="shared" si="20"/>
        <v>-0.42588936431369356</v>
      </c>
      <c r="T125" s="6">
        <f t="shared" si="21"/>
        <v>0.16308571223949248</v>
      </c>
      <c r="U125" s="6">
        <f t="shared" si="22"/>
        <v>-1.4073750133653939</v>
      </c>
      <c r="V125" s="6">
        <f t="shared" si="23"/>
        <v>-0.37560464370456742</v>
      </c>
      <c r="W125" s="6">
        <f t="shared" si="24"/>
        <v>-0.3355860507074982</v>
      </c>
      <c r="X125" s="6">
        <f t="shared" si="25"/>
        <v>-0.39726936436066201</v>
      </c>
    </row>
    <row r="126" spans="1:24" x14ac:dyDescent="0.35">
      <c r="A126" s="2" t="s">
        <v>133</v>
      </c>
      <c r="B126" s="2" t="s">
        <v>143</v>
      </c>
      <c r="C126" s="2">
        <v>17.89</v>
      </c>
      <c r="D126" s="2">
        <v>11.8</v>
      </c>
      <c r="E126" s="2">
        <v>14108</v>
      </c>
      <c r="F126" s="2">
        <v>80.540000000000006</v>
      </c>
      <c r="G126" s="2">
        <v>70.2</v>
      </c>
      <c r="H126" s="2">
        <v>95.8</v>
      </c>
      <c r="I126" s="2">
        <v>92.21</v>
      </c>
      <c r="J126" s="2">
        <v>6.35</v>
      </c>
      <c r="K126" s="2">
        <v>65.42</v>
      </c>
      <c r="L126" s="2">
        <v>15833195</v>
      </c>
      <c r="M126" s="2">
        <v>0</v>
      </c>
      <c r="O126" s="6">
        <f t="shared" si="17"/>
        <v>0.75379325787502005</v>
      </c>
      <c r="P126" s="6">
        <f t="shared" si="17"/>
        <v>2.0643705146333677</v>
      </c>
      <c r="Q126" s="6">
        <f t="shared" si="18"/>
        <v>1.3937050628832766</v>
      </c>
      <c r="R126" s="6">
        <f t="shared" si="19"/>
        <v>1.6351415494814909</v>
      </c>
      <c r="S126" s="6">
        <f t="shared" si="20"/>
        <v>0.15771587993260558</v>
      </c>
      <c r="T126" s="6">
        <f t="shared" si="21"/>
        <v>1.0017394762639924</v>
      </c>
      <c r="U126" s="6">
        <f t="shared" si="22"/>
        <v>0.45092536634825392</v>
      </c>
      <c r="V126" s="6">
        <f t="shared" si="23"/>
        <v>0.48986644172653154</v>
      </c>
      <c r="W126" s="6">
        <f t="shared" si="24"/>
        <v>-0.63291727059493941</v>
      </c>
      <c r="X126" s="6">
        <f t="shared" si="25"/>
        <v>-0.12810490102920816</v>
      </c>
    </row>
    <row r="127" spans="1:24" x14ac:dyDescent="0.35">
      <c r="A127" s="2" t="s">
        <v>144</v>
      </c>
      <c r="B127" s="2" t="s">
        <v>145</v>
      </c>
      <c r="C127" s="2">
        <v>12.82</v>
      </c>
      <c r="D127" s="2">
        <v>8.07</v>
      </c>
      <c r="E127" s="2">
        <v>9969</v>
      </c>
      <c r="F127" s="2">
        <v>67.900000000000006</v>
      </c>
      <c r="G127" s="2">
        <v>67.650000000000006</v>
      </c>
      <c r="H127" s="2">
        <v>76.5</v>
      </c>
      <c r="I127" s="2">
        <v>70.959999999999994</v>
      </c>
      <c r="J127" s="2">
        <v>2.83</v>
      </c>
      <c r="K127" s="2">
        <v>83.23</v>
      </c>
      <c r="L127" s="2">
        <v>5053324</v>
      </c>
      <c r="M127" s="2">
        <v>0</v>
      </c>
      <c r="O127" s="6">
        <f t="shared" si="17"/>
        <v>7.3388225019053926E-2</v>
      </c>
      <c r="P127" s="6">
        <f t="shared" si="17"/>
        <v>-0.22501994457219024</v>
      </c>
      <c r="Q127" s="6">
        <f t="shared" si="18"/>
        <v>-0.13106943041667257</v>
      </c>
      <c r="R127" s="6">
        <f t="shared" si="19"/>
        <v>-0.31225712358626595</v>
      </c>
      <c r="S127" s="6">
        <f t="shared" si="20"/>
        <v>-0.58267883291717426</v>
      </c>
      <c r="T127" s="6">
        <f t="shared" si="21"/>
        <v>-3.7824919732979537E-2</v>
      </c>
      <c r="U127" s="6">
        <f t="shared" si="22"/>
        <v>-0.90375329810852245</v>
      </c>
      <c r="V127" s="6">
        <f t="shared" si="23"/>
        <v>-0.84629944455306005</v>
      </c>
      <c r="W127" s="6">
        <f t="shared" si="24"/>
        <v>2.1541716905605091</v>
      </c>
      <c r="X127" s="6">
        <f t="shared" si="25"/>
        <v>-0.3533505017248047</v>
      </c>
    </row>
    <row r="128" spans="1:24" x14ac:dyDescent="0.35">
      <c r="A128" s="2" t="s">
        <v>144</v>
      </c>
      <c r="B128" s="2" t="s">
        <v>146</v>
      </c>
      <c r="C128" s="2">
        <v>11.81</v>
      </c>
      <c r="D128" s="2">
        <v>7.34</v>
      </c>
      <c r="E128" s="2">
        <v>9266</v>
      </c>
      <c r="F128" s="2">
        <v>66.650000000000006</v>
      </c>
      <c r="G128" s="2">
        <v>68.67</v>
      </c>
      <c r="H128" s="2">
        <v>68.959999999999994</v>
      </c>
      <c r="I128" s="2">
        <v>63.9</v>
      </c>
      <c r="J128" s="2">
        <v>2.93</v>
      </c>
      <c r="K128" s="2">
        <v>68.760000000000005</v>
      </c>
      <c r="L128" s="2">
        <v>10924782</v>
      </c>
      <c r="M128" s="2">
        <v>0</v>
      </c>
      <c r="O128" s="6">
        <f t="shared" si="17"/>
        <v>-6.2155972847716408E-2</v>
      </c>
      <c r="P128" s="6">
        <f t="shared" si="17"/>
        <v>-0.67307759476523532</v>
      </c>
      <c r="Q128" s="6">
        <f t="shared" si="18"/>
        <v>-0.39004900731685721</v>
      </c>
      <c r="R128" s="6">
        <f t="shared" si="19"/>
        <v>-0.50484006198299824</v>
      </c>
      <c r="S128" s="6">
        <f t="shared" si="20"/>
        <v>-0.28652094777726311</v>
      </c>
      <c r="T128" s="6">
        <f t="shared" si="21"/>
        <v>-0.44395525889449122</v>
      </c>
      <c r="U128" s="6">
        <f t="shared" si="22"/>
        <v>-1.3538253626292205</v>
      </c>
      <c r="V128" s="6">
        <f t="shared" si="23"/>
        <v>-0.80834018642011707</v>
      </c>
      <c r="W128" s="6">
        <f t="shared" si="24"/>
        <v>-0.11024028405596094</v>
      </c>
      <c r="X128" s="6">
        <f t="shared" si="25"/>
        <v>-0.23066627997772018</v>
      </c>
    </row>
    <row r="129" spans="1:24" x14ac:dyDescent="0.35">
      <c r="A129" s="2" t="s">
        <v>144</v>
      </c>
      <c r="B129" s="2" t="s">
        <v>147</v>
      </c>
      <c r="C129" s="2">
        <v>14.19</v>
      </c>
      <c r="D129" s="2">
        <v>7.7</v>
      </c>
      <c r="E129" s="2">
        <v>9931</v>
      </c>
      <c r="F129" s="2">
        <v>68.489999999999995</v>
      </c>
      <c r="G129" s="2">
        <v>69.42</v>
      </c>
      <c r="H129" s="2">
        <v>94.4</v>
      </c>
      <c r="I129" s="2">
        <v>87.92</v>
      </c>
      <c r="J129" s="2">
        <v>5.27</v>
      </c>
      <c r="K129" s="2">
        <v>66.05</v>
      </c>
      <c r="L129" s="2">
        <v>30541213</v>
      </c>
      <c r="M129" s="2">
        <v>0</v>
      </c>
      <c r="O129" s="6">
        <f t="shared" si="17"/>
        <v>0.25724520628388092</v>
      </c>
      <c r="P129" s="6">
        <f t="shared" si="17"/>
        <v>-0.45211765768373352</v>
      </c>
      <c r="Q129" s="6">
        <f t="shared" si="18"/>
        <v>-0.14506832646533119</v>
      </c>
      <c r="R129" s="6">
        <f t="shared" si="19"/>
        <v>-0.22135797666300996</v>
      </c>
      <c r="S129" s="6">
        <f t="shared" si="20"/>
        <v>-6.8757796939092355E-2</v>
      </c>
      <c r="T129" s="6">
        <f t="shared" si="21"/>
        <v>0.92633065997405695</v>
      </c>
      <c r="U129" s="6">
        <f t="shared" si="22"/>
        <v>0.17743965008850993</v>
      </c>
      <c r="V129" s="6">
        <f t="shared" si="23"/>
        <v>7.9906453890747658E-2</v>
      </c>
      <c r="W129" s="6">
        <f t="shared" si="24"/>
        <v>-0.53432849768489332</v>
      </c>
      <c r="X129" s="6">
        <f t="shared" si="25"/>
        <v>0.17921940270797443</v>
      </c>
    </row>
    <row r="130" spans="1:24" x14ac:dyDescent="0.35">
      <c r="A130" s="2" t="s">
        <v>144</v>
      </c>
      <c r="B130" s="2" t="s">
        <v>148</v>
      </c>
      <c r="C130" s="2">
        <v>15.08</v>
      </c>
      <c r="D130" s="2">
        <v>7.77</v>
      </c>
      <c r="E130" s="2">
        <v>10026</v>
      </c>
      <c r="F130" s="2">
        <v>69.66</v>
      </c>
      <c r="G130" s="2">
        <v>70.78</v>
      </c>
      <c r="H130" s="2">
        <v>86.29</v>
      </c>
      <c r="I130" s="2">
        <v>84.35</v>
      </c>
      <c r="J130" s="2">
        <v>3.05</v>
      </c>
      <c r="K130" s="2">
        <v>68.67</v>
      </c>
      <c r="L130" s="2">
        <v>29000404</v>
      </c>
      <c r="M130" s="2">
        <v>0</v>
      </c>
      <c r="O130" s="6">
        <f t="shared" si="17"/>
        <v>0.3766851430179658</v>
      </c>
      <c r="P130" s="6">
        <f t="shared" si="17"/>
        <v>-0.40915322547344196</v>
      </c>
      <c r="Q130" s="6">
        <f t="shared" si="18"/>
        <v>-0.11007108634368462</v>
      </c>
      <c r="R130" s="6">
        <f t="shared" si="19"/>
        <v>-4.1100346323668296E-2</v>
      </c>
      <c r="S130" s="6">
        <f t="shared" si="20"/>
        <v>0.32611938324745715</v>
      </c>
      <c r="T130" s="6">
        <f t="shared" si="21"/>
        <v>0.48949815989450041</v>
      </c>
      <c r="U130" s="6">
        <f t="shared" si="22"/>
        <v>-5.0146365540228978E-2</v>
      </c>
      <c r="V130" s="6">
        <f t="shared" si="23"/>
        <v>-0.76278907666058571</v>
      </c>
      <c r="W130" s="6">
        <f t="shared" si="24"/>
        <v>-0.12432439447168243</v>
      </c>
      <c r="X130" s="6">
        <f t="shared" si="25"/>
        <v>0.14702417061640474</v>
      </c>
    </row>
    <row r="131" spans="1:24" x14ac:dyDescent="0.35">
      <c r="A131" s="2" t="s">
        <v>144</v>
      </c>
      <c r="B131" s="2" t="s">
        <v>149</v>
      </c>
      <c r="C131" s="2">
        <v>11.99</v>
      </c>
      <c r="D131" s="2">
        <v>7.59</v>
      </c>
      <c r="E131" s="2">
        <v>11259</v>
      </c>
      <c r="F131" s="2">
        <v>70.23</v>
      </c>
      <c r="G131" s="2">
        <v>69.87</v>
      </c>
      <c r="H131" s="2">
        <v>79.37</v>
      </c>
      <c r="I131" s="2">
        <v>78.900000000000006</v>
      </c>
      <c r="J131" s="2">
        <v>4.3099999999999996</v>
      </c>
      <c r="K131" s="2">
        <v>72.260000000000005</v>
      </c>
      <c r="L131" s="2">
        <v>48710038</v>
      </c>
      <c r="M131" s="2">
        <v>0</v>
      </c>
      <c r="O131" s="6">
        <f t="shared" ref="O131:P194" si="26">(C131 - C$516) / C$517</f>
        <v>-3.7999581148688066E-2</v>
      </c>
      <c r="P131" s="6">
        <f t="shared" si="26"/>
        <v>-0.5196331940141925</v>
      </c>
      <c r="Q131" s="6">
        <f t="shared" ref="Q131:Q194" si="27">(E131 - E$516) / E$517</f>
        <v>0.3441562512351598</v>
      </c>
      <c r="R131" s="6">
        <f t="shared" ref="R131:R194" si="28">(F131 - F$516) / F$517</f>
        <v>4.6717473585242759E-2</v>
      </c>
      <c r="S131" s="6">
        <f t="shared" ref="S131:S194" si="29">(G131 - G$516) / G$517</f>
        <v>6.1900093563810932E-2</v>
      </c>
      <c r="T131" s="6">
        <f t="shared" ref="T131:T194" si="30">(H131 - H$516) / H$517</f>
        <v>0.11676315366138909</v>
      </c>
      <c r="U131" s="6">
        <f t="shared" ref="U131:U194" si="31">(I131 - I$516) / I$517</f>
        <v>-0.39758159948326027</v>
      </c>
      <c r="V131" s="6">
        <f t="shared" ref="V131:V194" si="32">(J131 - J$516) / J$517</f>
        <v>-0.28450242418550464</v>
      </c>
      <c r="W131" s="6">
        <f t="shared" ref="W131:W194" si="33">(K131 - K$516) / K$517</f>
        <v>0.43747512099985425</v>
      </c>
      <c r="X131" s="6">
        <f t="shared" ref="X131:X194" si="34">(L131 - L$516) / L$517</f>
        <v>0.55885733168302165</v>
      </c>
    </row>
    <row r="132" spans="1:24" x14ac:dyDescent="0.35">
      <c r="A132" s="2" t="s">
        <v>144</v>
      </c>
      <c r="B132" s="2" t="s">
        <v>150</v>
      </c>
      <c r="C132" s="2">
        <v>19.63</v>
      </c>
      <c r="D132" s="2">
        <v>8.34</v>
      </c>
      <c r="E132" s="2">
        <v>8737</v>
      </c>
      <c r="F132" s="2">
        <v>67.89</v>
      </c>
      <c r="G132" s="2">
        <v>69.3</v>
      </c>
      <c r="H132" s="2">
        <v>75.03</v>
      </c>
      <c r="I132" s="2">
        <v>62.78</v>
      </c>
      <c r="J132" s="2">
        <v>6.14</v>
      </c>
      <c r="K132" s="2">
        <v>66.7</v>
      </c>
      <c r="L132" s="2">
        <v>16727892</v>
      </c>
      <c r="M132" s="2">
        <v>0</v>
      </c>
      <c r="O132" s="6">
        <f t="shared" si="26"/>
        <v>0.98730504429896082</v>
      </c>
      <c r="P132" s="6">
        <f t="shared" si="26"/>
        <v>-5.9299991761064347E-2</v>
      </c>
      <c r="Q132" s="6">
        <f t="shared" si="27"/>
        <v>-0.58492837599423653</v>
      </c>
      <c r="R132" s="6">
        <f t="shared" si="28"/>
        <v>-0.31379778709344058</v>
      </c>
      <c r="S132" s="6">
        <f t="shared" si="29"/>
        <v>-0.103599901073201</v>
      </c>
      <c r="T132" s="6">
        <f t="shared" si="30"/>
        <v>-0.11700417683741206</v>
      </c>
      <c r="U132" s="6">
        <f t="shared" si="31"/>
        <v>-1.4252248969441188</v>
      </c>
      <c r="V132" s="6">
        <f t="shared" si="32"/>
        <v>0.41015199964735133</v>
      </c>
      <c r="W132" s="6">
        <f t="shared" si="33"/>
        <v>-0.4326099224602411</v>
      </c>
      <c r="X132" s="6">
        <f t="shared" si="34"/>
        <v>-0.10941019093429626</v>
      </c>
    </row>
    <row r="133" spans="1:24" x14ac:dyDescent="0.35">
      <c r="A133" s="2" t="s">
        <v>144</v>
      </c>
      <c r="B133" s="2" t="s">
        <v>151</v>
      </c>
      <c r="C133" s="2">
        <v>13.09</v>
      </c>
      <c r="D133" s="2">
        <v>7.71</v>
      </c>
      <c r="E133" s="2">
        <v>9173</v>
      </c>
      <c r="F133" s="2">
        <v>67.569999999999993</v>
      </c>
      <c r="G133" s="2">
        <v>69.459999999999994</v>
      </c>
      <c r="H133" s="2">
        <v>78.66</v>
      </c>
      <c r="I133" s="2">
        <v>65.12</v>
      </c>
      <c r="J133" s="2">
        <v>3.36</v>
      </c>
      <c r="K133" s="2">
        <v>74.78</v>
      </c>
      <c r="L133" s="2">
        <v>9736500</v>
      </c>
      <c r="M133" s="2">
        <v>0</v>
      </c>
      <c r="O133" s="6">
        <f t="shared" si="26"/>
        <v>0.10962281256759644</v>
      </c>
      <c r="P133" s="6">
        <f t="shared" si="26"/>
        <v>-0.44597988165369196</v>
      </c>
      <c r="Q133" s="6">
        <f t="shared" si="27"/>
        <v>-0.42430946343594278</v>
      </c>
      <c r="R133" s="6">
        <f t="shared" si="28"/>
        <v>-0.3630990193230052</v>
      </c>
      <c r="S133" s="6">
        <f t="shared" si="29"/>
        <v>-5.7143762227725561E-2</v>
      </c>
      <c r="T133" s="6">
        <f t="shared" si="30"/>
        <v>7.8520111114349797E-2</v>
      </c>
      <c r="U133" s="6">
        <f t="shared" si="31"/>
        <v>-1.2760508698933488</v>
      </c>
      <c r="V133" s="6">
        <f t="shared" si="32"/>
        <v>-0.64511537644846251</v>
      </c>
      <c r="W133" s="6">
        <f t="shared" si="33"/>
        <v>0.83183021264004053</v>
      </c>
      <c r="X133" s="6">
        <f t="shared" si="34"/>
        <v>-0.25549545398970647</v>
      </c>
    </row>
    <row r="134" spans="1:24" x14ac:dyDescent="0.35">
      <c r="A134" s="2" t="s">
        <v>144</v>
      </c>
      <c r="B134" s="2" t="s">
        <v>152</v>
      </c>
      <c r="C134" s="2">
        <v>9.67</v>
      </c>
      <c r="D134" s="2">
        <v>7.55</v>
      </c>
      <c r="E134" s="2">
        <v>10735</v>
      </c>
      <c r="F134" s="2">
        <v>68.73</v>
      </c>
      <c r="G134" s="2">
        <v>70.010000000000005</v>
      </c>
      <c r="H134" s="2">
        <v>84.83</v>
      </c>
      <c r="I134" s="2">
        <v>80.650000000000006</v>
      </c>
      <c r="J134" s="2">
        <v>4.0999999999999996</v>
      </c>
      <c r="K134" s="2">
        <v>68.319999999999993</v>
      </c>
      <c r="L134" s="2">
        <v>16062917</v>
      </c>
      <c r="M134" s="2">
        <v>0</v>
      </c>
      <c r="O134" s="6">
        <f t="shared" si="26"/>
        <v>-0.34934862971394282</v>
      </c>
      <c r="P134" s="6">
        <f t="shared" si="26"/>
        <v>-0.54418429813435942</v>
      </c>
      <c r="Q134" s="6">
        <f t="shared" si="27"/>
        <v>0.15111884256418295</v>
      </c>
      <c r="R134" s="6">
        <f t="shared" si="28"/>
        <v>-0.18438205249083597</v>
      </c>
      <c r="S134" s="6">
        <f t="shared" si="29"/>
        <v>0.10254921505360297</v>
      </c>
      <c r="T134" s="6">
        <f t="shared" si="30"/>
        <v>0.41085753719213836</v>
      </c>
      <c r="U134" s="6">
        <f t="shared" si="31"/>
        <v>-0.28601982711623164</v>
      </c>
      <c r="V134" s="6">
        <f t="shared" si="32"/>
        <v>-0.3642168662646848</v>
      </c>
      <c r="W134" s="6">
        <f t="shared" si="33"/>
        <v>-0.17909593497726528</v>
      </c>
      <c r="X134" s="6">
        <f t="shared" si="34"/>
        <v>-0.12330485565918529</v>
      </c>
    </row>
    <row r="135" spans="1:24" x14ac:dyDescent="0.35">
      <c r="A135" s="2" t="s">
        <v>144</v>
      </c>
      <c r="B135" s="2" t="s">
        <v>153</v>
      </c>
      <c r="C135" s="2">
        <v>15.11</v>
      </c>
      <c r="D135" s="2">
        <v>7.71</v>
      </c>
      <c r="E135" s="2">
        <v>7934</v>
      </c>
      <c r="F135" s="2">
        <v>66.14</v>
      </c>
      <c r="G135" s="2">
        <v>69.150000000000006</v>
      </c>
      <c r="H135" s="2">
        <v>83.73</v>
      </c>
      <c r="I135" s="2">
        <v>87.07</v>
      </c>
      <c r="J135" s="2">
        <v>4.1900000000000004</v>
      </c>
      <c r="K135" s="2">
        <v>65.42</v>
      </c>
      <c r="L135" s="2">
        <v>11492493</v>
      </c>
      <c r="M135" s="2">
        <v>0</v>
      </c>
      <c r="O135" s="6">
        <f t="shared" si="26"/>
        <v>0.38071120830113708</v>
      </c>
      <c r="P135" s="6">
        <f t="shared" si="26"/>
        <v>-0.44597988165369196</v>
      </c>
      <c r="Q135" s="6">
        <f t="shared" si="27"/>
        <v>-0.8807471530224702</v>
      </c>
      <c r="R135" s="6">
        <f t="shared" si="28"/>
        <v>-0.5834139008488658</v>
      </c>
      <c r="S135" s="6">
        <f t="shared" si="29"/>
        <v>-0.14715253124083269</v>
      </c>
      <c r="T135" s="6">
        <f t="shared" si="30"/>
        <v>0.35160775296433194</v>
      </c>
      <c r="U135" s="6">
        <f t="shared" si="31"/>
        <v>0.12325250351023832</v>
      </c>
      <c r="V135" s="6">
        <f t="shared" si="32"/>
        <v>-0.33005353394503589</v>
      </c>
      <c r="W135" s="6">
        <f t="shared" si="33"/>
        <v>-0.63291727059493941</v>
      </c>
      <c r="X135" s="6">
        <f t="shared" si="34"/>
        <v>-0.21880394830264746</v>
      </c>
    </row>
    <row r="136" spans="1:24" x14ac:dyDescent="0.35">
      <c r="A136" s="2" t="s">
        <v>144</v>
      </c>
      <c r="B136" s="2" t="s">
        <v>154</v>
      </c>
      <c r="C136" s="2">
        <v>10.11</v>
      </c>
      <c r="D136" s="2">
        <v>8.39</v>
      </c>
      <c r="E136" s="2">
        <v>10302</v>
      </c>
      <c r="F136" s="2">
        <v>70.45</v>
      </c>
      <c r="G136" s="2">
        <v>70.27</v>
      </c>
      <c r="H136" s="2">
        <v>88.91</v>
      </c>
      <c r="I136" s="2">
        <v>96.68</v>
      </c>
      <c r="J136" s="2">
        <v>4.8499999999999996</v>
      </c>
      <c r="K136" s="2">
        <v>67.03</v>
      </c>
      <c r="L136" s="2">
        <v>7870162</v>
      </c>
      <c r="M136" s="2">
        <v>0</v>
      </c>
      <c r="O136" s="6">
        <f t="shared" si="26"/>
        <v>-0.29029967222742903</v>
      </c>
      <c r="P136" s="6">
        <f t="shared" si="26"/>
        <v>-2.8611111610855368E-2</v>
      </c>
      <c r="Q136" s="6">
        <f t="shared" si="27"/>
        <v>-8.3948939902693219E-3</v>
      </c>
      <c r="R136" s="6">
        <f t="shared" si="28"/>
        <v>8.0612070743067463E-2</v>
      </c>
      <c r="S136" s="6">
        <f t="shared" si="29"/>
        <v>0.17804044067749952</v>
      </c>
      <c r="T136" s="6">
        <f t="shared" si="30"/>
        <v>0.63062037323709397</v>
      </c>
      <c r="U136" s="6">
        <f t="shared" si="31"/>
        <v>0.73588600776575075</v>
      </c>
      <c r="V136" s="6">
        <f t="shared" si="32"/>
        <v>-7.9522430267612701E-2</v>
      </c>
      <c r="W136" s="6">
        <f t="shared" si="33"/>
        <v>-0.38096818426926449</v>
      </c>
      <c r="X136" s="6">
        <f t="shared" si="34"/>
        <v>-0.29449262045960378</v>
      </c>
    </row>
    <row r="137" spans="1:24" x14ac:dyDescent="0.35">
      <c r="A137" s="2" t="s">
        <v>144</v>
      </c>
      <c r="B137" s="2" t="s">
        <v>155</v>
      </c>
      <c r="C137" s="2">
        <v>7.54</v>
      </c>
      <c r="D137" s="2">
        <v>7.08</v>
      </c>
      <c r="E137" s="2">
        <v>7980</v>
      </c>
      <c r="F137" s="2">
        <v>64.040000000000006</v>
      </c>
      <c r="G137" s="2">
        <v>68.260000000000005</v>
      </c>
      <c r="H137" s="2">
        <v>78.98</v>
      </c>
      <c r="I137" s="2">
        <v>80.27</v>
      </c>
      <c r="J137" s="2">
        <v>3.42</v>
      </c>
      <c r="K137" s="2">
        <v>69.209999999999994</v>
      </c>
      <c r="L137" s="2">
        <v>7107313</v>
      </c>
      <c r="M137" s="2">
        <v>0</v>
      </c>
      <c r="O137" s="6">
        <f t="shared" si="26"/>
        <v>-0.63519926481911193</v>
      </c>
      <c r="P137" s="6">
        <f t="shared" si="26"/>
        <v>-0.83265977154631954</v>
      </c>
      <c r="Q137" s="6">
        <f t="shared" si="27"/>
        <v>-0.86380112096356765</v>
      </c>
      <c r="R137" s="6">
        <f t="shared" si="28"/>
        <v>-0.90695323735537514</v>
      </c>
      <c r="S137" s="6">
        <f t="shared" si="29"/>
        <v>-0.40556480356879548</v>
      </c>
      <c r="T137" s="6">
        <f t="shared" si="30"/>
        <v>9.5756411980621223E-2</v>
      </c>
      <c r="U137" s="6">
        <f t="shared" si="31"/>
        <v>-0.31024466911592991</v>
      </c>
      <c r="V137" s="6">
        <f t="shared" si="32"/>
        <v>-0.62233982156869672</v>
      </c>
      <c r="W137" s="6">
        <f t="shared" si="33"/>
        <v>-3.9819731977357914E-2</v>
      </c>
      <c r="X137" s="6">
        <f t="shared" si="34"/>
        <v>-0.31043236419540871</v>
      </c>
    </row>
    <row r="138" spans="1:24" x14ac:dyDescent="0.35">
      <c r="A138" s="2" t="s">
        <v>144</v>
      </c>
      <c r="B138" s="2" t="s">
        <v>156</v>
      </c>
      <c r="C138" s="2">
        <v>8.32</v>
      </c>
      <c r="D138" s="2">
        <v>7.39</v>
      </c>
      <c r="E138" s="2">
        <v>8422</v>
      </c>
      <c r="F138" s="2">
        <v>66.22</v>
      </c>
      <c r="G138" s="2">
        <v>70.03</v>
      </c>
      <c r="H138" s="2">
        <v>75.33</v>
      </c>
      <c r="I138" s="2">
        <v>42.81</v>
      </c>
      <c r="J138" s="2">
        <v>3.35</v>
      </c>
      <c r="K138" s="2">
        <v>72.319999999999993</v>
      </c>
      <c r="L138" s="2">
        <v>7970781</v>
      </c>
      <c r="M138" s="2">
        <v>0</v>
      </c>
      <c r="O138" s="6">
        <f t="shared" si="26"/>
        <v>-0.53052156745665557</v>
      </c>
      <c r="P138" s="6">
        <f t="shared" si="26"/>
        <v>-0.64238871461502689</v>
      </c>
      <c r="Q138" s="6">
        <f t="shared" si="27"/>
        <v>-0.70097185639759096</v>
      </c>
      <c r="R138" s="6">
        <f t="shared" si="28"/>
        <v>-0.57108859279147517</v>
      </c>
      <c r="S138" s="6">
        <f t="shared" si="29"/>
        <v>0.10835623240928637</v>
      </c>
      <c r="T138" s="6">
        <f t="shared" si="30"/>
        <v>-0.10084514477528311</v>
      </c>
      <c r="U138" s="6">
        <f t="shared" si="31"/>
        <v>-2.6983040936124398</v>
      </c>
      <c r="V138" s="6">
        <f t="shared" si="32"/>
        <v>-0.64891130226175675</v>
      </c>
      <c r="W138" s="6">
        <f t="shared" si="33"/>
        <v>0.44686452794366632</v>
      </c>
      <c r="X138" s="6">
        <f t="shared" si="34"/>
        <v>-0.29239018462373983</v>
      </c>
    </row>
    <row r="139" spans="1:24" x14ac:dyDescent="0.35">
      <c r="A139" s="2" t="s">
        <v>144</v>
      </c>
      <c r="B139" s="2" t="s">
        <v>157</v>
      </c>
      <c r="C139" s="2">
        <v>14.81</v>
      </c>
      <c r="D139" s="2">
        <v>8.19</v>
      </c>
      <c r="E139" s="2">
        <v>8533</v>
      </c>
      <c r="F139" s="2">
        <v>64.3</v>
      </c>
      <c r="G139" s="2">
        <v>63.66</v>
      </c>
      <c r="H139" s="2">
        <v>76.680000000000007</v>
      </c>
      <c r="I139" s="2">
        <v>74.53</v>
      </c>
      <c r="J139" s="2">
        <v>3.08</v>
      </c>
      <c r="K139" s="2">
        <v>74.62</v>
      </c>
      <c r="L139" s="2">
        <v>3133190</v>
      </c>
      <c r="M139" s="2">
        <v>0</v>
      </c>
      <c r="O139" s="6">
        <f t="shared" si="26"/>
        <v>0.34045055546942327</v>
      </c>
      <c r="P139" s="6">
        <f t="shared" si="26"/>
        <v>-0.15136663221169019</v>
      </c>
      <c r="Q139" s="6">
        <f t="shared" si="27"/>
        <v>-0.66008034425545659</v>
      </c>
      <c r="R139" s="6">
        <f t="shared" si="28"/>
        <v>-0.86689598616885621</v>
      </c>
      <c r="S139" s="6">
        <f t="shared" si="29"/>
        <v>-1.7411787953762454</v>
      </c>
      <c r="T139" s="6">
        <f t="shared" si="30"/>
        <v>-2.8129500495701707E-2</v>
      </c>
      <c r="U139" s="6">
        <f t="shared" si="31"/>
        <v>-0.67616728247978353</v>
      </c>
      <c r="V139" s="6">
        <f t="shared" si="32"/>
        <v>-0.75140129922070276</v>
      </c>
      <c r="W139" s="6">
        <f t="shared" si="33"/>
        <v>0.80679179412320379</v>
      </c>
      <c r="X139" s="6">
        <f t="shared" si="34"/>
        <v>-0.39347173659357432</v>
      </c>
    </row>
    <row r="140" spans="1:24" x14ac:dyDescent="0.35">
      <c r="A140" s="2" t="s">
        <v>144</v>
      </c>
      <c r="B140" s="2" t="s">
        <v>158</v>
      </c>
      <c r="C140" s="2">
        <v>9.11</v>
      </c>
      <c r="D140" s="2">
        <v>10.95</v>
      </c>
      <c r="E140" s="2">
        <v>12247</v>
      </c>
      <c r="F140" s="2">
        <v>77.58</v>
      </c>
      <c r="G140" s="2">
        <v>71.42</v>
      </c>
      <c r="H140" s="2">
        <v>95.45</v>
      </c>
      <c r="I140" s="2">
        <v>98.47</v>
      </c>
      <c r="J140" s="2">
        <v>8.85</v>
      </c>
      <c r="K140" s="2">
        <v>67.180000000000007</v>
      </c>
      <c r="L140" s="2">
        <v>39818098</v>
      </c>
      <c r="M140" s="2">
        <v>0</v>
      </c>
      <c r="O140" s="6">
        <f t="shared" si="26"/>
        <v>-0.42450184833314225</v>
      </c>
      <c r="P140" s="6">
        <f t="shared" si="26"/>
        <v>1.5426595520798214</v>
      </c>
      <c r="Q140" s="6">
        <f t="shared" si="27"/>
        <v>0.70812754850028414</v>
      </c>
      <c r="R140" s="6">
        <f t="shared" si="28"/>
        <v>1.1791051513580277</v>
      </c>
      <c r="S140" s="6">
        <f t="shared" si="29"/>
        <v>0.51194393862936305</v>
      </c>
      <c r="T140" s="6">
        <f t="shared" si="30"/>
        <v>0.98288727219150862</v>
      </c>
      <c r="U140" s="6">
        <f t="shared" si="31"/>
        <v>0.84999776350116807</v>
      </c>
      <c r="V140" s="6">
        <f t="shared" si="32"/>
        <v>1.4388478950501051</v>
      </c>
      <c r="W140" s="6">
        <f t="shared" si="33"/>
        <v>-0.35749466690972864</v>
      </c>
      <c r="X140" s="6">
        <f t="shared" si="34"/>
        <v>0.3730600835852288</v>
      </c>
    </row>
    <row r="141" spans="1:24" x14ac:dyDescent="0.35">
      <c r="A141" s="2" t="s">
        <v>144</v>
      </c>
      <c r="B141" s="2" t="s">
        <v>159</v>
      </c>
      <c r="C141" s="2">
        <v>8.93</v>
      </c>
      <c r="D141" s="2">
        <v>10.97</v>
      </c>
      <c r="E141" s="2">
        <v>11916</v>
      </c>
      <c r="F141" s="2">
        <v>77.489999999999995</v>
      </c>
      <c r="G141" s="2">
        <v>71.66</v>
      </c>
      <c r="H141" s="2">
        <v>94.64</v>
      </c>
      <c r="I141" s="2">
        <v>94.53</v>
      </c>
      <c r="J141" s="2">
        <v>5</v>
      </c>
      <c r="K141" s="2">
        <v>66.709999999999994</v>
      </c>
      <c r="L141" s="2">
        <v>4358386</v>
      </c>
      <c r="M141" s="2">
        <v>0</v>
      </c>
      <c r="O141" s="6">
        <f t="shared" si="26"/>
        <v>-0.44865824003217064</v>
      </c>
      <c r="P141" s="6">
        <f t="shared" si="26"/>
        <v>1.5549351041399058</v>
      </c>
      <c r="Q141" s="6">
        <f t="shared" si="27"/>
        <v>0.58618979607644195</v>
      </c>
      <c r="R141" s="6">
        <f t="shared" si="28"/>
        <v>1.1652391797934625</v>
      </c>
      <c r="S141" s="6">
        <f t="shared" si="29"/>
        <v>0.58162814689757625</v>
      </c>
      <c r="T141" s="6">
        <f t="shared" si="30"/>
        <v>0.93925788562376</v>
      </c>
      <c r="U141" s="6">
        <f t="shared" si="31"/>
        <v>0.59882440171482954</v>
      </c>
      <c r="V141" s="6">
        <f t="shared" si="32"/>
        <v>-2.2583543068198139E-2</v>
      </c>
      <c r="W141" s="6">
        <f t="shared" si="33"/>
        <v>-0.4310450213029402</v>
      </c>
      <c r="X141" s="6">
        <f t="shared" si="34"/>
        <v>-0.36787124387990067</v>
      </c>
    </row>
    <row r="142" spans="1:24" x14ac:dyDescent="0.35">
      <c r="A142" s="2" t="s">
        <v>160</v>
      </c>
      <c r="B142" s="2" t="s">
        <v>161</v>
      </c>
      <c r="C142" s="2">
        <v>4.8099999999999996</v>
      </c>
      <c r="D142" s="2">
        <v>8.25</v>
      </c>
      <c r="E142" s="2">
        <v>12424</v>
      </c>
      <c r="F142" s="2">
        <v>72.459999999999994</v>
      </c>
      <c r="G142" s="2">
        <v>71.14</v>
      </c>
      <c r="H142" s="2">
        <v>95.73</v>
      </c>
      <c r="I142" s="2">
        <v>64.239999999999995</v>
      </c>
      <c r="J142" s="2">
        <v>5.97</v>
      </c>
      <c r="K142" s="2">
        <v>62.68</v>
      </c>
      <c r="L142" s="2">
        <v>10733700</v>
      </c>
      <c r="M142" s="2">
        <v>0</v>
      </c>
      <c r="O142" s="6">
        <f t="shared" si="26"/>
        <v>-1.0015712055877091</v>
      </c>
      <c r="P142" s="6">
        <f t="shared" si="26"/>
        <v>-0.11453997603143964</v>
      </c>
      <c r="Q142" s="6">
        <f t="shared" si="27"/>
        <v>0.77333293272693093</v>
      </c>
      <c r="R142" s="6">
        <f t="shared" si="28"/>
        <v>0.39028543568501156</v>
      </c>
      <c r="S142" s="6">
        <f t="shared" si="29"/>
        <v>0.43064569564977895</v>
      </c>
      <c r="T142" s="6">
        <f t="shared" si="30"/>
        <v>0.99796903544949589</v>
      </c>
      <c r="U142" s="6">
        <f t="shared" si="31"/>
        <v>-1.3321505039979122</v>
      </c>
      <c r="V142" s="6">
        <f t="shared" si="32"/>
        <v>0.34562126082134836</v>
      </c>
      <c r="W142" s="6">
        <f t="shared" si="33"/>
        <v>-1.0617001876957779</v>
      </c>
      <c r="X142" s="6">
        <f t="shared" si="34"/>
        <v>-0.23465894184464939</v>
      </c>
    </row>
    <row r="143" spans="1:24" x14ac:dyDescent="0.35">
      <c r="A143" s="2" t="s">
        <v>160</v>
      </c>
      <c r="B143" s="2" t="s">
        <v>162</v>
      </c>
      <c r="C143" s="2">
        <v>7.15</v>
      </c>
      <c r="D143" s="2">
        <v>8.4700000000000006</v>
      </c>
      <c r="E143" s="2">
        <v>13563</v>
      </c>
      <c r="F143" s="2">
        <v>72.569999999999993</v>
      </c>
      <c r="G143" s="2">
        <v>71.099999999999994</v>
      </c>
      <c r="H143" s="2">
        <v>94.57</v>
      </c>
      <c r="I143" s="2">
        <v>66.31</v>
      </c>
      <c r="J143" s="2">
        <v>3.51</v>
      </c>
      <c r="K143" s="2">
        <v>66.28</v>
      </c>
      <c r="L143" s="2">
        <v>6710007</v>
      </c>
      <c r="M143" s="2">
        <v>0</v>
      </c>
      <c r="O143" s="6">
        <f t="shared" si="26"/>
        <v>-0.68753811350034011</v>
      </c>
      <c r="P143" s="6">
        <f t="shared" si="26"/>
        <v>2.0491096629478348E-2</v>
      </c>
      <c r="Q143" s="6">
        <f t="shared" si="27"/>
        <v>1.1929314221854093</v>
      </c>
      <c r="R143" s="6">
        <f t="shared" si="28"/>
        <v>0.40723273426392392</v>
      </c>
      <c r="S143" s="6">
        <f t="shared" si="29"/>
        <v>0.41903166093840805</v>
      </c>
      <c r="T143" s="6">
        <f t="shared" si="30"/>
        <v>0.93548744480926282</v>
      </c>
      <c r="U143" s="6">
        <f t="shared" si="31"/>
        <v>-1.2001888646837695</v>
      </c>
      <c r="V143" s="6">
        <f t="shared" si="32"/>
        <v>-0.5881764892490482</v>
      </c>
      <c r="W143" s="6">
        <f t="shared" si="33"/>
        <v>-0.49833577106693916</v>
      </c>
      <c r="X143" s="6">
        <f t="shared" si="34"/>
        <v>-0.318734080294791</v>
      </c>
    </row>
    <row r="144" spans="1:24" x14ac:dyDescent="0.35">
      <c r="A144" s="2" t="s">
        <v>160</v>
      </c>
      <c r="B144" s="2" t="s">
        <v>163</v>
      </c>
      <c r="C144" s="2">
        <v>2.75</v>
      </c>
      <c r="D144" s="2">
        <v>7.44</v>
      </c>
      <c r="E144" s="2">
        <v>12269</v>
      </c>
      <c r="F144" s="2">
        <v>69.599999999999994</v>
      </c>
      <c r="G144" s="2">
        <v>70.08</v>
      </c>
      <c r="H144" s="2">
        <v>89.99</v>
      </c>
      <c r="I144" s="2">
        <v>80.180000000000007</v>
      </c>
      <c r="J144" s="2">
        <v>3.83</v>
      </c>
      <c r="K144" s="2">
        <v>65.98</v>
      </c>
      <c r="L144" s="2">
        <v>10331789</v>
      </c>
      <c r="M144" s="2">
        <v>0</v>
      </c>
      <c r="O144" s="6">
        <f t="shared" si="26"/>
        <v>-1.2780276883654784</v>
      </c>
      <c r="P144" s="6">
        <f t="shared" si="26"/>
        <v>-0.6116998344648179</v>
      </c>
      <c r="Q144" s="6">
        <f t="shared" si="27"/>
        <v>0.71623217252845495</v>
      </c>
      <c r="R144" s="6">
        <f t="shared" si="28"/>
        <v>-5.0344327366711801E-2</v>
      </c>
      <c r="S144" s="6">
        <f t="shared" si="29"/>
        <v>0.12287377579849693</v>
      </c>
      <c r="T144" s="6">
        <f t="shared" si="30"/>
        <v>0.68879288866075861</v>
      </c>
      <c r="U144" s="6">
        <f t="shared" si="31"/>
        <v>-0.31598213169480499</v>
      </c>
      <c r="V144" s="6">
        <f t="shared" si="32"/>
        <v>-0.46670686322363059</v>
      </c>
      <c r="W144" s="6">
        <f t="shared" si="33"/>
        <v>-0.54528280578600863</v>
      </c>
      <c r="X144" s="6">
        <f t="shared" si="34"/>
        <v>-0.24305687950282431</v>
      </c>
    </row>
    <row r="145" spans="1:24" x14ac:dyDescent="0.35">
      <c r="A145" s="2" t="s">
        <v>160</v>
      </c>
      <c r="B145" s="2" t="s">
        <v>164</v>
      </c>
      <c r="C145" s="2">
        <v>5.13</v>
      </c>
      <c r="D145" s="2">
        <v>7.2</v>
      </c>
      <c r="E145" s="2">
        <v>12945</v>
      </c>
      <c r="F145" s="2">
        <v>70.89</v>
      </c>
      <c r="G145" s="2">
        <v>71.52</v>
      </c>
      <c r="H145" s="2">
        <v>92.66</v>
      </c>
      <c r="I145" s="2">
        <v>77.33</v>
      </c>
      <c r="J145" s="2">
        <v>4.95</v>
      </c>
      <c r="K145" s="2">
        <v>66.239999999999995</v>
      </c>
      <c r="L145" s="2">
        <v>5986898</v>
      </c>
      <c r="M145" s="2">
        <v>0</v>
      </c>
      <c r="O145" s="6">
        <f t="shared" si="26"/>
        <v>-0.95862650923388082</v>
      </c>
      <c r="P145" s="6">
        <f t="shared" si="26"/>
        <v>-0.75900645918581899</v>
      </c>
      <c r="Q145" s="6">
        <f t="shared" si="27"/>
        <v>0.96526516539406637</v>
      </c>
      <c r="R145" s="6">
        <f t="shared" si="28"/>
        <v>0.14840126505871687</v>
      </c>
      <c r="S145" s="6">
        <f t="shared" si="29"/>
        <v>0.5409790254077842</v>
      </c>
      <c r="T145" s="6">
        <f t="shared" si="30"/>
        <v>0.83260827401370774</v>
      </c>
      <c r="U145" s="6">
        <f t="shared" si="31"/>
        <v>-0.4976684466925379</v>
      </c>
      <c r="V145" s="6">
        <f t="shared" si="32"/>
        <v>-4.1563172134669542E-2</v>
      </c>
      <c r="W145" s="6">
        <f t="shared" si="33"/>
        <v>-0.50459537569614943</v>
      </c>
      <c r="X145" s="6">
        <f t="shared" si="34"/>
        <v>-0.33384345600748666</v>
      </c>
    </row>
    <row r="146" spans="1:24" x14ac:dyDescent="0.35">
      <c r="A146" s="2" t="s">
        <v>160</v>
      </c>
      <c r="B146" s="2" t="s">
        <v>165</v>
      </c>
      <c r="C146" s="2">
        <v>3.69</v>
      </c>
      <c r="D146" s="2">
        <v>6.71</v>
      </c>
      <c r="E146" s="2">
        <v>11768</v>
      </c>
      <c r="F146" s="2">
        <v>67.06</v>
      </c>
      <c r="G146" s="2">
        <v>68.349999999999994</v>
      </c>
      <c r="H146" s="2">
        <v>83.39</v>
      </c>
      <c r="I146" s="2">
        <v>69.150000000000006</v>
      </c>
      <c r="J146" s="2">
        <v>5.29</v>
      </c>
      <c r="K146" s="2">
        <v>68.959999999999994</v>
      </c>
      <c r="L146" s="2">
        <v>6275555</v>
      </c>
      <c r="M146" s="2">
        <v>0</v>
      </c>
      <c r="O146" s="6">
        <f t="shared" si="26"/>
        <v>-1.1518776428261079</v>
      </c>
      <c r="P146" s="6">
        <f t="shared" si="26"/>
        <v>-1.0597574846578628</v>
      </c>
      <c r="Q146" s="6">
        <f t="shared" si="27"/>
        <v>0.53166777988692937</v>
      </c>
      <c r="R146" s="6">
        <f t="shared" si="28"/>
        <v>-0.44167285818887053</v>
      </c>
      <c r="S146" s="6">
        <f t="shared" si="29"/>
        <v>-0.37943322546821812</v>
      </c>
      <c r="T146" s="6">
        <f t="shared" si="30"/>
        <v>0.3332941832939188</v>
      </c>
      <c r="U146" s="6">
        <f t="shared" si="31"/>
        <v>-1.0191400455281341</v>
      </c>
      <c r="V146" s="6">
        <f t="shared" si="32"/>
        <v>8.7498305517336422E-2</v>
      </c>
      <c r="W146" s="6">
        <f t="shared" si="33"/>
        <v>-7.8942260909916143E-2</v>
      </c>
      <c r="X146" s="6">
        <f t="shared" si="34"/>
        <v>-0.32781196274008217</v>
      </c>
    </row>
    <row r="147" spans="1:24" x14ac:dyDescent="0.35">
      <c r="A147" s="2" t="s">
        <v>160</v>
      </c>
      <c r="B147" s="2" t="s">
        <v>166</v>
      </c>
      <c r="C147" s="2">
        <v>7.2</v>
      </c>
      <c r="D147" s="2">
        <v>8.4700000000000006</v>
      </c>
      <c r="E147" s="2">
        <v>11760</v>
      </c>
      <c r="F147" s="2">
        <v>71.42</v>
      </c>
      <c r="G147" s="2">
        <v>72.099999999999994</v>
      </c>
      <c r="H147" s="2">
        <v>89.46</v>
      </c>
      <c r="I147" s="2">
        <v>60.01</v>
      </c>
      <c r="J147" s="2">
        <v>3.78</v>
      </c>
      <c r="K147" s="2">
        <v>69.23</v>
      </c>
      <c r="L147" s="2">
        <v>5713650</v>
      </c>
      <c r="M147" s="2">
        <v>0</v>
      </c>
      <c r="O147" s="6">
        <f t="shared" si="26"/>
        <v>-0.68082800469505445</v>
      </c>
      <c r="P147" s="6">
        <f t="shared" si="26"/>
        <v>2.0491096629478348E-2</v>
      </c>
      <c r="Q147" s="6">
        <f t="shared" si="27"/>
        <v>0.52872064387668538</v>
      </c>
      <c r="R147" s="6">
        <f t="shared" si="28"/>
        <v>0.23005643093893152</v>
      </c>
      <c r="S147" s="6">
        <f t="shared" si="29"/>
        <v>0.70938252872263574</v>
      </c>
      <c r="T147" s="6">
        <f t="shared" si="30"/>
        <v>0.66024526535099715</v>
      </c>
      <c r="U147" s="6">
        <f t="shared" si="31"/>
        <v>-1.6018112452050728</v>
      </c>
      <c r="V147" s="6">
        <f t="shared" si="32"/>
        <v>-0.48568649229010219</v>
      </c>
      <c r="W147" s="6">
        <f t="shared" si="33"/>
        <v>-3.6689929662751655E-2</v>
      </c>
      <c r="X147" s="6">
        <f t="shared" si="34"/>
        <v>-0.33955297793950889</v>
      </c>
    </row>
    <row r="148" spans="1:24" x14ac:dyDescent="0.35">
      <c r="A148" s="2" t="s">
        <v>160</v>
      </c>
      <c r="B148" s="2" t="s">
        <v>167</v>
      </c>
      <c r="C148" s="2">
        <v>4.76</v>
      </c>
      <c r="D148" s="2">
        <v>10.130000000000001</v>
      </c>
      <c r="E148" s="2">
        <v>15716</v>
      </c>
      <c r="F148" s="2">
        <v>78.569999999999993</v>
      </c>
      <c r="G148" s="2">
        <v>73.41</v>
      </c>
      <c r="H148" s="2">
        <v>96.78</v>
      </c>
      <c r="I148" s="2">
        <v>96.3</v>
      </c>
      <c r="J148" s="2">
        <v>6.81</v>
      </c>
      <c r="K148" s="2">
        <v>65.16</v>
      </c>
      <c r="L148" s="2">
        <v>9611883</v>
      </c>
      <c r="M148" s="2">
        <v>0</v>
      </c>
      <c r="O148" s="6">
        <f t="shared" si="26"/>
        <v>-1.0082813143929947</v>
      </c>
      <c r="P148" s="6">
        <f t="shared" si="26"/>
        <v>1.0393619176164022</v>
      </c>
      <c r="Q148" s="6">
        <f t="shared" si="27"/>
        <v>1.9860794009423048</v>
      </c>
      <c r="R148" s="6">
        <f t="shared" si="28"/>
        <v>1.3316308385682389</v>
      </c>
      <c r="S148" s="6">
        <f t="shared" si="29"/>
        <v>1.0897421655199746</v>
      </c>
      <c r="T148" s="6">
        <f t="shared" si="30"/>
        <v>1.0545256476669476</v>
      </c>
      <c r="U148" s="6">
        <f t="shared" si="31"/>
        <v>0.71166116576605254</v>
      </c>
      <c r="V148" s="6">
        <f t="shared" si="32"/>
        <v>0.66447902913806911</v>
      </c>
      <c r="W148" s="6">
        <f t="shared" si="33"/>
        <v>-0.67360470068480072</v>
      </c>
      <c r="X148" s="6">
        <f t="shared" si="34"/>
        <v>-0.25809932847223815</v>
      </c>
    </row>
    <row r="149" spans="1:24" x14ac:dyDescent="0.35">
      <c r="A149" s="2" t="s">
        <v>168</v>
      </c>
      <c r="B149" s="2" t="s">
        <v>169</v>
      </c>
      <c r="C149" s="2">
        <v>6.85</v>
      </c>
      <c r="D149" s="2">
        <v>8.18</v>
      </c>
      <c r="E149" s="2">
        <v>11879</v>
      </c>
      <c r="F149" s="2">
        <v>71.7</v>
      </c>
      <c r="G149" s="2">
        <v>71.11</v>
      </c>
      <c r="H149" s="2">
        <v>92.88</v>
      </c>
      <c r="I149" s="2">
        <v>88.1</v>
      </c>
      <c r="J149" s="2">
        <v>7.2</v>
      </c>
      <c r="K149" s="2">
        <v>60.86</v>
      </c>
      <c r="L149" s="2">
        <v>9332771</v>
      </c>
      <c r="M149" s="2">
        <v>0</v>
      </c>
      <c r="O149" s="6">
        <f t="shared" si="26"/>
        <v>-0.72779876633205409</v>
      </c>
      <c r="P149" s="6">
        <f t="shared" si="26"/>
        <v>-0.15750440824173179</v>
      </c>
      <c r="Q149" s="6">
        <f t="shared" si="27"/>
        <v>0.57255929202906375</v>
      </c>
      <c r="R149" s="6">
        <f t="shared" si="28"/>
        <v>0.27319500913979972</v>
      </c>
      <c r="S149" s="6">
        <f t="shared" si="29"/>
        <v>0.42193516961625177</v>
      </c>
      <c r="T149" s="6">
        <f t="shared" si="30"/>
        <v>0.84445823085926897</v>
      </c>
      <c r="U149" s="6">
        <f t="shared" si="31"/>
        <v>0.18891457524626096</v>
      </c>
      <c r="V149" s="6">
        <f t="shared" si="32"/>
        <v>0.81252013585654681</v>
      </c>
      <c r="W149" s="6">
        <f t="shared" si="33"/>
        <v>-1.3465121983248018</v>
      </c>
      <c r="X149" s="6">
        <f t="shared" si="34"/>
        <v>-0.26393137879096173</v>
      </c>
    </row>
    <row r="150" spans="1:24" x14ac:dyDescent="0.35">
      <c r="A150" s="2" t="s">
        <v>168</v>
      </c>
      <c r="B150" s="2" t="s">
        <v>170</v>
      </c>
      <c r="C150" s="2">
        <v>6.42</v>
      </c>
      <c r="D150" s="2">
        <v>8.67</v>
      </c>
      <c r="E150" s="2">
        <v>14393</v>
      </c>
      <c r="F150" s="2">
        <v>74.569999999999993</v>
      </c>
      <c r="G150" s="2">
        <v>70.459999999999994</v>
      </c>
      <c r="H150" s="2">
        <v>79.760000000000005</v>
      </c>
      <c r="I150" s="2">
        <v>76.64</v>
      </c>
      <c r="J150" s="2">
        <v>8.6199999999999992</v>
      </c>
      <c r="K150" s="2">
        <v>63.19</v>
      </c>
      <c r="L150" s="2">
        <v>13933491</v>
      </c>
      <c r="M150" s="2">
        <v>0</v>
      </c>
      <c r="O150" s="6">
        <f t="shared" si="26"/>
        <v>-0.7855057020575108</v>
      </c>
      <c r="P150" s="6">
        <f t="shared" si="26"/>
        <v>0.1432466172303121</v>
      </c>
      <c r="Q150" s="6">
        <f t="shared" si="27"/>
        <v>1.4986967832482163</v>
      </c>
      <c r="R150" s="6">
        <f t="shared" si="28"/>
        <v>0.7153654356986956</v>
      </c>
      <c r="S150" s="6">
        <f t="shared" si="29"/>
        <v>0.23320710555650215</v>
      </c>
      <c r="T150" s="6">
        <f t="shared" si="30"/>
        <v>0.13776989534215694</v>
      </c>
      <c r="U150" s="6">
        <f t="shared" si="31"/>
        <v>-0.54165565979725194</v>
      </c>
      <c r="V150" s="6">
        <f t="shared" si="32"/>
        <v>1.3515416013443362</v>
      </c>
      <c r="W150" s="6">
        <f t="shared" si="33"/>
        <v>-0.9818902286733594</v>
      </c>
      <c r="X150" s="6">
        <f t="shared" si="34"/>
        <v>-0.16779925067623339</v>
      </c>
    </row>
    <row r="151" spans="1:24" x14ac:dyDescent="0.35">
      <c r="A151" s="2" t="s">
        <v>168</v>
      </c>
      <c r="B151" s="2" t="s">
        <v>171</v>
      </c>
      <c r="C151" s="2">
        <v>4.95</v>
      </c>
      <c r="D151" s="2">
        <v>8.92</v>
      </c>
      <c r="E151" s="2">
        <v>14711</v>
      </c>
      <c r="F151" s="2">
        <v>73.09</v>
      </c>
      <c r="G151" s="2">
        <v>65.31</v>
      </c>
      <c r="H151" s="2">
        <v>70.709999999999994</v>
      </c>
      <c r="I151" s="2">
        <v>81.260000000000005</v>
      </c>
      <c r="J151" s="2">
        <v>5.15</v>
      </c>
      <c r="K151" s="2">
        <v>72.31</v>
      </c>
      <c r="L151" s="2">
        <v>14645400</v>
      </c>
      <c r="M151" s="2">
        <v>0</v>
      </c>
      <c r="O151" s="6">
        <f t="shared" si="26"/>
        <v>-0.98278290093290921</v>
      </c>
      <c r="P151" s="6">
        <f t="shared" si="26"/>
        <v>0.29669101798135483</v>
      </c>
      <c r="Q151" s="6">
        <f t="shared" si="27"/>
        <v>1.6158454396554121</v>
      </c>
      <c r="R151" s="6">
        <f t="shared" si="28"/>
        <v>0.48734723663696611</v>
      </c>
      <c r="S151" s="6">
        <f t="shared" si="29"/>
        <v>-1.262099863532268</v>
      </c>
      <c r="T151" s="6">
        <f t="shared" si="30"/>
        <v>-0.34969423853207149</v>
      </c>
      <c r="U151" s="6">
        <f t="shared" si="31"/>
        <v>-0.247132580748296</v>
      </c>
      <c r="V151" s="6">
        <f t="shared" si="32"/>
        <v>3.4355344131216416E-2</v>
      </c>
      <c r="W151" s="6">
        <f t="shared" si="33"/>
        <v>0.44529962678636542</v>
      </c>
      <c r="X151" s="6">
        <f t="shared" si="34"/>
        <v>-0.15292389916733301</v>
      </c>
    </row>
    <row r="152" spans="1:24" x14ac:dyDescent="0.35">
      <c r="A152" s="2" t="s">
        <v>168</v>
      </c>
      <c r="B152" s="2" t="s">
        <v>172</v>
      </c>
      <c r="C152" s="2">
        <v>13.93</v>
      </c>
      <c r="D152" s="2">
        <v>6.88</v>
      </c>
      <c r="E152" s="2">
        <v>11938</v>
      </c>
      <c r="F152" s="2">
        <v>65.83</v>
      </c>
      <c r="G152" s="2">
        <v>62.39</v>
      </c>
      <c r="H152" s="2">
        <v>68.180000000000007</v>
      </c>
      <c r="I152" s="2">
        <v>81.25</v>
      </c>
      <c r="J152" s="2">
        <v>4.2300000000000004</v>
      </c>
      <c r="K152" s="2">
        <v>64.489999999999995</v>
      </c>
      <c r="L152" s="2">
        <v>2971547</v>
      </c>
      <c r="M152" s="2">
        <v>0</v>
      </c>
      <c r="O152" s="6">
        <f t="shared" si="26"/>
        <v>0.22235264049639553</v>
      </c>
      <c r="P152" s="6">
        <f t="shared" si="26"/>
        <v>-0.95541529214715393</v>
      </c>
      <c r="Q152" s="6">
        <f t="shared" si="27"/>
        <v>0.59429442010461264</v>
      </c>
      <c r="R152" s="6">
        <f t="shared" si="28"/>
        <v>-0.63117446957125567</v>
      </c>
      <c r="S152" s="6">
        <f t="shared" si="29"/>
        <v>-2.1099243974622133</v>
      </c>
      <c r="T152" s="6">
        <f t="shared" si="30"/>
        <v>-0.48596874225602615</v>
      </c>
      <c r="U152" s="6">
        <f t="shared" si="31"/>
        <v>-0.24777007659039363</v>
      </c>
      <c r="V152" s="6">
        <f t="shared" si="32"/>
        <v>-0.3148698306918587</v>
      </c>
      <c r="W152" s="6">
        <f t="shared" si="33"/>
        <v>-0.77845307822405707</v>
      </c>
      <c r="X152" s="6">
        <f t="shared" si="34"/>
        <v>-0.39684927001983133</v>
      </c>
    </row>
    <row r="153" spans="1:24" x14ac:dyDescent="0.35">
      <c r="A153" s="2" t="s">
        <v>168</v>
      </c>
      <c r="B153" s="2" t="s">
        <v>173</v>
      </c>
      <c r="C153" s="2">
        <v>7.09</v>
      </c>
      <c r="D153" s="2">
        <v>7.34</v>
      </c>
      <c r="E153" s="2">
        <v>11950</v>
      </c>
      <c r="F153" s="2">
        <v>69.23</v>
      </c>
      <c r="G153" s="2">
        <v>67.36</v>
      </c>
      <c r="H153" s="2">
        <v>33.799999999999997</v>
      </c>
      <c r="I153" s="2">
        <v>20.51</v>
      </c>
      <c r="J153" s="2">
        <v>1.27</v>
      </c>
      <c r="K153" s="2">
        <v>70.3</v>
      </c>
      <c r="L153" s="2">
        <v>11108487</v>
      </c>
      <c r="M153" s="2">
        <v>0</v>
      </c>
      <c r="O153" s="6">
        <f t="shared" si="26"/>
        <v>-0.69559024406668291</v>
      </c>
      <c r="P153" s="6">
        <f t="shared" si="26"/>
        <v>-0.67307759476523532</v>
      </c>
      <c r="Q153" s="6">
        <f t="shared" si="27"/>
        <v>0.59871512411997863</v>
      </c>
      <c r="R153" s="6">
        <f t="shared" si="28"/>
        <v>-0.10734887713214306</v>
      </c>
      <c r="S153" s="6">
        <f t="shared" si="29"/>
        <v>-0.66688058457460209</v>
      </c>
      <c r="T153" s="6">
        <f t="shared" si="30"/>
        <v>-2.3377938165760215</v>
      </c>
      <c r="U153" s="6">
        <f t="shared" si="31"/>
        <v>-4.1199198214894333</v>
      </c>
      <c r="V153" s="6">
        <f t="shared" si="32"/>
        <v>-1.4384638714269702</v>
      </c>
      <c r="W153" s="6">
        <f t="shared" si="33"/>
        <v>0.1307544941685965</v>
      </c>
      <c r="X153" s="6">
        <f t="shared" si="34"/>
        <v>-0.22682776066002291</v>
      </c>
    </row>
    <row r="154" spans="1:24" x14ac:dyDescent="0.35">
      <c r="A154" s="2" t="s">
        <v>168</v>
      </c>
      <c r="B154" s="2" t="s">
        <v>174</v>
      </c>
      <c r="C154" s="2">
        <v>5.05</v>
      </c>
      <c r="D154" s="2">
        <v>11.15</v>
      </c>
      <c r="E154" s="2">
        <v>18034</v>
      </c>
      <c r="F154" s="2">
        <v>81.12</v>
      </c>
      <c r="G154" s="2">
        <v>73.36</v>
      </c>
      <c r="H154" s="2">
        <v>97.83</v>
      </c>
      <c r="I154" s="2">
        <v>95.63</v>
      </c>
      <c r="J154" s="2">
        <v>11.64</v>
      </c>
      <c r="K154" s="2">
        <v>71.06</v>
      </c>
      <c r="L154" s="2">
        <v>111068955</v>
      </c>
      <c r="M154" s="2">
        <v>0</v>
      </c>
      <c r="O154" s="6">
        <f t="shared" si="26"/>
        <v>-0.96936268332233788</v>
      </c>
      <c r="P154" s="6">
        <f t="shared" si="26"/>
        <v>1.6654150726806562</v>
      </c>
      <c r="Q154" s="6">
        <f t="shared" si="27"/>
        <v>2.8400120599104812</v>
      </c>
      <c r="R154" s="6">
        <f t="shared" si="28"/>
        <v>1.7245000328975744</v>
      </c>
      <c r="S154" s="6">
        <f t="shared" si="29"/>
        <v>1.0752246221307642</v>
      </c>
      <c r="T154" s="6">
        <f t="shared" si="30"/>
        <v>1.1110822598843992</v>
      </c>
      <c r="U154" s="6">
        <f t="shared" si="31"/>
        <v>0.66894894434553287</v>
      </c>
      <c r="V154" s="6">
        <f t="shared" si="32"/>
        <v>2.497911196959214</v>
      </c>
      <c r="W154" s="6">
        <f t="shared" si="33"/>
        <v>0.24968698212357429</v>
      </c>
      <c r="X154" s="6">
        <f t="shared" si="34"/>
        <v>1.8618480370812447</v>
      </c>
    </row>
    <row r="155" spans="1:24" x14ac:dyDescent="0.35">
      <c r="A155" s="2" t="s">
        <v>168</v>
      </c>
      <c r="B155" s="2" t="s">
        <v>175</v>
      </c>
      <c r="C155" s="2">
        <v>9.57</v>
      </c>
      <c r="D155" s="2">
        <v>10.26</v>
      </c>
      <c r="E155" s="2">
        <v>15439</v>
      </c>
      <c r="F155" s="2">
        <v>78.930000000000007</v>
      </c>
      <c r="G155" s="2">
        <v>72.180000000000007</v>
      </c>
      <c r="H155" s="2">
        <v>84.47</v>
      </c>
      <c r="I155" s="2">
        <v>91.66</v>
      </c>
      <c r="J155" s="2">
        <v>6.31</v>
      </c>
      <c r="K155" s="2">
        <v>60.56</v>
      </c>
      <c r="L155" s="2">
        <v>14020211</v>
      </c>
      <c r="M155" s="2">
        <v>0</v>
      </c>
      <c r="O155" s="6">
        <f t="shared" si="26"/>
        <v>-0.36276884732451409</v>
      </c>
      <c r="P155" s="6">
        <f t="shared" si="26"/>
        <v>1.1191530060069437</v>
      </c>
      <c r="Q155" s="6">
        <f t="shared" si="27"/>
        <v>1.8840348165876091</v>
      </c>
      <c r="R155" s="6">
        <f t="shared" si="28"/>
        <v>1.3870947248264998</v>
      </c>
      <c r="S155" s="6">
        <f t="shared" si="29"/>
        <v>0.73261059814537755</v>
      </c>
      <c r="T155" s="6">
        <f t="shared" si="30"/>
        <v>0.39146669871758344</v>
      </c>
      <c r="U155" s="6">
        <f t="shared" si="31"/>
        <v>0.41586309503290225</v>
      </c>
      <c r="V155" s="6">
        <f t="shared" si="32"/>
        <v>0.47468273847335435</v>
      </c>
      <c r="W155" s="6">
        <f t="shared" si="33"/>
        <v>-1.3934592330438713</v>
      </c>
      <c r="X155" s="6">
        <f t="shared" si="34"/>
        <v>-0.16598723469827575</v>
      </c>
    </row>
    <row r="156" spans="1:24" x14ac:dyDescent="0.35">
      <c r="A156" s="2" t="s">
        <v>176</v>
      </c>
      <c r="B156" s="2" t="s">
        <v>177</v>
      </c>
      <c r="C156" s="2">
        <v>15.06</v>
      </c>
      <c r="D156" s="2">
        <v>8.81</v>
      </c>
      <c r="E156" s="2">
        <v>12587</v>
      </c>
      <c r="F156" s="2">
        <v>72.099999999999994</v>
      </c>
      <c r="G156" s="2">
        <v>68.989999999999995</v>
      </c>
      <c r="H156" s="2">
        <v>83.75</v>
      </c>
      <c r="I156" s="2">
        <v>94.22</v>
      </c>
      <c r="J156" s="2">
        <v>8.58</v>
      </c>
      <c r="K156" s="2">
        <v>65.45</v>
      </c>
      <c r="L156" s="2">
        <v>3649179</v>
      </c>
      <c r="M156" s="2">
        <v>0</v>
      </c>
      <c r="O156" s="6">
        <f t="shared" si="26"/>
        <v>0.37400109949585159</v>
      </c>
      <c r="P156" s="6">
        <f t="shared" si="26"/>
        <v>0.22917548165089638</v>
      </c>
      <c r="Q156" s="6">
        <f t="shared" si="27"/>
        <v>0.83338082893565091</v>
      </c>
      <c r="R156" s="6">
        <f t="shared" si="28"/>
        <v>0.33482154942675274</v>
      </c>
      <c r="S156" s="6">
        <f t="shared" si="29"/>
        <v>-0.19360867008631225</v>
      </c>
      <c r="T156" s="6">
        <f t="shared" si="30"/>
        <v>0.35268502176847366</v>
      </c>
      <c r="U156" s="6">
        <f t="shared" si="31"/>
        <v>0.57906203060981287</v>
      </c>
      <c r="V156" s="6">
        <f t="shared" si="32"/>
        <v>1.3363578980911595</v>
      </c>
      <c r="W156" s="6">
        <f t="shared" si="33"/>
        <v>-0.62822256712303226</v>
      </c>
      <c r="X156" s="6">
        <f t="shared" si="34"/>
        <v>-0.38269013704963545</v>
      </c>
    </row>
    <row r="157" spans="1:24" x14ac:dyDescent="0.35">
      <c r="A157" s="2" t="s">
        <v>176</v>
      </c>
      <c r="B157" s="2" t="s">
        <v>178</v>
      </c>
      <c r="C157" s="2">
        <v>3.56</v>
      </c>
      <c r="D157" s="2">
        <v>11.64</v>
      </c>
      <c r="E157" s="2">
        <v>23888</v>
      </c>
      <c r="F157" s="2">
        <v>84.9</v>
      </c>
      <c r="G157" s="2">
        <v>74.2</v>
      </c>
      <c r="H157" s="2">
        <v>96.51</v>
      </c>
      <c r="I157" s="2">
        <v>99.96</v>
      </c>
      <c r="J157" s="2">
        <v>7.33</v>
      </c>
      <c r="K157" s="2">
        <v>61.44</v>
      </c>
      <c r="L157" s="2">
        <v>429398830</v>
      </c>
      <c r="M157" s="2">
        <v>0</v>
      </c>
      <c r="O157" s="6">
        <f t="shared" si="26"/>
        <v>-1.1693239257198504</v>
      </c>
      <c r="P157" s="6">
        <f t="shared" si="26"/>
        <v>1.9661660981527</v>
      </c>
      <c r="Q157" s="6">
        <f t="shared" si="27"/>
        <v>4.9965788354064706</v>
      </c>
      <c r="R157" s="6">
        <f t="shared" si="28"/>
        <v>2.3068708386092931</v>
      </c>
      <c r="S157" s="6">
        <f t="shared" si="29"/>
        <v>1.3191193510695163</v>
      </c>
      <c r="T157" s="6">
        <f t="shared" si="30"/>
        <v>1.0399825188110317</v>
      </c>
      <c r="U157" s="6">
        <f t="shared" si="31"/>
        <v>0.94498464397366644</v>
      </c>
      <c r="V157" s="6">
        <f t="shared" si="32"/>
        <v>0.86186717142937253</v>
      </c>
      <c r="W157" s="6">
        <f t="shared" si="33"/>
        <v>-1.2557479312012669</v>
      </c>
      <c r="X157" s="6">
        <f t="shared" si="34"/>
        <v>8.5133565675385334</v>
      </c>
    </row>
    <row r="158" spans="1:24" x14ac:dyDescent="0.35">
      <c r="A158" s="2" t="s">
        <v>176</v>
      </c>
      <c r="B158" s="2" t="s">
        <v>179</v>
      </c>
      <c r="C158" s="2">
        <v>4.28</v>
      </c>
      <c r="D158" s="2">
        <v>11.67</v>
      </c>
      <c r="E158" s="2">
        <v>17733</v>
      </c>
      <c r="F158" s="2">
        <v>82.97</v>
      </c>
      <c r="G158" s="2">
        <v>74.540000000000006</v>
      </c>
      <c r="H158" s="2">
        <v>96.73</v>
      </c>
      <c r="I158" s="2">
        <v>99.58</v>
      </c>
      <c r="J158" s="2">
        <v>8.23</v>
      </c>
      <c r="K158" s="2">
        <v>60.85</v>
      </c>
      <c r="L158" s="2">
        <v>313842135</v>
      </c>
      <c r="M158" s="2">
        <v>0</v>
      </c>
      <c r="O158" s="6">
        <f t="shared" si="26"/>
        <v>-1.0726983589237371</v>
      </c>
      <c r="P158" s="6">
        <f t="shared" si="26"/>
        <v>1.9845794262428249</v>
      </c>
      <c r="Q158" s="6">
        <f t="shared" si="27"/>
        <v>2.7291260675250535</v>
      </c>
      <c r="R158" s="6">
        <f t="shared" si="28"/>
        <v>2.0095227817247374</v>
      </c>
      <c r="S158" s="6">
        <f t="shared" si="29"/>
        <v>1.4178386461161547</v>
      </c>
      <c r="T158" s="6">
        <f t="shared" si="30"/>
        <v>1.0518324756565929</v>
      </c>
      <c r="U158" s="6">
        <f t="shared" si="31"/>
        <v>0.92075980197396912</v>
      </c>
      <c r="V158" s="6">
        <f t="shared" si="32"/>
        <v>1.2035004946258592</v>
      </c>
      <c r="W158" s="6">
        <f t="shared" si="33"/>
        <v>-1.3480770994821039</v>
      </c>
      <c r="X158" s="6">
        <f t="shared" si="34"/>
        <v>6.098797322843228</v>
      </c>
    </row>
    <row r="159" spans="1:24" x14ac:dyDescent="0.35">
      <c r="A159" s="2" t="s">
        <v>176</v>
      </c>
      <c r="B159" s="2" t="s">
        <v>180</v>
      </c>
      <c r="C159" s="2">
        <v>4.9400000000000004</v>
      </c>
      <c r="D159" s="2">
        <v>11.39</v>
      </c>
      <c r="E159" s="2">
        <v>17365</v>
      </c>
      <c r="F159" s="2">
        <v>81.56</v>
      </c>
      <c r="G159" s="2">
        <v>74.19</v>
      </c>
      <c r="H159" s="2">
        <v>89.56</v>
      </c>
      <c r="I159" s="2">
        <v>100</v>
      </c>
      <c r="J159" s="2">
        <v>7.75</v>
      </c>
      <c r="K159" s="2">
        <v>63.17</v>
      </c>
      <c r="L159" s="2">
        <v>460081046</v>
      </c>
      <c r="M159" s="2">
        <v>0</v>
      </c>
      <c r="O159" s="6">
        <f t="shared" si="26"/>
        <v>-0.98412492269396634</v>
      </c>
      <c r="P159" s="6">
        <f t="shared" si="26"/>
        <v>1.8127216974016573</v>
      </c>
      <c r="Q159" s="6">
        <f t="shared" si="27"/>
        <v>2.5935578110538331</v>
      </c>
      <c r="R159" s="6">
        <f t="shared" si="28"/>
        <v>1.7922892272132238</v>
      </c>
      <c r="S159" s="6">
        <f t="shared" si="29"/>
        <v>1.3162158423916726</v>
      </c>
      <c r="T159" s="6">
        <f t="shared" si="30"/>
        <v>0.66563160937170729</v>
      </c>
      <c r="U159" s="6">
        <f t="shared" si="31"/>
        <v>0.94753462734205607</v>
      </c>
      <c r="V159" s="6">
        <f t="shared" si="32"/>
        <v>1.0212960555877328</v>
      </c>
      <c r="W159" s="6">
        <f t="shared" si="33"/>
        <v>-0.98502003098796342</v>
      </c>
      <c r="X159" s="6">
        <f t="shared" si="34"/>
        <v>9.1544620291523184</v>
      </c>
    </row>
    <row r="160" spans="1:24" x14ac:dyDescent="0.35">
      <c r="A160" s="2" t="s">
        <v>176</v>
      </c>
      <c r="B160" s="2" t="s">
        <v>181</v>
      </c>
      <c r="C160" s="2">
        <v>4.3099999999999996</v>
      </c>
      <c r="D160" s="2">
        <v>10.78</v>
      </c>
      <c r="E160" s="2">
        <v>20801</v>
      </c>
      <c r="F160" s="2">
        <v>81.760000000000005</v>
      </c>
      <c r="G160" s="2">
        <v>73.69</v>
      </c>
      <c r="H160" s="2">
        <v>97.75</v>
      </c>
      <c r="I160" s="2">
        <v>100</v>
      </c>
      <c r="J160" s="2">
        <v>9.06</v>
      </c>
      <c r="K160" s="2">
        <v>63.21</v>
      </c>
      <c r="L160" s="2">
        <v>327622101</v>
      </c>
      <c r="M160" s="2">
        <v>0</v>
      </c>
      <c r="O160" s="6">
        <f t="shared" si="26"/>
        <v>-1.0686722936405657</v>
      </c>
      <c r="P160" s="6">
        <f t="shared" si="26"/>
        <v>1.4383173595691123</v>
      </c>
      <c r="Q160" s="6">
        <f t="shared" si="27"/>
        <v>3.8593527274535977</v>
      </c>
      <c r="R160" s="6">
        <f t="shared" si="28"/>
        <v>1.8231024973567014</v>
      </c>
      <c r="S160" s="6">
        <f t="shared" si="29"/>
        <v>1.1710404084995587</v>
      </c>
      <c r="T160" s="6">
        <f t="shared" si="30"/>
        <v>1.1067731846678317</v>
      </c>
      <c r="U160" s="6">
        <f t="shared" si="31"/>
        <v>0.94753462734205607</v>
      </c>
      <c r="V160" s="6">
        <f t="shared" si="32"/>
        <v>1.5185623371292858</v>
      </c>
      <c r="W160" s="6">
        <f t="shared" si="33"/>
        <v>-0.97876042635875427</v>
      </c>
      <c r="X160" s="6">
        <f t="shared" si="34"/>
        <v>6.386729963153571</v>
      </c>
    </row>
    <row r="161" spans="1:24" x14ac:dyDescent="0.35">
      <c r="A161" s="2" t="s">
        <v>176</v>
      </c>
      <c r="B161" s="2" t="s">
        <v>182</v>
      </c>
      <c r="C161" s="2">
        <v>7.24</v>
      </c>
      <c r="D161" s="2">
        <v>10.81</v>
      </c>
      <c r="E161" s="2">
        <v>18762</v>
      </c>
      <c r="F161" s="2">
        <v>80.510000000000005</v>
      </c>
      <c r="G161" s="2">
        <v>73.349999999999994</v>
      </c>
      <c r="H161" s="2">
        <v>90.61</v>
      </c>
      <c r="I161" s="2">
        <v>100</v>
      </c>
      <c r="J161" s="2">
        <v>9.84</v>
      </c>
      <c r="K161" s="2">
        <v>65.790000000000006</v>
      </c>
      <c r="L161" s="2">
        <v>330894597</v>
      </c>
      <c r="M161" s="2">
        <v>0</v>
      </c>
      <c r="O161" s="6">
        <f t="shared" si="26"/>
        <v>-0.67545991765082591</v>
      </c>
      <c r="P161" s="6">
        <f t="shared" si="26"/>
        <v>1.4567306876592383</v>
      </c>
      <c r="Q161" s="6">
        <f t="shared" si="27"/>
        <v>3.1082014368426782</v>
      </c>
      <c r="R161" s="6">
        <f t="shared" si="28"/>
        <v>1.6305195589599693</v>
      </c>
      <c r="S161" s="6">
        <f t="shared" si="29"/>
        <v>1.0723211134529202</v>
      </c>
      <c r="T161" s="6">
        <f t="shared" si="30"/>
        <v>0.72218822158915907</v>
      </c>
      <c r="U161" s="6">
        <f t="shared" si="31"/>
        <v>0.94753462734205607</v>
      </c>
      <c r="V161" s="6">
        <f t="shared" si="32"/>
        <v>1.8146445505662405</v>
      </c>
      <c r="W161" s="6">
        <f t="shared" si="33"/>
        <v>-0.57501592777475252</v>
      </c>
      <c r="X161" s="6">
        <f t="shared" si="34"/>
        <v>6.4551088266199272</v>
      </c>
    </row>
    <row r="162" spans="1:24" x14ac:dyDescent="0.35">
      <c r="A162" s="2" t="s">
        <v>183</v>
      </c>
      <c r="B162" s="2" t="s">
        <v>184</v>
      </c>
      <c r="C162" s="2">
        <v>8.1300000000000008</v>
      </c>
      <c r="D162" s="2">
        <v>8.31</v>
      </c>
      <c r="E162" s="2">
        <v>10410</v>
      </c>
      <c r="F162" s="2">
        <v>70.599999999999994</v>
      </c>
      <c r="G162" s="2">
        <v>71.36</v>
      </c>
      <c r="H162" s="2">
        <v>63.91</v>
      </c>
      <c r="I162" s="2">
        <v>91.83</v>
      </c>
      <c r="J162" s="2">
        <v>12.22</v>
      </c>
      <c r="K162" s="2">
        <v>62.55</v>
      </c>
      <c r="L162" s="2">
        <v>159582645</v>
      </c>
      <c r="M162" s="2">
        <v>0</v>
      </c>
      <c r="O162" s="6">
        <f t="shared" si="26"/>
        <v>-0.5560199809167411</v>
      </c>
      <c r="P162" s="6">
        <f t="shared" si="26"/>
        <v>-7.771331985118908E-2</v>
      </c>
      <c r="Q162" s="6">
        <f t="shared" si="27"/>
        <v>3.139144214802362E-2</v>
      </c>
      <c r="R162" s="6">
        <f t="shared" si="28"/>
        <v>0.10372202335067403</v>
      </c>
      <c r="S162" s="6">
        <f t="shared" si="29"/>
        <v>0.49452288656230869</v>
      </c>
      <c r="T162" s="6">
        <f t="shared" si="30"/>
        <v>-0.71596563194033092</v>
      </c>
      <c r="U162" s="6">
        <f t="shared" si="31"/>
        <v>0.42670052434855654</v>
      </c>
      <c r="V162" s="6">
        <f t="shared" si="32"/>
        <v>2.7180748941302828</v>
      </c>
      <c r="W162" s="6">
        <f t="shared" si="33"/>
        <v>-1.0820439027407085</v>
      </c>
      <c r="X162" s="6">
        <f t="shared" si="34"/>
        <v>2.875542472386635</v>
      </c>
    </row>
    <row r="163" spans="1:24" x14ac:dyDescent="0.35">
      <c r="A163" s="2" t="s">
        <v>183</v>
      </c>
      <c r="B163" s="2" t="s">
        <v>185</v>
      </c>
      <c r="C163" s="2">
        <v>7.7</v>
      </c>
      <c r="D163" s="2">
        <v>7.1</v>
      </c>
      <c r="E163" s="2">
        <v>8850</v>
      </c>
      <c r="F163" s="2">
        <v>67.069999999999993</v>
      </c>
      <c r="G163" s="2">
        <v>71.209999999999994</v>
      </c>
      <c r="H163" s="2">
        <v>64.349999999999994</v>
      </c>
      <c r="I163" s="2">
        <v>81.34</v>
      </c>
      <c r="J163" s="2">
        <v>9.51</v>
      </c>
      <c r="K163" s="2">
        <v>64.930000000000007</v>
      </c>
      <c r="L163" s="2">
        <v>47933519</v>
      </c>
      <c r="M163" s="2">
        <v>0</v>
      </c>
      <c r="O163" s="6">
        <f t="shared" si="26"/>
        <v>-0.61372691664219781</v>
      </c>
      <c r="P163" s="6">
        <f t="shared" si="26"/>
        <v>-0.82038421948623641</v>
      </c>
      <c r="Q163" s="6">
        <f t="shared" si="27"/>
        <v>-0.5433000798495411</v>
      </c>
      <c r="R163" s="6">
        <f t="shared" si="28"/>
        <v>-0.44013219468169812</v>
      </c>
      <c r="S163" s="6">
        <f t="shared" si="29"/>
        <v>0.45097025639467292</v>
      </c>
      <c r="T163" s="6">
        <f t="shared" si="30"/>
        <v>-0.69226571824920835</v>
      </c>
      <c r="U163" s="6">
        <f t="shared" si="31"/>
        <v>-0.24203261401151765</v>
      </c>
      <c r="V163" s="6">
        <f t="shared" si="32"/>
        <v>1.6893789987275287</v>
      </c>
      <c r="W163" s="6">
        <f t="shared" si="33"/>
        <v>-0.70959742730275266</v>
      </c>
      <c r="X163" s="6">
        <f t="shared" si="34"/>
        <v>0.54263195304847733</v>
      </c>
    </row>
    <row r="164" spans="1:24" x14ac:dyDescent="0.35">
      <c r="A164" s="2" t="s">
        <v>183</v>
      </c>
      <c r="B164" s="2" t="s">
        <v>186</v>
      </c>
      <c r="C164" s="2">
        <v>11.18</v>
      </c>
      <c r="D164" s="2">
        <v>7.19</v>
      </c>
      <c r="E164" s="2">
        <v>8052</v>
      </c>
      <c r="F164" s="2">
        <v>65.56</v>
      </c>
      <c r="G164" s="2">
        <v>70.319999999999993</v>
      </c>
      <c r="H164" s="2">
        <v>58.52</v>
      </c>
      <c r="I164" s="2">
        <v>86.25</v>
      </c>
      <c r="J164" s="2">
        <v>9.32</v>
      </c>
      <c r="K164" s="2">
        <v>67.98</v>
      </c>
      <c r="L164" s="2">
        <v>32897517</v>
      </c>
      <c r="M164" s="2">
        <v>0</v>
      </c>
      <c r="O164" s="6">
        <f t="shared" si="26"/>
        <v>-0.14670334379431585</v>
      </c>
      <c r="P164" s="6">
        <f t="shared" si="26"/>
        <v>-0.76514423521586061</v>
      </c>
      <c r="Q164" s="6">
        <f t="shared" si="27"/>
        <v>-0.8372768968713723</v>
      </c>
      <c r="R164" s="6">
        <f t="shared" si="28"/>
        <v>-0.67277238426494923</v>
      </c>
      <c r="S164" s="6">
        <f t="shared" si="29"/>
        <v>0.1925579840667101</v>
      </c>
      <c r="T164" s="6">
        <f t="shared" si="30"/>
        <v>-1.0062895746565834</v>
      </c>
      <c r="U164" s="6">
        <f t="shared" si="31"/>
        <v>7.0977844458259623E-2</v>
      </c>
      <c r="V164" s="6">
        <f t="shared" si="32"/>
        <v>1.6172564082749372</v>
      </c>
      <c r="W164" s="6">
        <f t="shared" si="33"/>
        <v>-0.2323025743255428</v>
      </c>
      <c r="X164" s="6">
        <f t="shared" si="34"/>
        <v>0.22845441766329597</v>
      </c>
    </row>
    <row r="165" spans="1:24" x14ac:dyDescent="0.35">
      <c r="A165" s="2" t="s">
        <v>183</v>
      </c>
      <c r="B165" s="2" t="s">
        <v>187</v>
      </c>
      <c r="C165" s="2">
        <v>7.15</v>
      </c>
      <c r="D165" s="2">
        <v>9.07</v>
      </c>
      <c r="E165" s="2">
        <v>10307</v>
      </c>
      <c r="F165" s="2">
        <v>72.73</v>
      </c>
      <c r="G165" s="2">
        <v>73.72</v>
      </c>
      <c r="H165" s="2">
        <v>64.510000000000005</v>
      </c>
      <c r="I165" s="2">
        <v>99.07</v>
      </c>
      <c r="J165" s="2">
        <v>8.32</v>
      </c>
      <c r="K165" s="2">
        <v>65.12</v>
      </c>
      <c r="L165" s="2">
        <v>83947149</v>
      </c>
      <c r="M165" s="2">
        <v>0</v>
      </c>
      <c r="O165" s="6">
        <f t="shared" si="26"/>
        <v>-0.68753811350034011</v>
      </c>
      <c r="P165" s="6">
        <f t="shared" si="26"/>
        <v>0.38875765843198068</v>
      </c>
      <c r="Q165" s="6">
        <f t="shared" si="27"/>
        <v>-6.5529339838668712E-3</v>
      </c>
      <c r="R165" s="6">
        <f t="shared" si="28"/>
        <v>0.43188335037870729</v>
      </c>
      <c r="S165" s="6">
        <f t="shared" si="29"/>
        <v>1.1797509345330859</v>
      </c>
      <c r="T165" s="6">
        <f t="shared" si="30"/>
        <v>-0.68364756781607228</v>
      </c>
      <c r="U165" s="6">
        <f t="shared" si="31"/>
        <v>0.88824751402700619</v>
      </c>
      <c r="V165" s="6">
        <f t="shared" si="32"/>
        <v>1.2376638269455078</v>
      </c>
      <c r="W165" s="6">
        <f t="shared" si="33"/>
        <v>-0.67986430531400877</v>
      </c>
      <c r="X165" s="6">
        <f t="shared" si="34"/>
        <v>1.295137407202702</v>
      </c>
    </row>
    <row r="166" spans="1:24" x14ac:dyDescent="0.35">
      <c r="A166" s="2" t="s">
        <v>183</v>
      </c>
      <c r="B166" s="2" t="s">
        <v>188</v>
      </c>
      <c r="C166" s="2">
        <v>10.65</v>
      </c>
      <c r="D166" s="2">
        <v>7.53</v>
      </c>
      <c r="E166" s="2">
        <v>7961</v>
      </c>
      <c r="F166" s="2">
        <v>66.45</v>
      </c>
      <c r="G166" s="2">
        <v>71.59</v>
      </c>
      <c r="H166" s="2">
        <v>43.73</v>
      </c>
      <c r="I166" s="2">
        <v>77.349999999999994</v>
      </c>
      <c r="J166" s="2">
        <v>8.68</v>
      </c>
      <c r="K166" s="2">
        <v>62.76</v>
      </c>
      <c r="L166" s="2">
        <v>39981191</v>
      </c>
      <c r="M166" s="2">
        <v>0</v>
      </c>
      <c r="O166" s="6">
        <f t="shared" si="26"/>
        <v>-0.21783049713034378</v>
      </c>
      <c r="P166" s="6">
        <f t="shared" si="26"/>
        <v>-0.55645985019444255</v>
      </c>
      <c r="Q166" s="6">
        <f t="shared" si="27"/>
        <v>-0.87080056898789693</v>
      </c>
      <c r="R166" s="6">
        <f t="shared" si="28"/>
        <v>-0.53565333212647581</v>
      </c>
      <c r="S166" s="6">
        <f t="shared" si="29"/>
        <v>0.56130358615268228</v>
      </c>
      <c r="T166" s="6">
        <f t="shared" si="30"/>
        <v>-1.8029298553195483</v>
      </c>
      <c r="U166" s="6">
        <f t="shared" si="31"/>
        <v>-0.49639345500834353</v>
      </c>
      <c r="V166" s="6">
        <f t="shared" si="32"/>
        <v>1.3743171562241023</v>
      </c>
      <c r="W166" s="6">
        <f t="shared" si="33"/>
        <v>-1.0491809784373596</v>
      </c>
      <c r="X166" s="6">
        <f t="shared" si="34"/>
        <v>0.37646791478787001</v>
      </c>
    </row>
    <row r="167" spans="1:24" x14ac:dyDescent="0.35">
      <c r="A167" s="2" t="s">
        <v>183</v>
      </c>
      <c r="B167" s="2" t="s">
        <v>189</v>
      </c>
      <c r="C167" s="2">
        <v>11.15</v>
      </c>
      <c r="D167" s="2">
        <v>7.48</v>
      </c>
      <c r="E167" s="2">
        <v>7829</v>
      </c>
      <c r="F167" s="2">
        <v>65.900000000000006</v>
      </c>
      <c r="G167" s="2">
        <v>69.67</v>
      </c>
      <c r="H167" s="2">
        <v>49.35</v>
      </c>
      <c r="I167" s="2">
        <v>85.26</v>
      </c>
      <c r="J167" s="2">
        <v>6.16</v>
      </c>
      <c r="K167" s="2">
        <v>68.180000000000007</v>
      </c>
      <c r="L167" s="2">
        <v>25179475</v>
      </c>
      <c r="M167" s="2">
        <v>0</v>
      </c>
      <c r="O167" s="6">
        <f t="shared" si="26"/>
        <v>-0.15072940907748716</v>
      </c>
      <c r="P167" s="6">
        <f t="shared" si="26"/>
        <v>-0.58714873034465098</v>
      </c>
      <c r="Q167" s="6">
        <f t="shared" si="27"/>
        <v>-0.91942831315692164</v>
      </c>
      <c r="R167" s="6">
        <f t="shared" si="28"/>
        <v>-0.62038982502103757</v>
      </c>
      <c r="S167" s="6">
        <f t="shared" si="29"/>
        <v>3.8299200069645666E-3</v>
      </c>
      <c r="T167" s="6">
        <f t="shared" si="30"/>
        <v>-1.5002173213556629</v>
      </c>
      <c r="U167" s="6">
        <f t="shared" si="31"/>
        <v>7.8657560906266067E-3</v>
      </c>
      <c r="V167" s="6">
        <f t="shared" si="32"/>
        <v>0.41774385127394009</v>
      </c>
      <c r="W167" s="6">
        <f t="shared" si="33"/>
        <v>-0.20100455117949576</v>
      </c>
      <c r="X167" s="6">
        <f t="shared" si="34"/>
        <v>6.7185789635758039E-2</v>
      </c>
    </row>
    <row r="168" spans="1:24" x14ac:dyDescent="0.35">
      <c r="A168" s="2" t="s">
        <v>183</v>
      </c>
      <c r="B168" s="2" t="s">
        <v>190</v>
      </c>
      <c r="C168" s="2">
        <v>7.97</v>
      </c>
      <c r="D168" s="2">
        <v>7.9</v>
      </c>
      <c r="E168" s="2">
        <v>9259</v>
      </c>
      <c r="F168" s="2">
        <v>70.930000000000007</v>
      </c>
      <c r="G168" s="2">
        <v>72.02</v>
      </c>
      <c r="H168" s="2">
        <v>66.59</v>
      </c>
      <c r="I168" s="2">
        <v>90.12</v>
      </c>
      <c r="J168" s="2">
        <v>5.0599999999999996</v>
      </c>
      <c r="K168" s="2">
        <v>69.83</v>
      </c>
      <c r="L168" s="2">
        <v>22774934</v>
      </c>
      <c r="M168" s="2">
        <v>0</v>
      </c>
      <c r="O168" s="6">
        <f t="shared" si="26"/>
        <v>-0.57749232909365533</v>
      </c>
      <c r="P168" s="6">
        <f t="shared" si="26"/>
        <v>-0.32936213708289924</v>
      </c>
      <c r="Q168" s="6">
        <f t="shared" si="27"/>
        <v>-0.39262775132582062</v>
      </c>
      <c r="R168" s="6">
        <f t="shared" si="28"/>
        <v>0.15456391908741327</v>
      </c>
      <c r="S168" s="6">
        <f t="shared" si="29"/>
        <v>0.68615445929989805</v>
      </c>
      <c r="T168" s="6">
        <f t="shared" si="30"/>
        <v>-0.57161161218531054</v>
      </c>
      <c r="U168" s="6">
        <f t="shared" si="31"/>
        <v>0.31768873534991754</v>
      </c>
      <c r="V168" s="6">
        <f t="shared" si="32"/>
        <v>1.9201181156748245E-4</v>
      </c>
      <c r="W168" s="6">
        <f t="shared" si="33"/>
        <v>5.72041397753872E-2</v>
      </c>
      <c r="X168" s="6">
        <f t="shared" si="34"/>
        <v>1.6942861687715773E-2</v>
      </c>
    </row>
    <row r="169" spans="1:24" x14ac:dyDescent="0.35">
      <c r="A169" s="2" t="s">
        <v>183</v>
      </c>
      <c r="B169" s="2" t="s">
        <v>191</v>
      </c>
      <c r="C169" s="2">
        <v>13.1</v>
      </c>
      <c r="D169" s="2">
        <v>7.8</v>
      </c>
      <c r="E169" s="2">
        <v>9409</v>
      </c>
      <c r="F169" s="2">
        <v>69.709999999999994</v>
      </c>
      <c r="G169" s="2">
        <v>73.78</v>
      </c>
      <c r="H169" s="2">
        <v>80.98</v>
      </c>
      <c r="I169" s="2">
        <v>94.4</v>
      </c>
      <c r="J169" s="2">
        <v>11.68</v>
      </c>
      <c r="K169" s="2">
        <v>63.82</v>
      </c>
      <c r="L169" s="2">
        <v>17483024</v>
      </c>
      <c r="M169" s="2">
        <v>0</v>
      </c>
      <c r="O169" s="6">
        <f t="shared" si="26"/>
        <v>0.11096483432865353</v>
      </c>
      <c r="P169" s="6">
        <f t="shared" si="26"/>
        <v>-0.39073989738331666</v>
      </c>
      <c r="Q169" s="6">
        <f t="shared" si="27"/>
        <v>-0.3373689511337471</v>
      </c>
      <c r="R169" s="6">
        <f t="shared" si="28"/>
        <v>-3.3397028787799446E-2</v>
      </c>
      <c r="S169" s="6">
        <f t="shared" si="29"/>
        <v>1.1971719866001402</v>
      </c>
      <c r="T169" s="6">
        <f t="shared" si="30"/>
        <v>0.20348329239481522</v>
      </c>
      <c r="U169" s="6">
        <f t="shared" si="31"/>
        <v>0.59053695576756482</v>
      </c>
      <c r="V169" s="6">
        <f t="shared" si="32"/>
        <v>2.5130949002123906</v>
      </c>
      <c r="W169" s="6">
        <f t="shared" si="33"/>
        <v>-0.8833014557633122</v>
      </c>
      <c r="X169" s="6">
        <f t="shared" si="34"/>
        <v>-9.363169405390992E-2</v>
      </c>
    </row>
    <row r="170" spans="1:24" x14ac:dyDescent="0.35">
      <c r="A170" s="2" t="s">
        <v>183</v>
      </c>
      <c r="B170" s="2" t="s">
        <v>192</v>
      </c>
      <c r="C170" s="2">
        <v>12.3</v>
      </c>
      <c r="D170" s="2">
        <v>7.1</v>
      </c>
      <c r="E170" s="2">
        <v>10368</v>
      </c>
      <c r="F170" s="2">
        <v>69.12</v>
      </c>
      <c r="G170" s="2">
        <v>72.180000000000007</v>
      </c>
      <c r="H170" s="2">
        <v>83.41</v>
      </c>
      <c r="I170" s="2">
        <v>96.54</v>
      </c>
      <c r="J170" s="2">
        <v>10.38</v>
      </c>
      <c r="K170" s="2">
        <v>64.489999999999995</v>
      </c>
      <c r="L170" s="2">
        <v>34128554</v>
      </c>
      <c r="M170" s="2">
        <v>0</v>
      </c>
      <c r="O170" s="6">
        <f t="shared" si="26"/>
        <v>3.6030934440831001E-3</v>
      </c>
      <c r="P170" s="6">
        <f t="shared" si="26"/>
        <v>-0.82038421948623641</v>
      </c>
      <c r="Q170" s="6">
        <f t="shared" si="27"/>
        <v>1.5918978094243034E-2</v>
      </c>
      <c r="R170" s="6">
        <f t="shared" si="28"/>
        <v>-0.12429617571105542</v>
      </c>
      <c r="S170" s="6">
        <f t="shared" si="29"/>
        <v>0.73261059814537755</v>
      </c>
      <c r="T170" s="6">
        <f t="shared" si="30"/>
        <v>0.33437145209806052</v>
      </c>
      <c r="U170" s="6">
        <f t="shared" si="31"/>
        <v>0.72696106597638843</v>
      </c>
      <c r="V170" s="6">
        <f t="shared" si="32"/>
        <v>2.0196245444841328</v>
      </c>
      <c r="W170" s="6">
        <f t="shared" si="33"/>
        <v>-0.77845307822405707</v>
      </c>
      <c r="X170" s="6">
        <f t="shared" si="34"/>
        <v>0.25417695817825253</v>
      </c>
    </row>
    <row r="171" spans="1:24" x14ac:dyDescent="0.35">
      <c r="A171" s="2" t="s">
        <v>183</v>
      </c>
      <c r="B171" s="2" t="s">
        <v>193</v>
      </c>
      <c r="C171" s="2">
        <v>12.33</v>
      </c>
      <c r="D171" s="2">
        <v>7.31</v>
      </c>
      <c r="E171" s="2">
        <v>9591</v>
      </c>
      <c r="F171" s="2">
        <v>67.81</v>
      </c>
      <c r="G171" s="2">
        <v>70.459999999999994</v>
      </c>
      <c r="H171" s="2">
        <v>80.59</v>
      </c>
      <c r="I171" s="2">
        <v>96.8</v>
      </c>
      <c r="J171" s="2">
        <v>5.71</v>
      </c>
      <c r="K171" s="2">
        <v>67.63</v>
      </c>
      <c r="L171" s="2">
        <v>22788754</v>
      </c>
      <c r="M171" s="2">
        <v>0</v>
      </c>
      <c r="O171" s="6">
        <f t="shared" si="26"/>
        <v>7.6291587272544108E-3</v>
      </c>
      <c r="P171" s="6">
        <f t="shared" si="26"/>
        <v>-0.69149092285536051</v>
      </c>
      <c r="Q171" s="6">
        <f t="shared" si="27"/>
        <v>-0.2703216069006979</v>
      </c>
      <c r="R171" s="6">
        <f t="shared" si="28"/>
        <v>-0.32612309515083121</v>
      </c>
      <c r="S171" s="6">
        <f t="shared" si="29"/>
        <v>0.23320710555650215</v>
      </c>
      <c r="T171" s="6">
        <f t="shared" si="30"/>
        <v>0.18247655071404736</v>
      </c>
      <c r="U171" s="6">
        <f t="shared" si="31"/>
        <v>0.74353595787091786</v>
      </c>
      <c r="V171" s="6">
        <f t="shared" si="32"/>
        <v>0.24692718967569677</v>
      </c>
      <c r="W171" s="6">
        <f t="shared" si="33"/>
        <v>-0.28707411483112566</v>
      </c>
      <c r="X171" s="6">
        <f t="shared" si="34"/>
        <v>1.7231630839184574E-2</v>
      </c>
    </row>
    <row r="172" spans="1:24" x14ac:dyDescent="0.35">
      <c r="A172" s="2" t="s">
        <v>183</v>
      </c>
      <c r="B172" s="2" t="s">
        <v>194</v>
      </c>
      <c r="C172" s="2">
        <v>10.71</v>
      </c>
      <c r="D172" s="2">
        <v>8.52</v>
      </c>
      <c r="E172" s="2">
        <v>10262</v>
      </c>
      <c r="F172" s="2">
        <v>71.8</v>
      </c>
      <c r="G172" s="2">
        <v>72.62</v>
      </c>
      <c r="H172" s="2">
        <v>87.87</v>
      </c>
      <c r="I172" s="2">
        <v>94.16</v>
      </c>
      <c r="J172" s="2">
        <v>9.18</v>
      </c>
      <c r="K172" s="2">
        <v>68.510000000000005</v>
      </c>
      <c r="L172" s="2">
        <v>24414663</v>
      </c>
      <c r="M172" s="2">
        <v>0</v>
      </c>
      <c r="O172" s="6">
        <f t="shared" si="26"/>
        <v>-0.20977836656400092</v>
      </c>
      <c r="P172" s="6">
        <f t="shared" si="26"/>
        <v>5.1179976779686241E-2</v>
      </c>
      <c r="Q172" s="6">
        <f t="shared" si="27"/>
        <v>-2.3130574041488931E-2</v>
      </c>
      <c r="R172" s="6">
        <f t="shared" si="28"/>
        <v>0.28860164421153744</v>
      </c>
      <c r="S172" s="6">
        <f t="shared" si="29"/>
        <v>0.86036497997043715</v>
      </c>
      <c r="T172" s="6">
        <f t="shared" si="30"/>
        <v>0.57460239542171354</v>
      </c>
      <c r="U172" s="6">
        <f t="shared" si="31"/>
        <v>0.57523705555722882</v>
      </c>
      <c r="V172" s="6">
        <f t="shared" si="32"/>
        <v>1.5641134468888169</v>
      </c>
      <c r="W172" s="6">
        <f t="shared" si="33"/>
        <v>-0.14936281298851917</v>
      </c>
      <c r="X172" s="6">
        <f t="shared" si="34"/>
        <v>5.1205028979234367E-2</v>
      </c>
    </row>
    <row r="173" spans="1:24" x14ac:dyDescent="0.35">
      <c r="A173" s="2" t="s">
        <v>183</v>
      </c>
      <c r="B173" s="2" t="s">
        <v>195</v>
      </c>
      <c r="C173" s="2">
        <v>13.04</v>
      </c>
      <c r="D173" s="2">
        <v>6.52</v>
      </c>
      <c r="E173" s="2">
        <v>9810</v>
      </c>
      <c r="F173" s="2">
        <v>67.64</v>
      </c>
      <c r="G173" s="2">
        <v>71.84</v>
      </c>
      <c r="H173" s="2">
        <v>89.75</v>
      </c>
      <c r="I173" s="2">
        <v>97.95</v>
      </c>
      <c r="J173" s="2">
        <v>8.3000000000000007</v>
      </c>
      <c r="K173" s="2">
        <v>69.86</v>
      </c>
      <c r="L173" s="2">
        <v>59544866</v>
      </c>
      <c r="M173" s="2">
        <v>0</v>
      </c>
      <c r="O173" s="6">
        <f t="shared" si="26"/>
        <v>0.10291270376231068</v>
      </c>
      <c r="P173" s="6">
        <f t="shared" si="26"/>
        <v>-1.1763752292286556</v>
      </c>
      <c r="Q173" s="6">
        <f t="shared" si="27"/>
        <v>-0.18964375862027052</v>
      </c>
      <c r="R173" s="6">
        <f t="shared" si="28"/>
        <v>-0.35231437477278704</v>
      </c>
      <c r="S173" s="6">
        <f t="shared" si="29"/>
        <v>0.6338913030987392</v>
      </c>
      <c r="T173" s="6">
        <f t="shared" si="30"/>
        <v>0.67586566301105566</v>
      </c>
      <c r="U173" s="6">
        <f t="shared" si="31"/>
        <v>0.81684797971210843</v>
      </c>
      <c r="V173" s="6">
        <f t="shared" si="32"/>
        <v>1.2300719753189193</v>
      </c>
      <c r="W173" s="6">
        <f t="shared" si="33"/>
        <v>6.1898843247294361E-2</v>
      </c>
      <c r="X173" s="6">
        <f t="shared" si="34"/>
        <v>0.7852512598936161</v>
      </c>
    </row>
    <row r="174" spans="1:24" x14ac:dyDescent="0.35">
      <c r="A174" s="2" t="s">
        <v>183</v>
      </c>
      <c r="B174" s="2" t="s">
        <v>196</v>
      </c>
      <c r="C174" s="2">
        <v>10.029999999999999</v>
      </c>
      <c r="D174" s="2">
        <v>7.11</v>
      </c>
      <c r="E174" s="2">
        <v>10854</v>
      </c>
      <c r="F174" s="2">
        <v>69.13</v>
      </c>
      <c r="G174" s="2">
        <v>72.58</v>
      </c>
      <c r="H174" s="2">
        <v>85.82</v>
      </c>
      <c r="I174" s="2">
        <v>98.75</v>
      </c>
      <c r="J174" s="2">
        <v>9.77</v>
      </c>
      <c r="K174" s="2">
        <v>67.78</v>
      </c>
      <c r="L174" s="2">
        <v>29023194</v>
      </c>
      <c r="M174" s="2">
        <v>0</v>
      </c>
      <c r="O174" s="6">
        <f t="shared" si="26"/>
        <v>-0.30103584631588609</v>
      </c>
      <c r="P174" s="6">
        <f t="shared" si="26"/>
        <v>-0.81424644345619435</v>
      </c>
      <c r="Q174" s="6">
        <f t="shared" si="27"/>
        <v>0.19495749071656129</v>
      </c>
      <c r="R174" s="6">
        <f t="shared" si="28"/>
        <v>-0.12275551220388296</v>
      </c>
      <c r="S174" s="6">
        <f t="shared" si="29"/>
        <v>0.84875094525906614</v>
      </c>
      <c r="T174" s="6">
        <f t="shared" si="30"/>
        <v>0.4641823429971641</v>
      </c>
      <c r="U174" s="6">
        <f t="shared" si="31"/>
        <v>0.86784764707989281</v>
      </c>
      <c r="V174" s="6">
        <f t="shared" si="32"/>
        <v>1.7880730698731804</v>
      </c>
      <c r="W174" s="6">
        <f t="shared" si="33"/>
        <v>-0.26360059747158981</v>
      </c>
      <c r="X174" s="6">
        <f t="shared" si="34"/>
        <v>0.14750036808109171</v>
      </c>
    </row>
    <row r="175" spans="1:24" x14ac:dyDescent="0.35">
      <c r="A175" s="2" t="s">
        <v>183</v>
      </c>
      <c r="B175" s="2" t="s">
        <v>197</v>
      </c>
      <c r="C175" s="2">
        <v>8.83</v>
      </c>
      <c r="D175" s="2">
        <v>8.1</v>
      </c>
      <c r="E175" s="2">
        <v>11669</v>
      </c>
      <c r="F175" s="2">
        <v>70.98</v>
      </c>
      <c r="G175" s="2">
        <v>71.180000000000007</v>
      </c>
      <c r="H175" s="2">
        <v>72.61</v>
      </c>
      <c r="I175" s="2">
        <v>81.5</v>
      </c>
      <c r="J175" s="2">
        <v>10.7</v>
      </c>
      <c r="K175" s="2">
        <v>61.13</v>
      </c>
      <c r="L175" s="2">
        <v>46840149</v>
      </c>
      <c r="M175" s="2">
        <v>0</v>
      </c>
      <c r="O175" s="6">
        <f t="shared" si="26"/>
        <v>-0.46207845764274191</v>
      </c>
      <c r="P175" s="6">
        <f t="shared" si="26"/>
        <v>-0.20660661648206549</v>
      </c>
      <c r="Q175" s="6">
        <f t="shared" si="27"/>
        <v>0.49519697176016081</v>
      </c>
      <c r="R175" s="6">
        <f t="shared" si="28"/>
        <v>0.16226723662328213</v>
      </c>
      <c r="S175" s="6">
        <f t="shared" si="29"/>
        <v>0.44225973036114985</v>
      </c>
      <c r="T175" s="6">
        <f t="shared" si="30"/>
        <v>-0.24735370213858687</v>
      </c>
      <c r="U175" s="6">
        <f t="shared" si="31"/>
        <v>-0.23183268053796097</v>
      </c>
      <c r="V175" s="6">
        <f t="shared" si="32"/>
        <v>2.1410941705095494</v>
      </c>
      <c r="W175" s="6">
        <f t="shared" si="33"/>
        <v>-1.3042598670776384</v>
      </c>
      <c r="X175" s="6">
        <f t="shared" si="34"/>
        <v>0.51978596700351043</v>
      </c>
    </row>
    <row r="176" spans="1:24" x14ac:dyDescent="0.35">
      <c r="A176" s="2" t="s">
        <v>183</v>
      </c>
      <c r="B176" s="2" t="s">
        <v>198</v>
      </c>
      <c r="C176" s="2">
        <v>8.9499999999999993</v>
      </c>
      <c r="D176" s="2">
        <v>7.78</v>
      </c>
      <c r="E176" s="2">
        <v>11522</v>
      </c>
      <c r="F176" s="2">
        <v>70.94</v>
      </c>
      <c r="G176" s="2">
        <v>72.33</v>
      </c>
      <c r="H176" s="2">
        <v>77.19</v>
      </c>
      <c r="I176" s="2">
        <v>96.63</v>
      </c>
      <c r="J176" s="2">
        <v>11.83</v>
      </c>
      <c r="K176" s="2">
        <v>64.19</v>
      </c>
      <c r="L176" s="2">
        <v>166941492</v>
      </c>
      <c r="M176" s="2">
        <v>0</v>
      </c>
      <c r="O176" s="6">
        <f t="shared" si="26"/>
        <v>-0.44597419651005643</v>
      </c>
      <c r="P176" s="6">
        <f t="shared" si="26"/>
        <v>-0.40301544944339984</v>
      </c>
      <c r="Q176" s="6">
        <f t="shared" si="27"/>
        <v>0.44104334757192876</v>
      </c>
      <c r="R176" s="6">
        <f t="shared" si="28"/>
        <v>0.15610458259458573</v>
      </c>
      <c r="S176" s="6">
        <f t="shared" si="29"/>
        <v>0.77616322831300921</v>
      </c>
      <c r="T176" s="6">
        <f t="shared" si="30"/>
        <v>-6.5914599008273019E-4</v>
      </c>
      <c r="U176" s="6">
        <f t="shared" si="31"/>
        <v>0.73269852855526352</v>
      </c>
      <c r="V176" s="6">
        <f t="shared" si="32"/>
        <v>2.5700337874118051</v>
      </c>
      <c r="W176" s="6">
        <f t="shared" si="33"/>
        <v>-0.82540011294312643</v>
      </c>
      <c r="X176" s="6">
        <f t="shared" si="34"/>
        <v>3.0293057143532587</v>
      </c>
    </row>
    <row r="177" spans="1:24" x14ac:dyDescent="0.35">
      <c r="A177" s="2" t="s">
        <v>183</v>
      </c>
      <c r="B177" s="2" t="s">
        <v>199</v>
      </c>
      <c r="C177" s="2">
        <v>5.21</v>
      </c>
      <c r="D177" s="2">
        <v>9.3000000000000007</v>
      </c>
      <c r="E177" s="2">
        <v>11341</v>
      </c>
      <c r="F177" s="2">
        <v>74.45</v>
      </c>
      <c r="G177" s="2">
        <v>73.81</v>
      </c>
      <c r="H177" s="2">
        <v>81.02</v>
      </c>
      <c r="I177" s="2">
        <v>95.02</v>
      </c>
      <c r="J177" s="2">
        <v>10.09</v>
      </c>
      <c r="K177" s="2">
        <v>65.87</v>
      </c>
      <c r="L177" s="2">
        <v>251828575</v>
      </c>
      <c r="M177" s="2">
        <v>0</v>
      </c>
      <c r="O177" s="6">
        <f t="shared" si="26"/>
        <v>-0.94789033514542376</v>
      </c>
      <c r="P177" s="6">
        <f t="shared" si="26"/>
        <v>0.5299265071229402</v>
      </c>
      <c r="Q177" s="6">
        <f t="shared" si="27"/>
        <v>0.37436439534016003</v>
      </c>
      <c r="R177" s="6">
        <f t="shared" si="28"/>
        <v>0.69687747361261076</v>
      </c>
      <c r="S177" s="6">
        <f t="shared" si="29"/>
        <v>1.2058825126336674</v>
      </c>
      <c r="T177" s="6">
        <f t="shared" si="30"/>
        <v>0.20563783000309868</v>
      </c>
      <c r="U177" s="6">
        <f t="shared" si="31"/>
        <v>0.63006169797759715</v>
      </c>
      <c r="V177" s="6">
        <f t="shared" si="32"/>
        <v>1.9095426958985979</v>
      </c>
      <c r="W177" s="6">
        <f t="shared" si="33"/>
        <v>-0.56249671851633409</v>
      </c>
      <c r="X177" s="6">
        <f t="shared" si="34"/>
        <v>4.8030228582441232</v>
      </c>
    </row>
    <row r="178" spans="1:24" x14ac:dyDescent="0.35">
      <c r="A178" s="2" t="s">
        <v>183</v>
      </c>
      <c r="B178" s="2" t="s">
        <v>200</v>
      </c>
      <c r="C178" s="2">
        <v>11.3</v>
      </c>
      <c r="D178" s="2">
        <v>8.1999999999999993</v>
      </c>
      <c r="E178" s="2">
        <v>8546</v>
      </c>
      <c r="F178" s="2">
        <v>68.290000000000006</v>
      </c>
      <c r="G178" s="2">
        <v>72.52</v>
      </c>
      <c r="H178" s="2">
        <v>63.78</v>
      </c>
      <c r="I178" s="2">
        <v>92.47</v>
      </c>
      <c r="J178" s="2">
        <v>11.65</v>
      </c>
      <c r="K178" s="2">
        <v>60.75</v>
      </c>
      <c r="L178" s="2">
        <v>31701786</v>
      </c>
      <c r="M178" s="2">
        <v>0</v>
      </c>
      <c r="O178" s="6">
        <f t="shared" si="26"/>
        <v>-0.13059908266163012</v>
      </c>
      <c r="P178" s="6">
        <f t="shared" si="26"/>
        <v>-0.14522885618164863</v>
      </c>
      <c r="Q178" s="6">
        <f t="shared" si="27"/>
        <v>-0.65529124823881013</v>
      </c>
      <c r="R178" s="6">
        <f t="shared" si="28"/>
        <v>-0.25217124680648539</v>
      </c>
      <c r="S178" s="6">
        <f t="shared" si="29"/>
        <v>0.83132989319201189</v>
      </c>
      <c r="T178" s="6">
        <f t="shared" si="30"/>
        <v>-0.72296787916725325</v>
      </c>
      <c r="U178" s="6">
        <f t="shared" si="31"/>
        <v>0.46750025824278418</v>
      </c>
      <c r="V178" s="6">
        <f t="shared" si="32"/>
        <v>2.5017071227725078</v>
      </c>
      <c r="W178" s="6">
        <f t="shared" si="33"/>
        <v>-1.3637261110551273</v>
      </c>
      <c r="X178" s="6">
        <f t="shared" si="34"/>
        <v>0.20346959666076761</v>
      </c>
    </row>
    <row r="179" spans="1:24" x14ac:dyDescent="0.35">
      <c r="A179" s="2" t="s">
        <v>183</v>
      </c>
      <c r="B179" s="2" t="s">
        <v>201</v>
      </c>
      <c r="C179" s="2">
        <v>9.65</v>
      </c>
      <c r="D179" s="2">
        <v>7.85</v>
      </c>
      <c r="E179" s="2">
        <v>9065</v>
      </c>
      <c r="F179" s="2">
        <v>68.28</v>
      </c>
      <c r="G179" s="2">
        <v>71.599999999999994</v>
      </c>
      <c r="H179" s="2">
        <v>81.489999999999995</v>
      </c>
      <c r="I179" s="2">
        <v>80.78</v>
      </c>
      <c r="J179" s="2">
        <v>3.25</v>
      </c>
      <c r="K179" s="2">
        <v>74.75</v>
      </c>
      <c r="L179" s="2">
        <v>8022781</v>
      </c>
      <c r="M179" s="2">
        <v>0</v>
      </c>
      <c r="O179" s="6">
        <f t="shared" si="26"/>
        <v>-0.35203267323605703</v>
      </c>
      <c r="P179" s="6">
        <f t="shared" si="26"/>
        <v>-0.36005101723310823</v>
      </c>
      <c r="Q179" s="6">
        <f t="shared" si="27"/>
        <v>-0.46409579957423575</v>
      </c>
      <c r="R179" s="6">
        <f t="shared" si="28"/>
        <v>-0.25371191031366003</v>
      </c>
      <c r="S179" s="6">
        <f t="shared" si="29"/>
        <v>0.56420709483052189</v>
      </c>
      <c r="T179" s="6">
        <f t="shared" si="30"/>
        <v>0.23095364690043418</v>
      </c>
      <c r="U179" s="6">
        <f t="shared" si="31"/>
        <v>-0.27773238116896698</v>
      </c>
      <c r="V179" s="6">
        <f t="shared" si="32"/>
        <v>-0.68687056039469974</v>
      </c>
      <c r="W179" s="6">
        <f t="shared" si="33"/>
        <v>0.82713550916813339</v>
      </c>
      <c r="X179" s="6">
        <f t="shared" si="34"/>
        <v>-0.29130364367754757</v>
      </c>
    </row>
    <row r="180" spans="1:24" x14ac:dyDescent="0.35">
      <c r="A180" s="2" t="s">
        <v>183</v>
      </c>
      <c r="B180" s="2" t="s">
        <v>202</v>
      </c>
      <c r="C180" s="2">
        <v>7.24</v>
      </c>
      <c r="D180" s="2">
        <v>10.53</v>
      </c>
      <c r="E180" s="2">
        <v>11716</v>
      </c>
      <c r="F180" s="2">
        <v>76.59</v>
      </c>
      <c r="G180" s="2">
        <v>73.819999999999993</v>
      </c>
      <c r="H180" s="2">
        <v>75.349999999999994</v>
      </c>
      <c r="I180" s="2">
        <v>98.14</v>
      </c>
      <c r="J180" s="2">
        <v>11.79</v>
      </c>
      <c r="K180" s="2">
        <v>61.77</v>
      </c>
      <c r="L180" s="2">
        <v>33372476</v>
      </c>
      <c r="M180" s="2">
        <v>0</v>
      </c>
      <c r="O180" s="6">
        <f t="shared" si="26"/>
        <v>-0.67545991765082591</v>
      </c>
      <c r="P180" s="6">
        <f t="shared" si="26"/>
        <v>1.2848729588180696</v>
      </c>
      <c r="Q180" s="6">
        <f t="shared" si="27"/>
        <v>0.51251139582034388</v>
      </c>
      <c r="R180" s="6">
        <f t="shared" si="28"/>
        <v>1.0265794641478165</v>
      </c>
      <c r="S180" s="6">
        <f t="shared" si="29"/>
        <v>1.2087860213115069</v>
      </c>
      <c r="T180" s="6">
        <f t="shared" si="30"/>
        <v>-9.9767875971141382E-2</v>
      </c>
      <c r="U180" s="6">
        <f t="shared" si="31"/>
        <v>0.82896040071195709</v>
      </c>
      <c r="V180" s="6">
        <f t="shared" si="32"/>
        <v>2.5548500841586277</v>
      </c>
      <c r="W180" s="6">
        <f t="shared" si="33"/>
        <v>-1.2041061930102892</v>
      </c>
      <c r="X180" s="6">
        <f t="shared" si="34"/>
        <v>0.23837869461065275</v>
      </c>
    </row>
    <row r="181" spans="1:24" x14ac:dyDescent="0.35">
      <c r="A181" s="2" t="s">
        <v>183</v>
      </c>
      <c r="B181" s="2" t="s">
        <v>203</v>
      </c>
      <c r="C181" s="2">
        <v>8.25</v>
      </c>
      <c r="D181" s="2">
        <v>9.81</v>
      </c>
      <c r="E181" s="2">
        <v>10942</v>
      </c>
      <c r="F181" s="2">
        <v>74.599999999999994</v>
      </c>
      <c r="G181" s="2">
        <v>72.58</v>
      </c>
      <c r="H181" s="2">
        <v>39.64</v>
      </c>
      <c r="I181" s="2">
        <v>98.37</v>
      </c>
      <c r="J181" s="2">
        <v>10.78</v>
      </c>
      <c r="K181" s="2">
        <v>56.86</v>
      </c>
      <c r="L181" s="2">
        <v>8851051</v>
      </c>
      <c r="M181" s="2">
        <v>0</v>
      </c>
      <c r="O181" s="6">
        <f t="shared" si="26"/>
        <v>-0.53991571978405561</v>
      </c>
      <c r="P181" s="6">
        <f t="shared" si="26"/>
        <v>0.84295308465506735</v>
      </c>
      <c r="Q181" s="6">
        <f t="shared" si="27"/>
        <v>0.22737598682924443</v>
      </c>
      <c r="R181" s="6">
        <f t="shared" si="28"/>
        <v>0.71998742622021727</v>
      </c>
      <c r="S181" s="6">
        <f t="shared" si="29"/>
        <v>0.84875094525906614</v>
      </c>
      <c r="T181" s="6">
        <f t="shared" si="30"/>
        <v>-2.0232313257665746</v>
      </c>
      <c r="U181" s="6">
        <f t="shared" si="31"/>
        <v>0.84362280508019538</v>
      </c>
      <c r="V181" s="6">
        <f t="shared" si="32"/>
        <v>2.1714615770159038</v>
      </c>
      <c r="W181" s="6">
        <f t="shared" si="33"/>
        <v>-1.9724726612457335</v>
      </c>
      <c r="X181" s="6">
        <f t="shared" si="34"/>
        <v>-0.2739969269563417</v>
      </c>
    </row>
    <row r="182" spans="1:24" x14ac:dyDescent="0.35">
      <c r="A182" s="2" t="s">
        <v>183</v>
      </c>
      <c r="B182" s="2" t="s">
        <v>204</v>
      </c>
      <c r="C182" s="2">
        <v>4.37</v>
      </c>
      <c r="D182" s="2">
        <v>10.99</v>
      </c>
      <c r="E182" s="2">
        <v>16996</v>
      </c>
      <c r="F182" s="2">
        <v>81.96</v>
      </c>
      <c r="G182" s="2">
        <v>74.459999999999994</v>
      </c>
      <c r="H182" s="2">
        <v>48.9</v>
      </c>
      <c r="I182" s="2">
        <v>99.51</v>
      </c>
      <c r="J182" s="2">
        <v>11.46</v>
      </c>
      <c r="K182" s="2">
        <v>65.31</v>
      </c>
      <c r="L182" s="2">
        <v>200414035</v>
      </c>
      <c r="M182" s="2">
        <v>0</v>
      </c>
      <c r="O182" s="6">
        <f t="shared" si="26"/>
        <v>-1.0606201630742229</v>
      </c>
      <c r="P182" s="6">
        <f t="shared" si="26"/>
        <v>1.5672106561999888</v>
      </c>
      <c r="Q182" s="6">
        <f t="shared" si="27"/>
        <v>2.4576211625813325</v>
      </c>
      <c r="R182" s="6">
        <f t="shared" si="28"/>
        <v>1.8539157675001769</v>
      </c>
      <c r="S182" s="6">
        <f t="shared" si="29"/>
        <v>1.3946105766934129</v>
      </c>
      <c r="T182" s="6">
        <f t="shared" si="30"/>
        <v>-1.5244558694488566</v>
      </c>
      <c r="U182" s="6">
        <f t="shared" si="31"/>
        <v>0.91629733107928835</v>
      </c>
      <c r="V182" s="6">
        <f t="shared" si="32"/>
        <v>2.4295845323199168</v>
      </c>
      <c r="W182" s="6">
        <f t="shared" si="33"/>
        <v>-0.65013118332526487</v>
      </c>
      <c r="X182" s="6">
        <f t="shared" si="34"/>
        <v>3.7287151094048494</v>
      </c>
    </row>
    <row r="183" spans="1:24" x14ac:dyDescent="0.35">
      <c r="A183" s="2" t="s">
        <v>183</v>
      </c>
      <c r="B183" s="2" t="s">
        <v>205</v>
      </c>
      <c r="C183" s="2">
        <v>10.029999999999999</v>
      </c>
      <c r="D183" s="2">
        <v>10.119999999999999</v>
      </c>
      <c r="E183" s="2">
        <v>11810</v>
      </c>
      <c r="F183" s="2">
        <v>75.25</v>
      </c>
      <c r="G183" s="2">
        <v>72.44</v>
      </c>
      <c r="H183" s="2">
        <v>92.71</v>
      </c>
      <c r="I183" s="2">
        <v>99.34</v>
      </c>
      <c r="J183" s="2">
        <v>10.53</v>
      </c>
      <c r="K183" s="2">
        <v>62.87</v>
      </c>
      <c r="L183" s="2">
        <v>17154552</v>
      </c>
      <c r="M183" s="2">
        <v>0</v>
      </c>
      <c r="O183" s="6">
        <f t="shared" si="26"/>
        <v>-0.30103584631588609</v>
      </c>
      <c r="P183" s="6">
        <f t="shared" si="26"/>
        <v>1.0332241415863594</v>
      </c>
      <c r="Q183" s="6">
        <f t="shared" si="27"/>
        <v>0.54714024394070992</v>
      </c>
      <c r="R183" s="6">
        <f t="shared" si="28"/>
        <v>0.82013055418651892</v>
      </c>
      <c r="S183" s="6">
        <f t="shared" si="29"/>
        <v>0.80810182376927409</v>
      </c>
      <c r="T183" s="6">
        <f t="shared" si="30"/>
        <v>0.83530144602406242</v>
      </c>
      <c r="U183" s="6">
        <f t="shared" si="31"/>
        <v>0.90545990176363411</v>
      </c>
      <c r="V183" s="6">
        <f t="shared" si="32"/>
        <v>2.0765634316835468</v>
      </c>
      <c r="W183" s="6">
        <f t="shared" si="33"/>
        <v>-1.0319670657070339</v>
      </c>
      <c r="X183" s="6">
        <f t="shared" si="34"/>
        <v>-0.10049512247078837</v>
      </c>
    </row>
    <row r="184" spans="1:24" x14ac:dyDescent="0.35">
      <c r="A184" s="2" t="s">
        <v>183</v>
      </c>
      <c r="B184" s="2" t="s">
        <v>206</v>
      </c>
      <c r="C184" s="2">
        <v>4.74</v>
      </c>
      <c r="D184" s="2">
        <v>11.31</v>
      </c>
      <c r="E184" s="2">
        <v>15903</v>
      </c>
      <c r="F184" s="2">
        <v>81.95</v>
      </c>
      <c r="G184" s="2">
        <v>75.19</v>
      </c>
      <c r="H184" s="2">
        <v>97.54</v>
      </c>
      <c r="I184" s="2">
        <v>100</v>
      </c>
      <c r="J184" s="2">
        <v>10.88</v>
      </c>
      <c r="K184" s="2">
        <v>64.760000000000005</v>
      </c>
      <c r="L184" s="2">
        <v>69796936</v>
      </c>
      <c r="M184" s="2">
        <v>0</v>
      </c>
      <c r="O184" s="6">
        <f t="shared" si="26"/>
        <v>-1.010965357915109</v>
      </c>
      <c r="P184" s="6">
        <f t="shared" si="26"/>
        <v>1.7636194891613237</v>
      </c>
      <c r="Q184" s="6">
        <f t="shared" si="27"/>
        <v>2.0549687051817567</v>
      </c>
      <c r="R184" s="6">
        <f t="shared" si="28"/>
        <v>1.8523751039930043</v>
      </c>
      <c r="S184" s="6">
        <f t="shared" si="29"/>
        <v>1.6065667101759002</v>
      </c>
      <c r="T184" s="6">
        <f t="shared" si="30"/>
        <v>1.0954618622243415</v>
      </c>
      <c r="U184" s="6">
        <f t="shared" si="31"/>
        <v>0.94753462734205607</v>
      </c>
      <c r="V184" s="6">
        <f t="shared" si="32"/>
        <v>2.2094208351488476</v>
      </c>
      <c r="W184" s="6">
        <f t="shared" si="33"/>
        <v>-0.73620074697689253</v>
      </c>
      <c r="X184" s="6">
        <f t="shared" si="34"/>
        <v>0.99946844909034249</v>
      </c>
    </row>
    <row r="185" spans="1:24" x14ac:dyDescent="0.35">
      <c r="A185" s="2" t="s">
        <v>183</v>
      </c>
      <c r="B185" s="2" t="s">
        <v>207</v>
      </c>
      <c r="C185" s="2">
        <v>2.58</v>
      </c>
      <c r="D185" s="2">
        <v>11.46</v>
      </c>
      <c r="E185" s="2">
        <v>15420</v>
      </c>
      <c r="F185" s="2">
        <v>81.37</v>
      </c>
      <c r="G185" s="2">
        <v>74.62</v>
      </c>
      <c r="H185" s="2">
        <v>97.06</v>
      </c>
      <c r="I185" s="2">
        <v>99.52</v>
      </c>
      <c r="J185" s="2">
        <v>9.76</v>
      </c>
      <c r="K185" s="2">
        <v>62.62</v>
      </c>
      <c r="L185" s="2">
        <v>49946927</v>
      </c>
      <c r="M185" s="2">
        <v>0</v>
      </c>
      <c r="O185" s="6">
        <f t="shared" si="26"/>
        <v>-1.3008420583034497</v>
      </c>
      <c r="P185" s="6">
        <f t="shared" si="26"/>
        <v>1.8556861296119496</v>
      </c>
      <c r="Q185" s="6">
        <f t="shared" si="27"/>
        <v>1.8770353685632797</v>
      </c>
      <c r="R185" s="6">
        <f t="shared" si="28"/>
        <v>1.7630166205769209</v>
      </c>
      <c r="S185" s="6">
        <f t="shared" si="29"/>
        <v>1.4410667155388925</v>
      </c>
      <c r="T185" s="6">
        <f t="shared" si="30"/>
        <v>1.0696074109249347</v>
      </c>
      <c r="U185" s="6">
        <f t="shared" si="31"/>
        <v>0.91693482692138517</v>
      </c>
      <c r="V185" s="6">
        <f t="shared" si="32"/>
        <v>1.7842771440598861</v>
      </c>
      <c r="W185" s="6">
        <f t="shared" si="33"/>
        <v>-1.0710895946395922</v>
      </c>
      <c r="X185" s="6">
        <f t="shared" si="34"/>
        <v>0.58470214984446123</v>
      </c>
    </row>
    <row r="186" spans="1:24" x14ac:dyDescent="0.35">
      <c r="A186" s="2" t="s">
        <v>183</v>
      </c>
      <c r="B186" s="2" t="s">
        <v>208</v>
      </c>
      <c r="C186" s="2">
        <v>5.35</v>
      </c>
      <c r="D186" s="2">
        <v>11.08</v>
      </c>
      <c r="E186" s="2">
        <v>12019</v>
      </c>
      <c r="F186" s="2">
        <v>78.06</v>
      </c>
      <c r="G186" s="2">
        <v>74.209999999999994</v>
      </c>
      <c r="H186" s="2">
        <v>78.67</v>
      </c>
      <c r="I186" s="2">
        <v>97.93</v>
      </c>
      <c r="J186" s="2">
        <v>13.07</v>
      </c>
      <c r="K186" s="2">
        <v>61.79</v>
      </c>
      <c r="L186" s="2">
        <v>23275779</v>
      </c>
      <c r="M186" s="2">
        <v>0</v>
      </c>
      <c r="O186" s="6">
        <f t="shared" si="26"/>
        <v>-0.92910203049062401</v>
      </c>
      <c r="P186" s="6">
        <f t="shared" si="26"/>
        <v>1.622450640470364</v>
      </c>
      <c r="Q186" s="6">
        <f t="shared" si="27"/>
        <v>0.62413417220833245</v>
      </c>
      <c r="R186" s="6">
        <f t="shared" si="28"/>
        <v>1.2530569997023735</v>
      </c>
      <c r="S186" s="6">
        <f t="shared" si="29"/>
        <v>1.322022859747356</v>
      </c>
      <c r="T186" s="6">
        <f t="shared" si="30"/>
        <v>7.9058745516421031E-2</v>
      </c>
      <c r="U186" s="6">
        <f t="shared" si="31"/>
        <v>0.81557298802791411</v>
      </c>
      <c r="V186" s="6">
        <f t="shared" si="32"/>
        <v>3.0407285882602983</v>
      </c>
      <c r="W186" s="6">
        <f t="shared" si="33"/>
        <v>-1.2009763906956852</v>
      </c>
      <c r="X186" s="6">
        <f t="shared" si="34"/>
        <v>2.7408027076094358E-2</v>
      </c>
    </row>
    <row r="187" spans="1:24" x14ac:dyDescent="0.35">
      <c r="A187" s="2" t="s">
        <v>183</v>
      </c>
      <c r="B187" s="2" t="s">
        <v>209</v>
      </c>
      <c r="C187" s="2">
        <v>13.13</v>
      </c>
      <c r="D187" s="2">
        <v>9.52</v>
      </c>
      <c r="E187" s="2">
        <v>10213</v>
      </c>
      <c r="F187" s="2">
        <v>73.31</v>
      </c>
      <c r="G187" s="2">
        <v>72.34</v>
      </c>
      <c r="H187" s="2">
        <v>52.62</v>
      </c>
      <c r="I187" s="2">
        <v>94.4</v>
      </c>
      <c r="J187" s="2">
        <v>7.66</v>
      </c>
      <c r="K187" s="2">
        <v>65.75</v>
      </c>
      <c r="L187" s="2">
        <v>15981251</v>
      </c>
      <c r="M187" s="2">
        <v>0</v>
      </c>
      <c r="O187" s="6">
        <f t="shared" si="26"/>
        <v>0.11499089961182508</v>
      </c>
      <c r="P187" s="6">
        <f t="shared" si="26"/>
        <v>0.66495757978385717</v>
      </c>
      <c r="Q187" s="6">
        <f t="shared" si="27"/>
        <v>-4.1181782104232956E-2</v>
      </c>
      <c r="R187" s="6">
        <f t="shared" si="28"/>
        <v>0.52124183379479083</v>
      </c>
      <c r="S187" s="6">
        <f t="shared" si="29"/>
        <v>0.77906673699085305</v>
      </c>
      <c r="T187" s="6">
        <f t="shared" si="30"/>
        <v>-1.324083871878456</v>
      </c>
      <c r="U187" s="6">
        <f t="shared" si="31"/>
        <v>0.59053695576756482</v>
      </c>
      <c r="V187" s="6">
        <f t="shared" si="32"/>
        <v>0.98713272326808432</v>
      </c>
      <c r="W187" s="6">
        <f t="shared" si="33"/>
        <v>-0.58127553240396279</v>
      </c>
      <c r="X187" s="6">
        <f t="shared" si="34"/>
        <v>-0.12501126821518033</v>
      </c>
    </row>
    <row r="188" spans="1:24" x14ac:dyDescent="0.35">
      <c r="A188" s="2" t="s">
        <v>183</v>
      </c>
      <c r="B188" s="2" t="s">
        <v>210</v>
      </c>
      <c r="C188" s="2">
        <v>7.11</v>
      </c>
      <c r="D188" s="2">
        <v>8.77</v>
      </c>
      <c r="E188" s="2">
        <v>10476</v>
      </c>
      <c r="F188" s="2">
        <v>71.92</v>
      </c>
      <c r="G188" s="2">
        <v>71.19</v>
      </c>
      <c r="H188" s="2">
        <v>81.92</v>
      </c>
      <c r="I188" s="2">
        <v>97.21</v>
      </c>
      <c r="J188" s="2">
        <v>6.09</v>
      </c>
      <c r="K188" s="2">
        <v>64.069999999999993</v>
      </c>
      <c r="L188" s="2">
        <v>3364261</v>
      </c>
      <c r="M188" s="2">
        <v>0</v>
      </c>
      <c r="O188" s="6">
        <f t="shared" si="26"/>
        <v>-0.69290620054456864</v>
      </c>
      <c r="P188" s="6">
        <f t="shared" si="26"/>
        <v>0.20462437753072898</v>
      </c>
      <c r="Q188" s="6">
        <f t="shared" si="27"/>
        <v>5.5705314232535975E-2</v>
      </c>
      <c r="R188" s="6">
        <f t="shared" si="28"/>
        <v>0.30708960629762444</v>
      </c>
      <c r="S188" s="6">
        <f t="shared" si="29"/>
        <v>0.44516323903898952</v>
      </c>
      <c r="T188" s="6">
        <f t="shared" si="30"/>
        <v>0.25411492618948628</v>
      </c>
      <c r="U188" s="6">
        <f t="shared" si="31"/>
        <v>0.76967328739690721</v>
      </c>
      <c r="V188" s="6">
        <f t="shared" si="32"/>
        <v>0.39117237058087995</v>
      </c>
      <c r="W188" s="6">
        <f t="shared" si="33"/>
        <v>-0.84417892683075513</v>
      </c>
      <c r="X188" s="6">
        <f t="shared" si="34"/>
        <v>-0.38864350384400503</v>
      </c>
    </row>
    <row r="189" spans="1:24" x14ac:dyDescent="0.35">
      <c r="A189" s="2" t="s">
        <v>211</v>
      </c>
      <c r="B189" s="2" t="s">
        <v>212</v>
      </c>
      <c r="C189" s="2">
        <v>11.67</v>
      </c>
      <c r="D189" s="2">
        <v>7.09</v>
      </c>
      <c r="E189" s="2">
        <v>10534</v>
      </c>
      <c r="F189" s="2">
        <v>70.42</v>
      </c>
      <c r="G189" s="2">
        <v>73.900000000000006</v>
      </c>
      <c r="H189" s="2">
        <v>76.42</v>
      </c>
      <c r="I189" s="2">
        <v>93.37</v>
      </c>
      <c r="J189" s="2">
        <v>9.9700000000000006</v>
      </c>
      <c r="K189" s="2">
        <v>62.91</v>
      </c>
      <c r="L189" s="2">
        <v>91944588</v>
      </c>
      <c r="M189" s="2">
        <v>0</v>
      </c>
      <c r="O189" s="6">
        <f t="shared" si="26"/>
        <v>-8.0944277502516343E-2</v>
      </c>
      <c r="P189" s="6">
        <f t="shared" si="26"/>
        <v>-0.82652199551627803</v>
      </c>
      <c r="Q189" s="6">
        <f t="shared" si="27"/>
        <v>7.7072050306804418E-2</v>
      </c>
      <c r="R189" s="6">
        <f t="shared" si="28"/>
        <v>7.5990080221545714E-2</v>
      </c>
      <c r="S189" s="6">
        <f t="shared" si="29"/>
        <v>1.2320140907342489</v>
      </c>
      <c r="T189" s="6">
        <f t="shared" si="30"/>
        <v>-4.2133994949547199E-2</v>
      </c>
      <c r="U189" s="6">
        <f t="shared" si="31"/>
        <v>0.52487488403154214</v>
      </c>
      <c r="V189" s="6">
        <f t="shared" si="32"/>
        <v>1.8639915861390666</v>
      </c>
      <c r="W189" s="6">
        <f t="shared" si="33"/>
        <v>-1.0257074610778247</v>
      </c>
      <c r="X189" s="6">
        <f t="shared" si="34"/>
        <v>1.4622440406291495</v>
      </c>
    </row>
    <row r="190" spans="1:24" x14ac:dyDescent="0.35">
      <c r="A190" s="2" t="s">
        <v>211</v>
      </c>
      <c r="B190" s="2" t="s">
        <v>213</v>
      </c>
      <c r="C190" s="2">
        <v>13.66</v>
      </c>
      <c r="D190" s="2">
        <v>7.63</v>
      </c>
      <c r="E190" s="2">
        <v>11546</v>
      </c>
      <c r="F190" s="2">
        <v>72.44</v>
      </c>
      <c r="G190" s="2">
        <v>73.8</v>
      </c>
      <c r="H190" s="2">
        <v>79.97</v>
      </c>
      <c r="I190" s="2">
        <v>91.49</v>
      </c>
      <c r="J190" s="2">
        <v>6.05</v>
      </c>
      <c r="K190" s="2">
        <v>65.069999999999993</v>
      </c>
      <c r="L190" s="2">
        <v>40686808</v>
      </c>
      <c r="M190" s="2">
        <v>0</v>
      </c>
      <c r="O190" s="6">
        <f t="shared" si="26"/>
        <v>0.18611805294785302</v>
      </c>
      <c r="P190" s="6">
        <f t="shared" si="26"/>
        <v>-0.49508208989402569</v>
      </c>
      <c r="Q190" s="6">
        <f t="shared" si="27"/>
        <v>0.4498847556026605</v>
      </c>
      <c r="R190" s="6">
        <f t="shared" si="28"/>
        <v>0.38720410867066446</v>
      </c>
      <c r="S190" s="6">
        <f t="shared" si="29"/>
        <v>1.2029790039558237</v>
      </c>
      <c r="T190" s="6">
        <f t="shared" si="30"/>
        <v>0.14908121778564698</v>
      </c>
      <c r="U190" s="6">
        <f t="shared" si="31"/>
        <v>0.40502566571724791</v>
      </c>
      <c r="V190" s="6">
        <f t="shared" si="32"/>
        <v>0.37598866732770275</v>
      </c>
      <c r="W190" s="6">
        <f t="shared" si="33"/>
        <v>-0.68768881110052227</v>
      </c>
      <c r="X190" s="6">
        <f t="shared" si="34"/>
        <v>0.39121179484228114</v>
      </c>
    </row>
    <row r="191" spans="1:24" x14ac:dyDescent="0.35">
      <c r="A191" s="2" t="s">
        <v>211</v>
      </c>
      <c r="B191" s="2" t="s">
        <v>214</v>
      </c>
      <c r="C191" s="2">
        <v>16.239999999999998</v>
      </c>
      <c r="D191" s="2">
        <v>7.25</v>
      </c>
      <c r="E191" s="2">
        <v>10032</v>
      </c>
      <c r="F191" s="2">
        <v>69.150000000000006</v>
      </c>
      <c r="G191" s="2">
        <v>73.209999999999994</v>
      </c>
      <c r="H191" s="2">
        <v>76.33</v>
      </c>
      <c r="I191" s="2">
        <v>85.18</v>
      </c>
      <c r="J191" s="2">
        <v>6.05</v>
      </c>
      <c r="K191" s="2">
        <v>69.52</v>
      </c>
      <c r="L191" s="2">
        <v>17731438</v>
      </c>
      <c r="M191" s="2">
        <v>0</v>
      </c>
      <c r="O191" s="6">
        <f t="shared" si="26"/>
        <v>0.53235966730059292</v>
      </c>
      <c r="P191" s="6">
        <f t="shared" si="26"/>
        <v>-0.72831757903561056</v>
      </c>
      <c r="Q191" s="6">
        <f t="shared" si="27"/>
        <v>-0.10786073433600168</v>
      </c>
      <c r="R191" s="6">
        <f t="shared" si="28"/>
        <v>-0.11967418518953367</v>
      </c>
      <c r="S191" s="6">
        <f t="shared" si="29"/>
        <v>1.0316719919631283</v>
      </c>
      <c r="T191" s="6">
        <f t="shared" si="30"/>
        <v>-4.6981704568186115E-2</v>
      </c>
      <c r="U191" s="6">
        <f t="shared" si="31"/>
        <v>2.765789353848263E-3</v>
      </c>
      <c r="V191" s="6">
        <f t="shared" si="32"/>
        <v>0.37598866732770275</v>
      </c>
      <c r="W191" s="6">
        <f t="shared" si="33"/>
        <v>8.6922038990146413E-3</v>
      </c>
      <c r="X191" s="6">
        <f t="shared" si="34"/>
        <v>-8.8441079003767298E-2</v>
      </c>
    </row>
    <row r="192" spans="1:24" x14ac:dyDescent="0.35">
      <c r="A192" s="2" t="s">
        <v>211</v>
      </c>
      <c r="B192" s="2" t="s">
        <v>215</v>
      </c>
      <c r="C192" s="2">
        <v>16.23</v>
      </c>
      <c r="D192" s="2">
        <v>6.75</v>
      </c>
      <c r="E192" s="2">
        <v>9407</v>
      </c>
      <c r="F192" s="2">
        <v>67.86</v>
      </c>
      <c r="G192" s="2">
        <v>74.28</v>
      </c>
      <c r="H192" s="2">
        <v>40.75</v>
      </c>
      <c r="I192" s="2">
        <v>82.61</v>
      </c>
      <c r="J192" s="2">
        <v>5.86</v>
      </c>
      <c r="K192" s="2">
        <v>69.760000000000005</v>
      </c>
      <c r="L192" s="2">
        <v>15536478</v>
      </c>
      <c r="M192" s="2">
        <v>0</v>
      </c>
      <c r="O192" s="6">
        <f t="shared" si="26"/>
        <v>0.53101764553953601</v>
      </c>
      <c r="P192" s="6">
        <f t="shared" si="26"/>
        <v>-1.0352063805376961</v>
      </c>
      <c r="Q192" s="6">
        <f t="shared" si="27"/>
        <v>-0.33810573513630809</v>
      </c>
      <c r="R192" s="6">
        <f t="shared" si="28"/>
        <v>-0.31841977761496232</v>
      </c>
      <c r="S192" s="6">
        <f t="shared" si="29"/>
        <v>1.3423474204922541</v>
      </c>
      <c r="T192" s="6">
        <f t="shared" si="30"/>
        <v>-1.963442907136697</v>
      </c>
      <c r="U192" s="6">
        <f t="shared" si="31"/>
        <v>-0.16107064206515997</v>
      </c>
      <c r="V192" s="6">
        <f t="shared" si="32"/>
        <v>0.30386607687511136</v>
      </c>
      <c r="W192" s="6">
        <f t="shared" si="33"/>
        <v>4.6249831674271963E-2</v>
      </c>
      <c r="X192" s="6">
        <f t="shared" si="34"/>
        <v>-0.13430480814327245</v>
      </c>
    </row>
    <row r="193" spans="1:24" x14ac:dyDescent="0.35">
      <c r="A193" s="2" t="s">
        <v>211</v>
      </c>
      <c r="B193" s="2" t="s">
        <v>216</v>
      </c>
      <c r="C193" s="2">
        <v>17.829999999999998</v>
      </c>
      <c r="D193" s="2">
        <v>7.55</v>
      </c>
      <c r="E193" s="2">
        <v>9028</v>
      </c>
      <c r="F193" s="2">
        <v>70.05</v>
      </c>
      <c r="G193" s="2">
        <v>73.55</v>
      </c>
      <c r="H193" s="2">
        <v>88.99</v>
      </c>
      <c r="I193" s="2">
        <v>86.36</v>
      </c>
      <c r="J193" s="2">
        <v>6.03</v>
      </c>
      <c r="K193" s="2">
        <v>67.760000000000005</v>
      </c>
      <c r="L193" s="2">
        <v>20253059</v>
      </c>
      <c r="M193" s="2">
        <v>0</v>
      </c>
      <c r="O193" s="6">
        <f t="shared" si="26"/>
        <v>0.74574112730867692</v>
      </c>
      <c r="P193" s="6">
        <f t="shared" si="26"/>
        <v>-0.54418429813435942</v>
      </c>
      <c r="Q193" s="6">
        <f t="shared" si="27"/>
        <v>-0.47772630362161389</v>
      </c>
      <c r="R193" s="6">
        <f t="shared" si="28"/>
        <v>1.898553045611226E-2</v>
      </c>
      <c r="S193" s="6">
        <f t="shared" si="29"/>
        <v>1.1303912870097668</v>
      </c>
      <c r="T193" s="6">
        <f t="shared" si="30"/>
        <v>0.63492944845366162</v>
      </c>
      <c r="U193" s="6">
        <f t="shared" si="31"/>
        <v>7.7990298721329954E-2</v>
      </c>
      <c r="V193" s="6">
        <f t="shared" si="32"/>
        <v>0.36839681570111432</v>
      </c>
      <c r="W193" s="6">
        <f t="shared" si="33"/>
        <v>-0.26673039978619384</v>
      </c>
      <c r="X193" s="6">
        <f t="shared" si="34"/>
        <v>-3.5751762325336653E-2</v>
      </c>
    </row>
    <row r="194" spans="1:24" x14ac:dyDescent="0.35">
      <c r="A194" s="2" t="s">
        <v>211</v>
      </c>
      <c r="B194" s="2" t="s">
        <v>217</v>
      </c>
      <c r="C194" s="2">
        <v>12.4</v>
      </c>
      <c r="D194" s="2">
        <v>8.2100000000000009</v>
      </c>
      <c r="E194" s="2">
        <v>10275</v>
      </c>
      <c r="F194" s="2">
        <v>72.98</v>
      </c>
      <c r="G194" s="2">
        <v>74.87</v>
      </c>
      <c r="H194" s="2">
        <v>79.81</v>
      </c>
      <c r="I194" s="2">
        <v>85.99</v>
      </c>
      <c r="J194" s="2">
        <v>3.59</v>
      </c>
      <c r="K194" s="2">
        <v>73.290000000000006</v>
      </c>
      <c r="L194" s="2">
        <v>13582556</v>
      </c>
      <c r="M194" s="2">
        <v>0</v>
      </c>
      <c r="O194" s="6">
        <f t="shared" si="26"/>
        <v>1.7023311054654374E-2</v>
      </c>
      <c r="P194" s="6">
        <f t="shared" si="26"/>
        <v>-0.13909108015160596</v>
      </c>
      <c r="Q194" s="6">
        <f t="shared" si="27"/>
        <v>-1.834147802484256E-2</v>
      </c>
      <c r="R194" s="6">
        <f t="shared" si="28"/>
        <v>0.47039993805805375</v>
      </c>
      <c r="S194" s="6">
        <f t="shared" si="29"/>
        <v>1.5136544324849495</v>
      </c>
      <c r="T194" s="6">
        <f t="shared" si="30"/>
        <v>0.14046306735251163</v>
      </c>
      <c r="U194" s="6">
        <f t="shared" si="31"/>
        <v>5.4402952563729332E-2</v>
      </c>
      <c r="V194" s="6">
        <f t="shared" si="32"/>
        <v>-0.55780908274269381</v>
      </c>
      <c r="W194" s="6">
        <f t="shared" si="33"/>
        <v>0.59865994020199431</v>
      </c>
      <c r="X194" s="6">
        <f t="shared" si="34"/>
        <v>-0.17513204388684872</v>
      </c>
    </row>
    <row r="195" spans="1:24" x14ac:dyDescent="0.35">
      <c r="A195" s="2" t="s">
        <v>211</v>
      </c>
      <c r="B195" s="2" t="s">
        <v>218</v>
      </c>
      <c r="C195" s="2">
        <v>17.670000000000002</v>
      </c>
      <c r="D195" s="2">
        <v>6.82</v>
      </c>
      <c r="E195" s="2">
        <v>10760</v>
      </c>
      <c r="F195" s="2">
        <v>68.430000000000007</v>
      </c>
      <c r="G195" s="2">
        <v>71.94</v>
      </c>
      <c r="H195" s="2">
        <v>53.27</v>
      </c>
      <c r="I195" s="2">
        <v>95.64</v>
      </c>
      <c r="J195" s="2">
        <v>5.26</v>
      </c>
      <c r="K195" s="2">
        <v>70.77</v>
      </c>
      <c r="L195" s="2">
        <v>14064765</v>
      </c>
      <c r="M195" s="2">
        <v>0</v>
      </c>
      <c r="O195" s="6">
        <f t="shared" ref="O195:P258" si="35">(C195 - C$516) / C$517</f>
        <v>0.72426877913176324</v>
      </c>
      <c r="P195" s="6">
        <f t="shared" si="35"/>
        <v>-0.99224194832740387</v>
      </c>
      <c r="Q195" s="6">
        <f t="shared" ref="Q195:Q258" si="36">(E195 - E$516) / E$517</f>
        <v>0.1603286425961952</v>
      </c>
      <c r="R195" s="6">
        <f t="shared" ref="R195:R258" si="37">(F195 - F$516) / F$517</f>
        <v>-0.23060195770605127</v>
      </c>
      <c r="S195" s="6">
        <f t="shared" ref="S195:S258" si="38">(G195 - G$516) / G$517</f>
        <v>0.66292638987716024</v>
      </c>
      <c r="T195" s="6">
        <f t="shared" ref="T195:T258" si="39">(H195 - H$516) / H$517</f>
        <v>-1.2890726357438425</v>
      </c>
      <c r="U195" s="6">
        <f t="shared" ref="U195:U258" si="40">(I195 - I$516) / I$517</f>
        <v>0.66958644018763047</v>
      </c>
      <c r="V195" s="6">
        <f t="shared" ref="V195:V258" si="41">(J195 - J$516) / J$517</f>
        <v>7.6110528077453443E-2</v>
      </c>
      <c r="W195" s="6">
        <f t="shared" ref="W195:W258" si="42">(K195 - K$516) / K$517</f>
        <v>0.20430484856180578</v>
      </c>
      <c r="X195" s="6">
        <f t="shared" ref="X195:X258" si="43">(L195 - L$516) / L$517</f>
        <v>-0.16505627805757092</v>
      </c>
    </row>
    <row r="196" spans="1:24" x14ac:dyDescent="0.35">
      <c r="A196" s="2" t="s">
        <v>211</v>
      </c>
      <c r="B196" s="2" t="s">
        <v>219</v>
      </c>
      <c r="C196" s="2">
        <v>11.91</v>
      </c>
      <c r="D196" s="2">
        <v>7.79</v>
      </c>
      <c r="E196" s="2">
        <v>9440</v>
      </c>
      <c r="F196" s="2">
        <v>70.12</v>
      </c>
      <c r="G196" s="2">
        <v>73.88</v>
      </c>
      <c r="H196" s="2">
        <v>78.400000000000006</v>
      </c>
      <c r="I196" s="2">
        <v>94.14</v>
      </c>
      <c r="J196" s="2">
        <v>5.03</v>
      </c>
      <c r="K196" s="2">
        <v>75.78</v>
      </c>
      <c r="L196" s="2">
        <v>23661713</v>
      </c>
      <c r="M196" s="2">
        <v>0</v>
      </c>
      <c r="O196" s="6">
        <f t="shared" si="35"/>
        <v>-4.8735755237145136E-2</v>
      </c>
      <c r="P196" s="6">
        <f t="shared" si="35"/>
        <v>-0.39687767341335822</v>
      </c>
      <c r="Q196" s="6">
        <f t="shared" si="36"/>
        <v>-0.32594879909405189</v>
      </c>
      <c r="R196" s="6">
        <f t="shared" si="37"/>
        <v>2.9770175006330404E-2</v>
      </c>
      <c r="S196" s="6">
        <f t="shared" si="38"/>
        <v>1.2262070733785613</v>
      </c>
      <c r="T196" s="6">
        <f t="shared" si="39"/>
        <v>6.4515616660505065E-2</v>
      </c>
      <c r="U196" s="6">
        <f t="shared" si="40"/>
        <v>0.5739620638730345</v>
      </c>
      <c r="V196" s="6">
        <f t="shared" si="41"/>
        <v>-1.1195765628315158E-2</v>
      </c>
      <c r="W196" s="6">
        <f t="shared" si="42"/>
        <v>0.98832032837027339</v>
      </c>
      <c r="X196" s="6">
        <f t="shared" si="43"/>
        <v>3.547212502855171E-2</v>
      </c>
    </row>
    <row r="197" spans="1:24" x14ac:dyDescent="0.35">
      <c r="A197" s="2" t="s">
        <v>211</v>
      </c>
      <c r="B197" s="2" t="s">
        <v>220</v>
      </c>
      <c r="C197" s="2">
        <v>10.62</v>
      </c>
      <c r="D197" s="2">
        <v>7.85</v>
      </c>
      <c r="E197" s="2">
        <v>13031</v>
      </c>
      <c r="F197" s="2">
        <v>74.400000000000006</v>
      </c>
      <c r="G197" s="2">
        <v>76.03</v>
      </c>
      <c r="H197" s="2">
        <v>87.72</v>
      </c>
      <c r="I197" s="2">
        <v>93.42</v>
      </c>
      <c r="J197" s="2">
        <v>5.09</v>
      </c>
      <c r="K197" s="2">
        <v>75.790000000000006</v>
      </c>
      <c r="L197" s="2">
        <v>23447366</v>
      </c>
      <c r="M197" s="2">
        <v>0</v>
      </c>
      <c r="O197" s="6">
        <f t="shared" si="35"/>
        <v>-0.22185656241351531</v>
      </c>
      <c r="P197" s="6">
        <f t="shared" si="35"/>
        <v>-0.36005101723310823</v>
      </c>
      <c r="Q197" s="6">
        <f t="shared" si="36"/>
        <v>0.99694687750418853</v>
      </c>
      <c r="R197" s="6">
        <f t="shared" si="37"/>
        <v>0.68917415607674193</v>
      </c>
      <c r="S197" s="6">
        <f t="shared" si="38"/>
        <v>1.8504614391146526</v>
      </c>
      <c r="T197" s="6">
        <f t="shared" si="39"/>
        <v>0.56652287939064871</v>
      </c>
      <c r="U197" s="6">
        <f t="shared" si="40"/>
        <v>0.52806236324202849</v>
      </c>
      <c r="V197" s="6">
        <f t="shared" si="41"/>
        <v>1.1579789251450461E-2</v>
      </c>
      <c r="W197" s="6">
        <f t="shared" si="42"/>
        <v>0.98988522952757652</v>
      </c>
      <c r="X197" s="6">
        <f t="shared" si="43"/>
        <v>3.0993340563292428E-2</v>
      </c>
    </row>
    <row r="198" spans="1:24" x14ac:dyDescent="0.35">
      <c r="A198" s="2" t="s">
        <v>211</v>
      </c>
      <c r="B198" s="2" t="s">
        <v>221</v>
      </c>
      <c r="C198" s="2">
        <v>13.49</v>
      </c>
      <c r="D198" s="2">
        <v>8.81</v>
      </c>
      <c r="E198" s="2">
        <v>12017</v>
      </c>
      <c r="F198" s="2">
        <v>76.12</v>
      </c>
      <c r="G198" s="2">
        <v>76.86</v>
      </c>
      <c r="H198" s="2">
        <v>95.37</v>
      </c>
      <c r="I198" s="2">
        <v>97.84</v>
      </c>
      <c r="J198" s="2">
        <v>5.48</v>
      </c>
      <c r="K198" s="2">
        <v>66.89</v>
      </c>
      <c r="L198" s="2">
        <v>28531109</v>
      </c>
      <c r="M198" s="2">
        <v>0</v>
      </c>
      <c r="O198" s="6">
        <f t="shared" si="35"/>
        <v>0.16330368300988177</v>
      </c>
      <c r="P198" s="6">
        <f t="shared" si="35"/>
        <v>0.22917548165089638</v>
      </c>
      <c r="Q198" s="6">
        <f t="shared" si="36"/>
        <v>0.6233973882057714</v>
      </c>
      <c r="R198" s="6">
        <f t="shared" si="37"/>
        <v>0.9541682793106453</v>
      </c>
      <c r="S198" s="6">
        <f t="shared" si="38"/>
        <v>2.0914526593755611</v>
      </c>
      <c r="T198" s="6">
        <f t="shared" si="39"/>
        <v>0.97857819697494097</v>
      </c>
      <c r="U198" s="6">
        <f t="shared" si="40"/>
        <v>0.80983552544903814</v>
      </c>
      <c r="V198" s="6">
        <f t="shared" si="41"/>
        <v>0.15962089596992818</v>
      </c>
      <c r="W198" s="6">
        <f t="shared" si="42"/>
        <v>-0.40287680047149721</v>
      </c>
      <c r="X198" s="6">
        <f t="shared" si="43"/>
        <v>0.13721824305211014</v>
      </c>
    </row>
    <row r="199" spans="1:24" x14ac:dyDescent="0.35">
      <c r="A199" s="2" t="s">
        <v>211</v>
      </c>
      <c r="B199" s="2" t="s">
        <v>222</v>
      </c>
      <c r="C199" s="2">
        <v>8.23</v>
      </c>
      <c r="D199" s="2">
        <v>9.35</v>
      </c>
      <c r="E199" s="2">
        <v>11428</v>
      </c>
      <c r="F199" s="2">
        <v>77.13</v>
      </c>
      <c r="G199" s="2">
        <v>77.73</v>
      </c>
      <c r="H199" s="2">
        <v>94.27</v>
      </c>
      <c r="I199" s="2">
        <v>98.01</v>
      </c>
      <c r="J199" s="2">
        <v>3.32</v>
      </c>
      <c r="K199" s="2">
        <v>68.78</v>
      </c>
      <c r="L199" s="2">
        <v>27634118</v>
      </c>
      <c r="M199" s="2">
        <v>0</v>
      </c>
      <c r="O199" s="6">
        <f t="shared" si="35"/>
        <v>-0.54259976330616977</v>
      </c>
      <c r="P199" s="6">
        <f t="shared" si="35"/>
        <v>0.56061538727314819</v>
      </c>
      <c r="Q199" s="6">
        <f t="shared" si="36"/>
        <v>0.40641449945156266</v>
      </c>
      <c r="R199" s="6">
        <f t="shared" si="37"/>
        <v>1.1097752935352037</v>
      </c>
      <c r="S199" s="6">
        <f t="shared" si="38"/>
        <v>2.3440579143478404</v>
      </c>
      <c r="T199" s="6">
        <f t="shared" si="39"/>
        <v>0.91932841274713384</v>
      </c>
      <c r="U199" s="6">
        <f t="shared" si="40"/>
        <v>0.82067295476469238</v>
      </c>
      <c r="V199" s="6">
        <f t="shared" si="41"/>
        <v>-0.6602990797016397</v>
      </c>
      <c r="W199" s="6">
        <f t="shared" si="42"/>
        <v>-0.10711048174135691</v>
      </c>
      <c r="X199" s="6">
        <f t="shared" si="43"/>
        <v>0.1184755997854566</v>
      </c>
    </row>
    <row r="200" spans="1:24" x14ac:dyDescent="0.35">
      <c r="A200" s="2" t="s">
        <v>211</v>
      </c>
      <c r="B200" s="2" t="s">
        <v>223</v>
      </c>
      <c r="C200" s="2">
        <v>11.55</v>
      </c>
      <c r="D200" s="2">
        <v>7.34</v>
      </c>
      <c r="E200" s="2">
        <v>9429</v>
      </c>
      <c r="F200" s="2">
        <v>70.489999999999995</v>
      </c>
      <c r="G200" s="2">
        <v>76.28</v>
      </c>
      <c r="H200" s="2">
        <v>92.97</v>
      </c>
      <c r="I200" s="2">
        <v>98.82</v>
      </c>
      <c r="J200" s="2">
        <v>2.4300000000000002</v>
      </c>
      <c r="K200" s="2">
        <v>73.09</v>
      </c>
      <c r="L200" s="2">
        <v>21251004</v>
      </c>
      <c r="M200" s="2">
        <v>0</v>
      </c>
      <c r="O200" s="6">
        <f t="shared" si="35"/>
        <v>-9.7048538635201825E-2</v>
      </c>
      <c r="P200" s="6">
        <f t="shared" si="35"/>
        <v>-0.67307759476523532</v>
      </c>
      <c r="Q200" s="6">
        <f t="shared" si="36"/>
        <v>-0.33000111110813729</v>
      </c>
      <c r="R200" s="6">
        <f t="shared" si="37"/>
        <v>8.6774724771761666E-2</v>
      </c>
      <c r="S200" s="6">
        <f t="shared" si="38"/>
        <v>1.9230491560607095</v>
      </c>
      <c r="T200" s="6">
        <f t="shared" si="39"/>
        <v>0.84930594047790786</v>
      </c>
      <c r="U200" s="6">
        <f t="shared" si="40"/>
        <v>0.87231011797457347</v>
      </c>
      <c r="V200" s="6">
        <f t="shared" si="41"/>
        <v>-0.99813647708483189</v>
      </c>
      <c r="W200" s="6">
        <f t="shared" si="42"/>
        <v>0.5673619170559473</v>
      </c>
      <c r="X200" s="6">
        <f t="shared" si="43"/>
        <v>-1.4899683391723529E-2</v>
      </c>
    </row>
    <row r="201" spans="1:24" x14ac:dyDescent="0.35">
      <c r="A201" s="2" t="s">
        <v>211</v>
      </c>
      <c r="B201" s="2" t="s">
        <v>224</v>
      </c>
      <c r="C201" s="2">
        <v>10.68</v>
      </c>
      <c r="D201" s="2">
        <v>8.57</v>
      </c>
      <c r="E201" s="2">
        <v>11509</v>
      </c>
      <c r="F201" s="2">
        <v>75.989999999999995</v>
      </c>
      <c r="G201" s="2">
        <v>77.55</v>
      </c>
      <c r="H201" s="2">
        <v>95.38</v>
      </c>
      <c r="I201" s="2">
        <v>98.65</v>
      </c>
      <c r="J201" s="2">
        <v>5.89</v>
      </c>
      <c r="K201" s="2">
        <v>73.150000000000006</v>
      </c>
      <c r="L201" s="2">
        <v>27034108</v>
      </c>
      <c r="M201" s="2">
        <v>0</v>
      </c>
      <c r="O201" s="6">
        <f t="shared" si="35"/>
        <v>-0.21380443184717246</v>
      </c>
      <c r="P201" s="6">
        <f t="shared" si="35"/>
        <v>8.186885692989522E-2</v>
      </c>
      <c r="Q201" s="6">
        <f t="shared" si="36"/>
        <v>0.43625425155528241</v>
      </c>
      <c r="R201" s="6">
        <f t="shared" si="37"/>
        <v>0.93413965371738372</v>
      </c>
      <c r="S201" s="6">
        <f t="shared" si="38"/>
        <v>2.2917947581466773</v>
      </c>
      <c r="T201" s="6">
        <f t="shared" si="39"/>
        <v>0.97911683137701144</v>
      </c>
      <c r="U201" s="6">
        <f t="shared" si="40"/>
        <v>0.86147268865892002</v>
      </c>
      <c r="V201" s="6">
        <f t="shared" si="41"/>
        <v>0.31525385431499398</v>
      </c>
      <c r="W201" s="6">
        <f t="shared" si="42"/>
        <v>0.57675132399976159</v>
      </c>
      <c r="X201" s="6">
        <f t="shared" si="43"/>
        <v>0.10593837991767109</v>
      </c>
    </row>
    <row r="202" spans="1:24" x14ac:dyDescent="0.35">
      <c r="A202" s="2" t="s">
        <v>211</v>
      </c>
      <c r="B202" s="2" t="s">
        <v>225</v>
      </c>
      <c r="C202" s="2">
        <v>13.83</v>
      </c>
      <c r="D202" s="2">
        <v>7.66</v>
      </c>
      <c r="E202" s="2">
        <v>12679</v>
      </c>
      <c r="F202" s="2">
        <v>74.08</v>
      </c>
      <c r="G202" s="2">
        <v>75.790000000000006</v>
      </c>
      <c r="H202" s="2">
        <v>89.89</v>
      </c>
      <c r="I202" s="2">
        <v>98.33</v>
      </c>
      <c r="J202" s="2">
        <v>4.76</v>
      </c>
      <c r="K202" s="2">
        <v>71.739999999999995</v>
      </c>
      <c r="L202" s="2">
        <v>27355146</v>
      </c>
      <c r="M202" s="2">
        <v>0</v>
      </c>
      <c r="O202" s="6">
        <f t="shared" si="35"/>
        <v>0.20893242288582425</v>
      </c>
      <c r="P202" s="6">
        <f t="shared" si="35"/>
        <v>-0.47666876180390039</v>
      </c>
      <c r="Q202" s="6">
        <f t="shared" si="36"/>
        <v>0.86727289305345601</v>
      </c>
      <c r="R202" s="6">
        <f t="shared" si="37"/>
        <v>0.63987292384717731</v>
      </c>
      <c r="S202" s="6">
        <f t="shared" si="38"/>
        <v>1.7807772308464394</v>
      </c>
      <c r="T202" s="6">
        <f t="shared" si="39"/>
        <v>0.68340654464004924</v>
      </c>
      <c r="U202" s="6">
        <f t="shared" si="40"/>
        <v>0.84107282171180575</v>
      </c>
      <c r="V202" s="6">
        <f t="shared" si="41"/>
        <v>-0.11368576258726129</v>
      </c>
      <c r="W202" s="6">
        <f t="shared" si="42"/>
        <v>0.35610026082013152</v>
      </c>
      <c r="X202" s="6">
        <f t="shared" si="43"/>
        <v>0.11264647476928044</v>
      </c>
    </row>
    <row r="203" spans="1:24" x14ac:dyDescent="0.35">
      <c r="A203" s="2" t="s">
        <v>211</v>
      </c>
      <c r="B203" s="2" t="s">
        <v>226</v>
      </c>
      <c r="C203" s="2">
        <v>12.74</v>
      </c>
      <c r="D203" s="2">
        <v>7.11</v>
      </c>
      <c r="E203" s="2">
        <v>10294</v>
      </c>
      <c r="F203" s="2">
        <v>70.41</v>
      </c>
      <c r="G203" s="2">
        <v>74.84</v>
      </c>
      <c r="H203" s="2">
        <v>89.37</v>
      </c>
      <c r="I203" s="2">
        <v>76.14</v>
      </c>
      <c r="J203" s="2">
        <v>4.38</v>
      </c>
      <c r="K203" s="2">
        <v>72.88</v>
      </c>
      <c r="L203" s="2">
        <v>20115534</v>
      </c>
      <c r="M203" s="2">
        <v>0</v>
      </c>
      <c r="O203" s="6">
        <f t="shared" si="35"/>
        <v>6.265205093059685E-2</v>
      </c>
      <c r="P203" s="6">
        <f t="shared" si="35"/>
        <v>-0.81424644345619435</v>
      </c>
      <c r="Q203" s="6">
        <f t="shared" si="36"/>
        <v>-1.1342030000513243E-2</v>
      </c>
      <c r="R203" s="6">
        <f t="shared" si="37"/>
        <v>7.4449416714371067E-2</v>
      </c>
      <c r="S203" s="6">
        <f t="shared" si="38"/>
        <v>1.5049439064514223</v>
      </c>
      <c r="T203" s="6">
        <f t="shared" si="39"/>
        <v>0.65539755573235903</v>
      </c>
      <c r="U203" s="6">
        <f t="shared" si="40"/>
        <v>-0.57353045190211727</v>
      </c>
      <c r="V203" s="6">
        <f t="shared" si="41"/>
        <v>-0.25793094349244444</v>
      </c>
      <c r="W203" s="6">
        <f t="shared" si="42"/>
        <v>0.53449899275259716</v>
      </c>
      <c r="X203" s="6">
        <f t="shared" si="43"/>
        <v>-3.8625349702742368E-2</v>
      </c>
    </row>
    <row r="204" spans="1:24" x14ac:dyDescent="0.35">
      <c r="A204" s="2" t="s">
        <v>211</v>
      </c>
      <c r="B204" s="2" t="s">
        <v>227</v>
      </c>
      <c r="C204" s="2">
        <v>12.39</v>
      </c>
      <c r="D204" s="2">
        <v>6.99</v>
      </c>
      <c r="E204" s="2">
        <v>9669</v>
      </c>
      <c r="F204" s="2">
        <v>69.37</v>
      </c>
      <c r="G204" s="2">
        <v>74.510000000000005</v>
      </c>
      <c r="H204" s="2">
        <v>90.51</v>
      </c>
      <c r="I204" s="2">
        <v>94.84</v>
      </c>
      <c r="J204" s="2">
        <v>3.81</v>
      </c>
      <c r="K204" s="2">
        <v>70.540000000000006</v>
      </c>
      <c r="L204" s="2">
        <v>18126447</v>
      </c>
      <c r="M204" s="2">
        <v>0</v>
      </c>
      <c r="O204" s="6">
        <f t="shared" si="35"/>
        <v>1.5681289293597273E-2</v>
      </c>
      <c r="P204" s="6">
        <f t="shared" si="35"/>
        <v>-0.88789975581669489</v>
      </c>
      <c r="Q204" s="6">
        <f t="shared" si="36"/>
        <v>-0.24158703080081964</v>
      </c>
      <c r="R204" s="6">
        <f t="shared" si="37"/>
        <v>-8.5779588031708959E-2</v>
      </c>
      <c r="S204" s="6">
        <f t="shared" si="38"/>
        <v>1.4091281200826276</v>
      </c>
      <c r="T204" s="6">
        <f t="shared" si="39"/>
        <v>0.7168018775684496</v>
      </c>
      <c r="U204" s="6">
        <f t="shared" si="40"/>
        <v>0.61858677281984609</v>
      </c>
      <c r="V204" s="6">
        <f t="shared" si="41"/>
        <v>-0.47429871485021918</v>
      </c>
      <c r="W204" s="6">
        <f t="shared" si="42"/>
        <v>0.16831212194385381</v>
      </c>
      <c r="X204" s="6">
        <f t="shared" si="43"/>
        <v>-8.0187358761181202E-2</v>
      </c>
    </row>
    <row r="205" spans="1:24" x14ac:dyDescent="0.35">
      <c r="A205" s="2" t="s">
        <v>211</v>
      </c>
      <c r="B205" s="2" t="s">
        <v>228</v>
      </c>
      <c r="C205" s="2">
        <v>15.8</v>
      </c>
      <c r="D205" s="2">
        <v>7.3</v>
      </c>
      <c r="E205" s="2">
        <v>10519</v>
      </c>
      <c r="F205" s="2">
        <v>70.430000000000007</v>
      </c>
      <c r="G205" s="2">
        <v>74.61</v>
      </c>
      <c r="H205" s="2">
        <v>89.94</v>
      </c>
      <c r="I205" s="2">
        <v>95.36</v>
      </c>
      <c r="J205" s="2">
        <v>3.67</v>
      </c>
      <c r="K205" s="2">
        <v>70.67</v>
      </c>
      <c r="L205" s="2">
        <v>13925516</v>
      </c>
      <c r="M205" s="2">
        <v>0</v>
      </c>
      <c r="O205" s="6">
        <f t="shared" si="35"/>
        <v>0.47331070981407941</v>
      </c>
      <c r="P205" s="6">
        <f t="shared" si="35"/>
        <v>-0.69762869888540213</v>
      </c>
      <c r="Q205" s="6">
        <f t="shared" si="36"/>
        <v>7.1546170287597063E-2</v>
      </c>
      <c r="R205" s="6">
        <f t="shared" si="37"/>
        <v>7.7530743728720361E-2</v>
      </c>
      <c r="S205" s="6">
        <f t="shared" si="38"/>
        <v>1.4381632068610488</v>
      </c>
      <c r="T205" s="6">
        <f t="shared" si="39"/>
        <v>0.68609971665040392</v>
      </c>
      <c r="U205" s="6">
        <f t="shared" si="40"/>
        <v>0.65173655660890584</v>
      </c>
      <c r="V205" s="6">
        <f t="shared" si="41"/>
        <v>-0.52744167623633942</v>
      </c>
      <c r="W205" s="6">
        <f t="shared" si="42"/>
        <v>0.18865583698878338</v>
      </c>
      <c r="X205" s="6">
        <f t="shared" si="43"/>
        <v>-0.16796588844634655</v>
      </c>
    </row>
    <row r="206" spans="1:24" x14ac:dyDescent="0.35">
      <c r="A206" s="2" t="s">
        <v>211</v>
      </c>
      <c r="B206" s="2" t="s">
        <v>229</v>
      </c>
      <c r="C206" s="2">
        <v>10.210000000000001</v>
      </c>
      <c r="D206" s="2">
        <v>7.48</v>
      </c>
      <c r="E206" s="2">
        <v>10506</v>
      </c>
      <c r="F206" s="2">
        <v>72.28</v>
      </c>
      <c r="G206" s="2">
        <v>76.27</v>
      </c>
      <c r="H206" s="2">
        <v>91.67</v>
      </c>
      <c r="I206" s="2">
        <v>99.72</v>
      </c>
      <c r="J206" s="2">
        <v>4.5999999999999996</v>
      </c>
      <c r="K206" s="2">
        <v>68.989999999999995</v>
      </c>
      <c r="L206" s="2">
        <v>31559079</v>
      </c>
      <c r="M206" s="2">
        <v>0</v>
      </c>
      <c r="O206" s="6">
        <f t="shared" si="35"/>
        <v>-0.27687945461685753</v>
      </c>
      <c r="P206" s="6">
        <f t="shared" si="35"/>
        <v>-0.58714873034465098</v>
      </c>
      <c r="Q206" s="6">
        <f t="shared" si="36"/>
        <v>6.6757074270950678E-2</v>
      </c>
      <c r="R206" s="6">
        <f t="shared" si="37"/>
        <v>0.36255349255588326</v>
      </c>
      <c r="S206" s="6">
        <f t="shared" si="38"/>
        <v>1.9201456473828658</v>
      </c>
      <c r="T206" s="6">
        <f t="shared" si="39"/>
        <v>0.779283468208682</v>
      </c>
      <c r="U206" s="6">
        <f t="shared" si="40"/>
        <v>0.92968474376333143</v>
      </c>
      <c r="V206" s="6">
        <f t="shared" si="41"/>
        <v>-0.17442057559997007</v>
      </c>
      <c r="W206" s="6">
        <f t="shared" si="42"/>
        <v>-7.4247557438008982E-2</v>
      </c>
      <c r="X206" s="6">
        <f t="shared" si="43"/>
        <v>0.20048773129907019</v>
      </c>
    </row>
    <row r="207" spans="1:24" x14ac:dyDescent="0.35">
      <c r="A207" s="2" t="s">
        <v>211</v>
      </c>
      <c r="B207" s="2" t="s">
        <v>230</v>
      </c>
      <c r="C207" s="2">
        <v>7.6</v>
      </c>
      <c r="D207" s="2">
        <v>8.76</v>
      </c>
      <c r="E207" s="2">
        <v>11272</v>
      </c>
      <c r="F207" s="2">
        <v>75.16</v>
      </c>
      <c r="G207" s="2">
        <v>76.680000000000007</v>
      </c>
      <c r="H207" s="2">
        <v>93.8</v>
      </c>
      <c r="I207" s="2">
        <v>98.9</v>
      </c>
      <c r="J207" s="2">
        <v>3.77</v>
      </c>
      <c r="K207" s="2">
        <v>74.77</v>
      </c>
      <c r="L207" s="2">
        <v>69556928</v>
      </c>
      <c r="M207" s="2">
        <v>0</v>
      </c>
      <c r="O207" s="6">
        <f t="shared" si="35"/>
        <v>-0.62714713425276924</v>
      </c>
      <c r="P207" s="6">
        <f t="shared" si="35"/>
        <v>0.19848660150068739</v>
      </c>
      <c r="Q207" s="6">
        <f t="shared" si="36"/>
        <v>0.3489453472518062</v>
      </c>
      <c r="R207" s="6">
        <f t="shared" si="37"/>
        <v>0.80626458262195366</v>
      </c>
      <c r="S207" s="6">
        <f t="shared" si="38"/>
        <v>2.0391895031744021</v>
      </c>
      <c r="T207" s="6">
        <f t="shared" si="39"/>
        <v>0.89401259584979831</v>
      </c>
      <c r="U207" s="6">
        <f t="shared" si="40"/>
        <v>0.87741008471135273</v>
      </c>
      <c r="V207" s="6">
        <f t="shared" si="41"/>
        <v>-0.48948241810339638</v>
      </c>
      <c r="W207" s="6">
        <f t="shared" si="42"/>
        <v>0.83026531148273741</v>
      </c>
      <c r="X207" s="6">
        <f t="shared" si="43"/>
        <v>0.9944534775631555</v>
      </c>
    </row>
    <row r="208" spans="1:24" x14ac:dyDescent="0.35">
      <c r="A208" s="2" t="s">
        <v>211</v>
      </c>
      <c r="B208" s="2" t="s">
        <v>231</v>
      </c>
      <c r="C208" s="2">
        <v>7.44</v>
      </c>
      <c r="D208" s="2">
        <v>7.79</v>
      </c>
      <c r="E208" s="2">
        <v>10536</v>
      </c>
      <c r="F208" s="2">
        <v>72.36</v>
      </c>
      <c r="G208" s="2">
        <v>75.91</v>
      </c>
      <c r="H208" s="2">
        <v>66.59</v>
      </c>
      <c r="I208" s="2">
        <v>81.48</v>
      </c>
      <c r="J208" s="2">
        <v>4.2300000000000004</v>
      </c>
      <c r="K208" s="2">
        <v>69.55</v>
      </c>
      <c r="L208" s="2">
        <v>21944232</v>
      </c>
      <c r="M208" s="2">
        <v>0</v>
      </c>
      <c r="O208" s="6">
        <f t="shared" si="35"/>
        <v>-0.64861948242968326</v>
      </c>
      <c r="P208" s="6">
        <f t="shared" si="35"/>
        <v>-0.39687767341335822</v>
      </c>
      <c r="Q208" s="6">
        <f t="shared" si="36"/>
        <v>7.7808834309365388E-2</v>
      </c>
      <c r="R208" s="6">
        <f t="shared" si="37"/>
        <v>0.37487880061327383</v>
      </c>
      <c r="S208" s="6">
        <f t="shared" si="38"/>
        <v>1.8156193349805438</v>
      </c>
      <c r="T208" s="6">
        <f t="shared" si="39"/>
        <v>-0.57161161218531054</v>
      </c>
      <c r="U208" s="6">
        <f t="shared" si="40"/>
        <v>-0.23310767222215534</v>
      </c>
      <c r="V208" s="6">
        <f t="shared" si="41"/>
        <v>-0.3148698306918587</v>
      </c>
      <c r="W208" s="6">
        <f t="shared" si="42"/>
        <v>1.3386907370921807E-2</v>
      </c>
      <c r="X208" s="6">
        <f t="shared" si="43"/>
        <v>-4.1467171774273631E-4</v>
      </c>
    </row>
    <row r="209" spans="1:24" x14ac:dyDescent="0.35">
      <c r="A209" s="2" t="s">
        <v>211</v>
      </c>
      <c r="B209" s="2" t="s">
        <v>232</v>
      </c>
      <c r="C209" s="2">
        <v>12.92</v>
      </c>
      <c r="D209" s="2">
        <v>7.86</v>
      </c>
      <c r="E209" s="2">
        <v>10248</v>
      </c>
      <c r="F209" s="2">
        <v>72.569999999999993</v>
      </c>
      <c r="G209" s="2">
        <v>75.459999999999994</v>
      </c>
      <c r="H209" s="2">
        <v>91.38</v>
      </c>
      <c r="I209" s="2">
        <v>96.71</v>
      </c>
      <c r="J209" s="2">
        <v>5.28</v>
      </c>
      <c r="K209" s="2">
        <v>66.23</v>
      </c>
      <c r="L209" s="2">
        <v>18856416</v>
      </c>
      <c r="M209" s="2">
        <v>0</v>
      </c>
      <c r="O209" s="6">
        <f t="shared" si="35"/>
        <v>8.6808442629625199E-2</v>
      </c>
      <c r="P209" s="6">
        <f t="shared" si="35"/>
        <v>-0.35391324120306611</v>
      </c>
      <c r="Q209" s="6">
        <f t="shared" si="36"/>
        <v>-2.8288062059415794E-2</v>
      </c>
      <c r="R209" s="6">
        <f t="shared" si="37"/>
        <v>0.40723273426392392</v>
      </c>
      <c r="S209" s="6">
        <f t="shared" si="38"/>
        <v>1.6849614444776406</v>
      </c>
      <c r="T209" s="6">
        <f t="shared" si="39"/>
        <v>0.76366307054862348</v>
      </c>
      <c r="U209" s="6">
        <f t="shared" si="40"/>
        <v>0.73779849529204189</v>
      </c>
      <c r="V209" s="6">
        <f t="shared" si="41"/>
        <v>8.3702379704042207E-2</v>
      </c>
      <c r="W209" s="6">
        <f t="shared" si="42"/>
        <v>-0.50616027685345033</v>
      </c>
      <c r="X209" s="6">
        <f t="shared" si="43"/>
        <v>-6.4934643223660951E-2</v>
      </c>
    </row>
    <row r="210" spans="1:24" x14ac:dyDescent="0.35">
      <c r="A210" s="2" t="s">
        <v>211</v>
      </c>
      <c r="B210" s="2" t="s">
        <v>233</v>
      </c>
      <c r="C210" s="2">
        <v>7.82</v>
      </c>
      <c r="D210" s="2">
        <v>8.0299999999999994</v>
      </c>
      <c r="E210" s="2">
        <v>12070</v>
      </c>
      <c r="F210" s="2">
        <v>74.239999999999995</v>
      </c>
      <c r="G210" s="2">
        <v>75.790000000000006</v>
      </c>
      <c r="H210" s="2">
        <v>91.01</v>
      </c>
      <c r="I210" s="2">
        <v>98.25</v>
      </c>
      <c r="J210" s="2">
        <v>5.0199999999999996</v>
      </c>
      <c r="K210" s="2">
        <v>74.099999999999994</v>
      </c>
      <c r="L210" s="2">
        <v>35946100</v>
      </c>
      <c r="M210" s="2">
        <v>0</v>
      </c>
      <c r="O210" s="6">
        <f t="shared" si="35"/>
        <v>-0.59762265550951221</v>
      </c>
      <c r="P210" s="6">
        <f t="shared" si="35"/>
        <v>-0.24957104869235763</v>
      </c>
      <c r="Q210" s="6">
        <f t="shared" si="36"/>
        <v>0.64292216427363735</v>
      </c>
      <c r="R210" s="6">
        <f t="shared" si="37"/>
        <v>0.66452353996195845</v>
      </c>
      <c r="S210" s="6">
        <f t="shared" si="38"/>
        <v>1.7807772308464394</v>
      </c>
      <c r="T210" s="6">
        <f t="shared" si="39"/>
        <v>0.74373359767199809</v>
      </c>
      <c r="U210" s="6">
        <f t="shared" si="40"/>
        <v>0.83597285497502749</v>
      </c>
      <c r="V210" s="6">
        <f t="shared" si="41"/>
        <v>-1.499169144160971E-2</v>
      </c>
      <c r="W210" s="6">
        <f t="shared" si="42"/>
        <v>0.72541693394348106</v>
      </c>
      <c r="X210" s="6">
        <f t="shared" si="43"/>
        <v>0.29215461492033029</v>
      </c>
    </row>
    <row r="211" spans="1:24" x14ac:dyDescent="0.35">
      <c r="A211" s="2" t="s">
        <v>211</v>
      </c>
      <c r="B211" s="2" t="s">
        <v>234</v>
      </c>
      <c r="C211" s="2">
        <v>10.17</v>
      </c>
      <c r="D211" s="2">
        <v>7.25</v>
      </c>
      <c r="E211" s="2">
        <v>9408</v>
      </c>
      <c r="F211" s="2">
        <v>69.88</v>
      </c>
      <c r="G211" s="2">
        <v>75.64</v>
      </c>
      <c r="H211" s="2">
        <v>68.05</v>
      </c>
      <c r="I211" s="2">
        <v>91.87</v>
      </c>
      <c r="J211" s="2">
        <v>2.62</v>
      </c>
      <c r="K211" s="2">
        <v>74.010000000000005</v>
      </c>
      <c r="L211" s="2">
        <v>15387930</v>
      </c>
      <c r="M211" s="2">
        <v>0</v>
      </c>
      <c r="O211" s="6">
        <f t="shared" si="35"/>
        <v>-0.28224754166108618</v>
      </c>
      <c r="P211" s="6">
        <f t="shared" si="35"/>
        <v>-0.72831757903561056</v>
      </c>
      <c r="Q211" s="6">
        <f t="shared" si="36"/>
        <v>-0.33773734313502757</v>
      </c>
      <c r="R211" s="6">
        <f t="shared" si="37"/>
        <v>-7.2057491658435932E-3</v>
      </c>
      <c r="S211" s="6">
        <f t="shared" si="38"/>
        <v>1.7372246006788037</v>
      </c>
      <c r="T211" s="6">
        <f t="shared" si="39"/>
        <v>-0.49297098948294932</v>
      </c>
      <c r="U211" s="6">
        <f t="shared" si="40"/>
        <v>0.42925050771694617</v>
      </c>
      <c r="V211" s="6">
        <f t="shared" si="41"/>
        <v>-0.92601388663224027</v>
      </c>
      <c r="W211" s="6">
        <f t="shared" si="42"/>
        <v>0.71133282352776184</v>
      </c>
      <c r="X211" s="6">
        <f t="shared" si="43"/>
        <v>-0.13740872130625273</v>
      </c>
    </row>
    <row r="212" spans="1:24" x14ac:dyDescent="0.35">
      <c r="A212" s="2" t="s">
        <v>211</v>
      </c>
      <c r="B212" s="2" t="s">
        <v>235</v>
      </c>
      <c r="C212" s="2">
        <v>10.24</v>
      </c>
      <c r="D212" s="2">
        <v>7.46</v>
      </c>
      <c r="E212" s="2">
        <v>11608</v>
      </c>
      <c r="F212" s="2">
        <v>72.5</v>
      </c>
      <c r="G212" s="2">
        <v>74.48</v>
      </c>
      <c r="H212" s="2">
        <v>83.81</v>
      </c>
      <c r="I212" s="2">
        <v>92.65</v>
      </c>
      <c r="J212" s="2">
        <v>7.55</v>
      </c>
      <c r="K212" s="2">
        <v>69.930000000000007</v>
      </c>
      <c r="L212" s="2">
        <v>31632276</v>
      </c>
      <c r="M212" s="2">
        <v>0</v>
      </c>
      <c r="O212" s="6">
        <f t="shared" si="35"/>
        <v>-0.27285338933368619</v>
      </c>
      <c r="P212" s="6">
        <f t="shared" si="35"/>
        <v>-0.59942428240473467</v>
      </c>
      <c r="Q212" s="6">
        <f t="shared" si="36"/>
        <v>0.47272505968205092</v>
      </c>
      <c r="R212" s="6">
        <f t="shared" si="37"/>
        <v>0.39644808971370793</v>
      </c>
      <c r="S212" s="6">
        <f t="shared" si="38"/>
        <v>1.4004175940491004</v>
      </c>
      <c r="T212" s="6">
        <f t="shared" si="39"/>
        <v>0.35591682818089965</v>
      </c>
      <c r="U212" s="6">
        <f t="shared" si="40"/>
        <v>0.47897518340053613</v>
      </c>
      <c r="V212" s="6">
        <f t="shared" si="41"/>
        <v>0.94537753932184698</v>
      </c>
      <c r="W212" s="6">
        <f t="shared" si="42"/>
        <v>7.2853151348411818E-2</v>
      </c>
      <c r="X212" s="6">
        <f t="shared" si="43"/>
        <v>0.20201718394596324</v>
      </c>
    </row>
    <row r="213" spans="1:24" x14ac:dyDescent="0.35">
      <c r="A213" s="2" t="s">
        <v>211</v>
      </c>
      <c r="B213" s="2" t="s">
        <v>236</v>
      </c>
      <c r="C213" s="2">
        <v>9.68</v>
      </c>
      <c r="D213" s="2">
        <v>6.88</v>
      </c>
      <c r="E213" s="2">
        <v>9524</v>
      </c>
      <c r="F213" s="2">
        <v>68.92</v>
      </c>
      <c r="G213" s="2">
        <v>74.739999999999995</v>
      </c>
      <c r="H213" s="2">
        <v>66.959999999999994</v>
      </c>
      <c r="I213" s="2">
        <v>98.38</v>
      </c>
      <c r="J213" s="2">
        <v>6.59</v>
      </c>
      <c r="K213" s="2">
        <v>71.400000000000006</v>
      </c>
      <c r="L213" s="2">
        <v>15764266</v>
      </c>
      <c r="M213" s="2">
        <v>0</v>
      </c>
      <c r="O213" s="6">
        <f t="shared" si="35"/>
        <v>-0.34800660795288568</v>
      </c>
      <c r="P213" s="6">
        <f t="shared" si="35"/>
        <v>-0.95541529214715393</v>
      </c>
      <c r="Q213" s="6">
        <f t="shared" si="36"/>
        <v>-0.29500387098649072</v>
      </c>
      <c r="R213" s="6">
        <f t="shared" si="37"/>
        <v>-0.15510944585453301</v>
      </c>
      <c r="S213" s="6">
        <f t="shared" si="38"/>
        <v>1.475908819672997</v>
      </c>
      <c r="T213" s="6">
        <f t="shared" si="39"/>
        <v>-0.55168213930868515</v>
      </c>
      <c r="U213" s="6">
        <f t="shared" si="40"/>
        <v>0.8442603009222921</v>
      </c>
      <c r="V213" s="6">
        <f t="shared" si="41"/>
        <v>0.58096866124559465</v>
      </c>
      <c r="W213" s="6">
        <f t="shared" si="42"/>
        <v>0.302893621471854</v>
      </c>
      <c r="X213" s="6">
        <f t="shared" si="43"/>
        <v>-0.12954517373844066</v>
      </c>
    </row>
    <row r="214" spans="1:24" x14ac:dyDescent="0.35">
      <c r="A214" s="2" t="s">
        <v>211</v>
      </c>
      <c r="B214" s="2" t="s">
        <v>237</v>
      </c>
      <c r="C214" s="2">
        <v>10.57</v>
      </c>
      <c r="D214" s="2">
        <v>7.17</v>
      </c>
      <c r="E214" s="2">
        <v>10409</v>
      </c>
      <c r="F214" s="2">
        <v>70.11</v>
      </c>
      <c r="G214" s="2">
        <v>73.739999999999995</v>
      </c>
      <c r="H214" s="2">
        <v>78.569999999999993</v>
      </c>
      <c r="I214" s="2">
        <v>96.2</v>
      </c>
      <c r="J214" s="2">
        <v>4.28</v>
      </c>
      <c r="K214" s="2">
        <v>71.459999999999994</v>
      </c>
      <c r="L214" s="2">
        <v>16615066</v>
      </c>
      <c r="M214" s="2">
        <v>0</v>
      </c>
      <c r="O214" s="6">
        <f t="shared" si="35"/>
        <v>-0.22856667121880084</v>
      </c>
      <c r="P214" s="6">
        <f t="shared" si="35"/>
        <v>-0.7774197872759443</v>
      </c>
      <c r="Q214" s="6">
        <f t="shared" si="36"/>
        <v>3.1023050146743131E-2</v>
      </c>
      <c r="R214" s="6">
        <f t="shared" si="37"/>
        <v>2.8229511499155757E-2</v>
      </c>
      <c r="S214" s="6">
        <f t="shared" si="38"/>
        <v>1.1855579518887693</v>
      </c>
      <c r="T214" s="6">
        <f t="shared" si="39"/>
        <v>7.3672401495710874E-2</v>
      </c>
      <c r="U214" s="6">
        <f t="shared" si="40"/>
        <v>0.70528620734507974</v>
      </c>
      <c r="V214" s="6">
        <f t="shared" si="41"/>
        <v>-0.29589020162538726</v>
      </c>
      <c r="W214" s="6">
        <f t="shared" si="42"/>
        <v>0.31228302841566613</v>
      </c>
      <c r="X214" s="6">
        <f t="shared" si="43"/>
        <v>-0.11176769225727883</v>
      </c>
    </row>
    <row r="215" spans="1:24" x14ac:dyDescent="0.35">
      <c r="A215" s="2" t="s">
        <v>211</v>
      </c>
      <c r="B215" s="2" t="s">
        <v>238</v>
      </c>
      <c r="C215" s="2">
        <v>16.559999999999999</v>
      </c>
      <c r="D215" s="2">
        <v>6.45</v>
      </c>
      <c r="E215" s="2">
        <v>8573</v>
      </c>
      <c r="F215" s="2">
        <v>66.56</v>
      </c>
      <c r="G215" s="2">
        <v>73.53</v>
      </c>
      <c r="H215" s="2">
        <v>77.89</v>
      </c>
      <c r="I215" s="2">
        <v>95.14</v>
      </c>
      <c r="J215" s="2">
        <v>6.71</v>
      </c>
      <c r="K215" s="2">
        <v>65.900000000000006</v>
      </c>
      <c r="L215" s="2">
        <v>18916262</v>
      </c>
      <c r="M215" s="2">
        <v>0</v>
      </c>
      <c r="O215" s="6">
        <f t="shared" si="35"/>
        <v>0.57530436365442117</v>
      </c>
      <c r="P215" s="6">
        <f t="shared" si="35"/>
        <v>-1.2193396614389471</v>
      </c>
      <c r="Q215" s="6">
        <f t="shared" si="36"/>
        <v>-0.64534466420423697</v>
      </c>
      <c r="R215" s="6">
        <f t="shared" si="37"/>
        <v>-0.51870603354756351</v>
      </c>
      <c r="S215" s="6">
        <f t="shared" si="38"/>
        <v>1.1245842696540833</v>
      </c>
      <c r="T215" s="6">
        <f t="shared" si="39"/>
        <v>3.7045262154885322E-2</v>
      </c>
      <c r="U215" s="6">
        <f t="shared" si="40"/>
        <v>0.63771164808276515</v>
      </c>
      <c r="V215" s="6">
        <f t="shared" si="41"/>
        <v>0.62651977100512624</v>
      </c>
      <c r="W215" s="6">
        <f t="shared" si="42"/>
        <v>-0.55780201504442695</v>
      </c>
      <c r="X215" s="6">
        <f t="shared" si="43"/>
        <v>-6.368415996470278E-2</v>
      </c>
    </row>
    <row r="216" spans="1:24" x14ac:dyDescent="0.35">
      <c r="A216" s="2" t="s">
        <v>211</v>
      </c>
      <c r="B216" s="2" t="s">
        <v>239</v>
      </c>
      <c r="C216" s="2">
        <v>8.6</v>
      </c>
      <c r="D216" s="2">
        <v>6.99</v>
      </c>
      <c r="E216" s="2">
        <v>9700</v>
      </c>
      <c r="F216" s="2">
        <v>68.790000000000006</v>
      </c>
      <c r="G216" s="2">
        <v>71.72</v>
      </c>
      <c r="H216" s="2">
        <v>84.23</v>
      </c>
      <c r="I216" s="2">
        <v>98.87</v>
      </c>
      <c r="J216" s="2">
        <v>9.9700000000000006</v>
      </c>
      <c r="K216" s="2">
        <v>66.239999999999995</v>
      </c>
      <c r="L216" s="2">
        <v>25402911</v>
      </c>
      <c r="M216" s="2">
        <v>0</v>
      </c>
      <c r="O216" s="6">
        <f t="shared" si="35"/>
        <v>-0.49294495814705597</v>
      </c>
      <c r="P216" s="6">
        <f t="shared" si="35"/>
        <v>-0.88789975581669489</v>
      </c>
      <c r="Q216" s="6">
        <f t="shared" si="36"/>
        <v>-0.23016687876112443</v>
      </c>
      <c r="R216" s="6">
        <f t="shared" si="37"/>
        <v>-0.17513807144779248</v>
      </c>
      <c r="S216" s="6">
        <f t="shared" si="38"/>
        <v>0.59904919896463049</v>
      </c>
      <c r="T216" s="6">
        <f t="shared" si="39"/>
        <v>0.37853947306788044</v>
      </c>
      <c r="U216" s="6">
        <f t="shared" si="40"/>
        <v>0.87549759718506071</v>
      </c>
      <c r="V216" s="6">
        <f t="shared" si="41"/>
        <v>1.8639915861390666</v>
      </c>
      <c r="W216" s="6">
        <f t="shared" si="42"/>
        <v>-0.50459537569614943</v>
      </c>
      <c r="X216" s="6">
        <f t="shared" si="43"/>
        <v>7.1854488921400825E-2</v>
      </c>
    </row>
    <row r="217" spans="1:24" x14ac:dyDescent="0.35">
      <c r="A217" s="2" t="s">
        <v>211</v>
      </c>
      <c r="B217" s="2" t="s">
        <v>240</v>
      </c>
      <c r="C217" s="2">
        <v>17.43</v>
      </c>
      <c r="D217" s="2">
        <v>6.22</v>
      </c>
      <c r="E217" s="2">
        <v>10152</v>
      </c>
      <c r="F217" s="2">
        <v>66.319999999999993</v>
      </c>
      <c r="G217" s="2">
        <v>69.540000000000006</v>
      </c>
      <c r="H217" s="2">
        <v>80.099999999999994</v>
      </c>
      <c r="I217" s="2">
        <v>92.6</v>
      </c>
      <c r="J217" s="2">
        <v>9.7799999999999994</v>
      </c>
      <c r="K217" s="2">
        <v>63.97</v>
      </c>
      <c r="L217" s="2">
        <v>33456328</v>
      </c>
      <c r="M217" s="2">
        <v>0</v>
      </c>
      <c r="O217" s="6">
        <f t="shared" si="35"/>
        <v>0.69206025686639183</v>
      </c>
      <c r="P217" s="6">
        <f t="shared" si="35"/>
        <v>-1.3605085101299068</v>
      </c>
      <c r="Q217" s="6">
        <f t="shared" si="36"/>
        <v>-6.365369418234286E-2</v>
      </c>
      <c r="R217" s="6">
        <f t="shared" si="37"/>
        <v>-0.5556819577197375</v>
      </c>
      <c r="S217" s="6">
        <f t="shared" si="38"/>
        <v>-3.3915692804983716E-2</v>
      </c>
      <c r="T217" s="6">
        <f t="shared" si="39"/>
        <v>0.15608346501256934</v>
      </c>
      <c r="U217" s="6">
        <f t="shared" si="40"/>
        <v>0.4757877041900489</v>
      </c>
      <c r="V217" s="6">
        <f t="shared" si="41"/>
        <v>1.7918689956864746</v>
      </c>
      <c r="W217" s="6">
        <f t="shared" si="42"/>
        <v>-0.85982793840377758</v>
      </c>
      <c r="X217" s="6">
        <f t="shared" si="43"/>
        <v>0.24013078367642424</v>
      </c>
    </row>
    <row r="218" spans="1:24" x14ac:dyDescent="0.35">
      <c r="A218" s="2" t="s">
        <v>211</v>
      </c>
      <c r="B218" s="2" t="s">
        <v>241</v>
      </c>
      <c r="C218" s="2">
        <v>7.75</v>
      </c>
      <c r="D218" s="2">
        <v>10.62</v>
      </c>
      <c r="E218" s="2">
        <v>12349</v>
      </c>
      <c r="F218" s="2">
        <v>79.430000000000007</v>
      </c>
      <c r="G218" s="2">
        <v>76.930000000000007</v>
      </c>
      <c r="H218" s="2">
        <v>84.04</v>
      </c>
      <c r="I218" s="2">
        <v>100</v>
      </c>
      <c r="J218" s="2">
        <v>8.73</v>
      </c>
      <c r="K218" s="2">
        <v>67.069999999999993</v>
      </c>
      <c r="L218" s="2">
        <v>6513895</v>
      </c>
      <c r="M218" s="2">
        <v>0</v>
      </c>
      <c r="O218" s="6">
        <f t="shared" si="35"/>
        <v>-0.60701680783691214</v>
      </c>
      <c r="P218" s="6">
        <f t="shared" si="35"/>
        <v>1.3401129430884449</v>
      </c>
      <c r="Q218" s="6">
        <f t="shared" si="36"/>
        <v>0.74570353263089417</v>
      </c>
      <c r="R218" s="6">
        <f t="shared" si="37"/>
        <v>1.4641279001851928</v>
      </c>
      <c r="S218" s="6">
        <f t="shared" si="38"/>
        <v>2.1117772201204592</v>
      </c>
      <c r="T218" s="6">
        <f t="shared" si="39"/>
        <v>0.36830541942853212</v>
      </c>
      <c r="U218" s="6">
        <f t="shared" si="40"/>
        <v>0.94753462734205607</v>
      </c>
      <c r="V218" s="6">
        <f t="shared" si="41"/>
        <v>1.393296785290574</v>
      </c>
      <c r="W218" s="6">
        <f t="shared" si="42"/>
        <v>-0.37470857964005644</v>
      </c>
      <c r="X218" s="6">
        <f t="shared" si="43"/>
        <v>-0.32283184410324611</v>
      </c>
    </row>
    <row r="219" spans="1:24" x14ac:dyDescent="0.35">
      <c r="A219" s="2" t="s">
        <v>211</v>
      </c>
      <c r="B219" s="2" t="s">
        <v>242</v>
      </c>
      <c r="C219" s="2">
        <v>9.4</v>
      </c>
      <c r="D219" s="2">
        <v>10.9</v>
      </c>
      <c r="E219" s="2">
        <v>14911</v>
      </c>
      <c r="F219" s="2">
        <v>82.62</v>
      </c>
      <c r="G219" s="2">
        <v>77.319999999999993</v>
      </c>
      <c r="H219" s="2">
        <v>88.73</v>
      </c>
      <c r="I219" s="2">
        <v>99.82</v>
      </c>
      <c r="J219" s="2">
        <v>7.85</v>
      </c>
      <c r="K219" s="2">
        <v>66.89</v>
      </c>
      <c r="L219" s="2">
        <v>36211248</v>
      </c>
      <c r="M219" s="2">
        <v>0</v>
      </c>
      <c r="O219" s="6">
        <f t="shared" si="35"/>
        <v>-0.38558321726248529</v>
      </c>
      <c r="P219" s="6">
        <f t="shared" si="35"/>
        <v>1.5119706719296135</v>
      </c>
      <c r="Q219" s="6">
        <f t="shared" si="36"/>
        <v>1.6895238399115102</v>
      </c>
      <c r="R219" s="6">
        <f t="shared" si="37"/>
        <v>1.9555995589736532</v>
      </c>
      <c r="S219" s="6">
        <f t="shared" si="38"/>
        <v>2.2250140585563041</v>
      </c>
      <c r="T219" s="6">
        <f t="shared" si="39"/>
        <v>0.62092495399981695</v>
      </c>
      <c r="U219" s="6">
        <f t="shared" si="40"/>
        <v>0.93605970218430412</v>
      </c>
      <c r="V219" s="6">
        <f t="shared" si="41"/>
        <v>1.0592553137206757</v>
      </c>
      <c r="W219" s="6">
        <f t="shared" si="42"/>
        <v>-0.40287680047149721</v>
      </c>
      <c r="X219" s="6">
        <f t="shared" si="43"/>
        <v>0.29769488720496484</v>
      </c>
    </row>
    <row r="220" spans="1:24" x14ac:dyDescent="0.35">
      <c r="A220" s="2" t="s">
        <v>211</v>
      </c>
      <c r="B220" s="2" t="s">
        <v>243</v>
      </c>
      <c r="C220" s="2">
        <v>5.14</v>
      </c>
      <c r="D220" s="2">
        <v>10.66</v>
      </c>
      <c r="E220" s="2">
        <v>15843</v>
      </c>
      <c r="F220" s="2">
        <v>83.6</v>
      </c>
      <c r="G220" s="2">
        <v>77.55</v>
      </c>
      <c r="H220" s="2">
        <v>98.07</v>
      </c>
      <c r="I220" s="2">
        <v>98.78</v>
      </c>
      <c r="J220" s="2">
        <v>7.26</v>
      </c>
      <c r="K220" s="2">
        <v>70.36</v>
      </c>
      <c r="L220" s="2">
        <v>9820287</v>
      </c>
      <c r="M220" s="2">
        <v>0</v>
      </c>
      <c r="O220" s="6">
        <f t="shared" si="35"/>
        <v>-0.9572844874728238</v>
      </c>
      <c r="P220" s="6">
        <f t="shared" si="35"/>
        <v>1.3646640472086125</v>
      </c>
      <c r="Q220" s="6">
        <f t="shared" si="36"/>
        <v>2.0328651851049271</v>
      </c>
      <c r="R220" s="6">
        <f t="shared" si="37"/>
        <v>2.1065845826766898</v>
      </c>
      <c r="S220" s="6">
        <f t="shared" si="38"/>
        <v>2.2917947581466773</v>
      </c>
      <c r="T220" s="6">
        <f t="shared" si="39"/>
        <v>1.1240094855341023</v>
      </c>
      <c r="U220" s="6">
        <f t="shared" si="40"/>
        <v>0.86976013460618473</v>
      </c>
      <c r="V220" s="6">
        <f t="shared" si="41"/>
        <v>0.83529569073631238</v>
      </c>
      <c r="W220" s="6">
        <f t="shared" si="42"/>
        <v>0.14014390111241082</v>
      </c>
      <c r="X220" s="6">
        <f t="shared" si="43"/>
        <v>-0.25374472310011775</v>
      </c>
    </row>
    <row r="221" spans="1:24" x14ac:dyDescent="0.35">
      <c r="A221" s="2" t="s">
        <v>211</v>
      </c>
      <c r="B221" s="2" t="s">
        <v>244</v>
      </c>
      <c r="C221" s="2">
        <v>4.5599999999999996</v>
      </c>
      <c r="D221" s="2">
        <v>10.78</v>
      </c>
      <c r="E221" s="2">
        <v>15425</v>
      </c>
      <c r="F221" s="2">
        <v>83.55</v>
      </c>
      <c r="G221" s="2">
        <v>77.510000000000005</v>
      </c>
      <c r="H221" s="2">
        <v>93.67</v>
      </c>
      <c r="I221" s="2">
        <v>98.42</v>
      </c>
      <c r="J221" s="2">
        <v>9.5399999999999991</v>
      </c>
      <c r="K221" s="2">
        <v>69.41</v>
      </c>
      <c r="L221" s="2">
        <v>144710663</v>
      </c>
      <c r="M221" s="2">
        <v>0</v>
      </c>
      <c r="O221" s="6">
        <f t="shared" si="35"/>
        <v>-1.0351217496141374</v>
      </c>
      <c r="P221" s="6">
        <f t="shared" si="35"/>
        <v>1.4383173595691123</v>
      </c>
      <c r="Q221" s="6">
        <f t="shared" si="36"/>
        <v>1.878877328569682</v>
      </c>
      <c r="R221" s="6">
        <f t="shared" si="37"/>
        <v>2.0988812651408209</v>
      </c>
      <c r="S221" s="6">
        <f t="shared" si="38"/>
        <v>2.2801807234353109</v>
      </c>
      <c r="T221" s="6">
        <f t="shared" si="39"/>
        <v>0.88701034862287598</v>
      </c>
      <c r="U221" s="6">
        <f t="shared" si="40"/>
        <v>0.84681028429068173</v>
      </c>
      <c r="V221" s="6">
        <f t="shared" si="41"/>
        <v>1.7007667761674115</v>
      </c>
      <c r="W221" s="6">
        <f t="shared" si="42"/>
        <v>-8.5217088313108893E-3</v>
      </c>
      <c r="X221" s="6">
        <f t="shared" si="43"/>
        <v>2.5647921378859624</v>
      </c>
    </row>
    <row r="222" spans="1:24" x14ac:dyDescent="0.35">
      <c r="A222" s="2" t="s">
        <v>211</v>
      </c>
      <c r="B222" s="2" t="s">
        <v>245</v>
      </c>
      <c r="C222" s="2">
        <v>7.59</v>
      </c>
      <c r="D222" s="2">
        <v>9.18</v>
      </c>
      <c r="E222" s="2">
        <v>12598</v>
      </c>
      <c r="F222" s="2">
        <v>75.400000000000006</v>
      </c>
      <c r="G222" s="2">
        <v>74.44</v>
      </c>
      <c r="H222" s="2">
        <v>94.62</v>
      </c>
      <c r="I222" s="2">
        <v>99.28</v>
      </c>
      <c r="J222" s="2">
        <v>6.89</v>
      </c>
      <c r="K222" s="2">
        <v>75.77</v>
      </c>
      <c r="L222" s="2">
        <v>7601486</v>
      </c>
      <c r="M222" s="2">
        <v>0</v>
      </c>
      <c r="O222" s="6">
        <f t="shared" si="35"/>
        <v>-0.62848915601382627</v>
      </c>
      <c r="P222" s="6">
        <f t="shared" si="35"/>
        <v>0.45627319476243916</v>
      </c>
      <c r="Q222" s="6">
        <f t="shared" si="36"/>
        <v>0.8374331409497362</v>
      </c>
      <c r="R222" s="6">
        <f t="shared" si="37"/>
        <v>0.84324050679412765</v>
      </c>
      <c r="S222" s="6">
        <f t="shared" si="38"/>
        <v>1.3888035593377295</v>
      </c>
      <c r="T222" s="6">
        <f t="shared" si="39"/>
        <v>0.93818061681961828</v>
      </c>
      <c r="U222" s="6">
        <f t="shared" si="40"/>
        <v>0.90163492671105006</v>
      </c>
      <c r="V222" s="6">
        <f t="shared" si="41"/>
        <v>0.6948464356444235</v>
      </c>
      <c r="W222" s="6">
        <f t="shared" si="42"/>
        <v>0.98675542721297027</v>
      </c>
      <c r="X222" s="6">
        <f t="shared" si="43"/>
        <v>-0.30010661036843383</v>
      </c>
    </row>
    <row r="223" spans="1:24" x14ac:dyDescent="0.35">
      <c r="A223" s="2" t="s">
        <v>211</v>
      </c>
      <c r="B223" s="2" t="s">
        <v>246</v>
      </c>
      <c r="C223" s="2">
        <v>8.1199999999999992</v>
      </c>
      <c r="D223" s="2">
        <v>8.73</v>
      </c>
      <c r="E223" s="2">
        <v>13143</v>
      </c>
      <c r="F223" s="2">
        <v>75.52</v>
      </c>
      <c r="G223" s="2">
        <v>74.540000000000006</v>
      </c>
      <c r="H223" s="2">
        <v>92.77</v>
      </c>
      <c r="I223" s="2">
        <v>100</v>
      </c>
      <c r="J223" s="2">
        <v>8.25</v>
      </c>
      <c r="K223" s="2">
        <v>68.25</v>
      </c>
      <c r="L223" s="2">
        <v>11290269</v>
      </c>
      <c r="M223" s="2">
        <v>0</v>
      </c>
      <c r="O223" s="6">
        <f t="shared" si="35"/>
        <v>-0.55736200267779834</v>
      </c>
      <c r="P223" s="6">
        <f t="shared" si="35"/>
        <v>0.18007327341056265</v>
      </c>
      <c r="Q223" s="6">
        <f t="shared" si="36"/>
        <v>1.0382067816476035</v>
      </c>
      <c r="R223" s="6">
        <f t="shared" si="37"/>
        <v>0.86172846888021248</v>
      </c>
      <c r="S223" s="6">
        <f t="shared" si="38"/>
        <v>1.4178386461161547</v>
      </c>
      <c r="T223" s="6">
        <f t="shared" si="39"/>
        <v>0.83853325243648835</v>
      </c>
      <c r="U223" s="6">
        <f t="shared" si="40"/>
        <v>0.94753462734205607</v>
      </c>
      <c r="V223" s="6">
        <f t="shared" si="41"/>
        <v>1.2110923462524477</v>
      </c>
      <c r="W223" s="6">
        <f t="shared" si="42"/>
        <v>-0.19005024307838053</v>
      </c>
      <c r="X223" s="6">
        <f t="shared" si="43"/>
        <v>-0.22302942246231655</v>
      </c>
    </row>
    <row r="224" spans="1:24" x14ac:dyDescent="0.35">
      <c r="A224" s="2" t="s">
        <v>247</v>
      </c>
      <c r="B224" s="2" t="s">
        <v>248</v>
      </c>
      <c r="C224" s="2">
        <v>18.38</v>
      </c>
      <c r="D224" s="2">
        <v>9.02</v>
      </c>
      <c r="E224" s="2">
        <v>10069</v>
      </c>
      <c r="F224" s="2">
        <v>74.709999999999994</v>
      </c>
      <c r="G224" s="2">
        <v>75.27</v>
      </c>
      <c r="H224" s="2">
        <v>95.95</v>
      </c>
      <c r="I224" s="2">
        <v>89.33</v>
      </c>
      <c r="J224" s="2">
        <v>3.69</v>
      </c>
      <c r="K224" s="2">
        <v>76.72</v>
      </c>
      <c r="L224" s="2">
        <v>8778800</v>
      </c>
      <c r="M224" s="2">
        <v>0</v>
      </c>
      <c r="O224" s="6">
        <f t="shared" si="35"/>
        <v>0.81955232416681933</v>
      </c>
      <c r="P224" s="6">
        <f t="shared" si="35"/>
        <v>0.35806877828177169</v>
      </c>
      <c r="Q224" s="6">
        <f t="shared" si="36"/>
        <v>-9.423023028862354E-2</v>
      </c>
      <c r="R224" s="6">
        <f t="shared" si="37"/>
        <v>0.73693472479912969</v>
      </c>
      <c r="S224" s="6">
        <f t="shared" si="38"/>
        <v>1.6297947795986381</v>
      </c>
      <c r="T224" s="6">
        <f t="shared" si="39"/>
        <v>1.0098189922950571</v>
      </c>
      <c r="U224" s="6">
        <f t="shared" si="40"/>
        <v>0.26732656382422992</v>
      </c>
      <c r="V224" s="6">
        <f t="shared" si="41"/>
        <v>-0.51984982460975082</v>
      </c>
      <c r="W224" s="6">
        <f t="shared" si="42"/>
        <v>1.135421037156692</v>
      </c>
      <c r="X224" s="6">
        <f t="shared" si="43"/>
        <v>-0.27550661291602135</v>
      </c>
    </row>
    <row r="225" spans="1:24" x14ac:dyDescent="0.35">
      <c r="A225" s="2" t="s">
        <v>247</v>
      </c>
      <c r="B225" s="2" t="s">
        <v>249</v>
      </c>
      <c r="C225" s="2">
        <v>14.04</v>
      </c>
      <c r="D225" s="2">
        <v>9.57</v>
      </c>
      <c r="E225" s="2">
        <v>15545</v>
      </c>
      <c r="F225" s="2">
        <v>80.28</v>
      </c>
      <c r="G225" s="2">
        <v>73.89</v>
      </c>
      <c r="H225" s="2">
        <v>96.2</v>
      </c>
      <c r="I225" s="2">
        <v>96.11</v>
      </c>
      <c r="J225" s="2">
        <v>4.04</v>
      </c>
      <c r="K225" s="2">
        <v>71.64</v>
      </c>
      <c r="L225" s="2">
        <v>19773332</v>
      </c>
      <c r="M225" s="2">
        <v>0</v>
      </c>
      <c r="O225" s="6">
        <f t="shared" si="35"/>
        <v>0.2371148798680239</v>
      </c>
      <c r="P225" s="6">
        <f t="shared" si="35"/>
        <v>0.69564645993406615</v>
      </c>
      <c r="Q225" s="6">
        <f t="shared" si="36"/>
        <v>1.923084368723341</v>
      </c>
      <c r="R225" s="6">
        <f t="shared" si="37"/>
        <v>1.5950842982949698</v>
      </c>
      <c r="S225" s="6">
        <f t="shared" si="38"/>
        <v>1.2291105820564052</v>
      </c>
      <c r="T225" s="6">
        <f t="shared" si="39"/>
        <v>1.0232848523468314</v>
      </c>
      <c r="U225" s="6">
        <f t="shared" si="40"/>
        <v>0.69954874476620377</v>
      </c>
      <c r="V225" s="6">
        <f t="shared" si="41"/>
        <v>-0.38699242114445043</v>
      </c>
      <c r="W225" s="6">
        <f t="shared" si="42"/>
        <v>0.34045124924710912</v>
      </c>
      <c r="X225" s="6">
        <f t="shared" si="43"/>
        <v>-4.5775666719451991E-2</v>
      </c>
    </row>
    <row r="226" spans="1:24" x14ac:dyDescent="0.35">
      <c r="A226" s="2" t="s">
        <v>247</v>
      </c>
      <c r="B226" s="2" t="s">
        <v>250</v>
      </c>
      <c r="C226" s="2">
        <v>17.690000000000001</v>
      </c>
      <c r="D226" s="2">
        <v>7.3</v>
      </c>
      <c r="E226" s="2">
        <v>9505</v>
      </c>
      <c r="F226" s="2">
        <v>70.16</v>
      </c>
      <c r="G226" s="2">
        <v>74.19</v>
      </c>
      <c r="H226" s="2">
        <v>96</v>
      </c>
      <c r="I226" s="2">
        <v>94.7</v>
      </c>
      <c r="J226" s="2">
        <v>2.2000000000000002</v>
      </c>
      <c r="K226" s="2">
        <v>75.989999999999995</v>
      </c>
      <c r="L226" s="2">
        <v>14216362</v>
      </c>
      <c r="M226" s="2">
        <v>0</v>
      </c>
      <c r="O226" s="6">
        <f t="shared" si="35"/>
        <v>0.72695282265387751</v>
      </c>
      <c r="P226" s="6">
        <f t="shared" si="35"/>
        <v>-0.69762869888540213</v>
      </c>
      <c r="Q226" s="6">
        <f t="shared" si="36"/>
        <v>-0.30200331901082006</v>
      </c>
      <c r="R226" s="6">
        <f t="shared" si="37"/>
        <v>3.5932829035024615E-2</v>
      </c>
      <c r="S226" s="6">
        <f t="shared" si="38"/>
        <v>1.3162158423916726</v>
      </c>
      <c r="T226" s="6">
        <f t="shared" si="39"/>
        <v>1.0125121643054118</v>
      </c>
      <c r="U226" s="6">
        <f t="shared" si="40"/>
        <v>0.60966183103048377</v>
      </c>
      <c r="V226" s="6">
        <f t="shared" si="41"/>
        <v>-1.0854427707906007</v>
      </c>
      <c r="W226" s="6">
        <f t="shared" si="42"/>
        <v>1.0211832526736213</v>
      </c>
      <c r="X226" s="6">
        <f t="shared" si="43"/>
        <v>-0.16188865598411101</v>
      </c>
    </row>
    <row r="227" spans="1:24" x14ac:dyDescent="0.35">
      <c r="A227" s="2" t="s">
        <v>247</v>
      </c>
      <c r="B227" s="2" t="s">
        <v>251</v>
      </c>
      <c r="C227" s="2">
        <v>8.64</v>
      </c>
      <c r="D227" s="2">
        <v>10.92</v>
      </c>
      <c r="E227" s="2">
        <v>16060</v>
      </c>
      <c r="F227" s="2">
        <v>84</v>
      </c>
      <c r="G227" s="2">
        <v>74.92</v>
      </c>
      <c r="H227" s="2">
        <v>98.41</v>
      </c>
      <c r="I227" s="2">
        <v>96.26</v>
      </c>
      <c r="J227" s="2">
        <v>5.17</v>
      </c>
      <c r="K227" s="2">
        <v>73.05</v>
      </c>
      <c r="L227" s="2">
        <v>35786977</v>
      </c>
      <c r="M227" s="2">
        <v>0</v>
      </c>
      <c r="O227" s="6">
        <f t="shared" si="35"/>
        <v>-0.48757687110282733</v>
      </c>
      <c r="P227" s="6">
        <f t="shared" si="35"/>
        <v>1.5242462239896968</v>
      </c>
      <c r="Q227" s="6">
        <f t="shared" si="36"/>
        <v>2.1128062493827935</v>
      </c>
      <c r="R227" s="6">
        <f t="shared" si="37"/>
        <v>2.1682111229636449</v>
      </c>
      <c r="S227" s="6">
        <f t="shared" si="38"/>
        <v>1.5281719758741599</v>
      </c>
      <c r="T227" s="6">
        <f t="shared" si="39"/>
        <v>1.1423230552045154</v>
      </c>
      <c r="U227" s="6">
        <f t="shared" si="40"/>
        <v>0.7091111823976638</v>
      </c>
      <c r="V227" s="6">
        <f t="shared" si="41"/>
        <v>4.1947195757804846E-2</v>
      </c>
      <c r="W227" s="6">
        <f t="shared" si="42"/>
        <v>0.56110231242673703</v>
      </c>
      <c r="X227" s="6">
        <f t="shared" si="43"/>
        <v>0.28882973693992725</v>
      </c>
    </row>
    <row r="228" spans="1:24" x14ac:dyDescent="0.35">
      <c r="A228" s="2" t="s">
        <v>247</v>
      </c>
      <c r="B228" s="2" t="s">
        <v>252</v>
      </c>
      <c r="C228" s="2">
        <v>7.69</v>
      </c>
      <c r="D228" s="2">
        <v>11.72</v>
      </c>
      <c r="E228" s="2">
        <v>18801</v>
      </c>
      <c r="F228" s="2">
        <v>87.18</v>
      </c>
      <c r="G228" s="2">
        <v>74.760000000000005</v>
      </c>
      <c r="H228" s="2">
        <v>98.17</v>
      </c>
      <c r="I228" s="2">
        <v>100</v>
      </c>
      <c r="J228" s="2">
        <v>9.1300000000000008</v>
      </c>
      <c r="K228" s="2">
        <v>71.86</v>
      </c>
      <c r="L228" s="2">
        <v>28390085</v>
      </c>
      <c r="M228" s="2">
        <v>0</v>
      </c>
      <c r="O228" s="6">
        <f t="shared" si="35"/>
        <v>-0.61506893840325494</v>
      </c>
      <c r="P228" s="6">
        <f t="shared" si="35"/>
        <v>2.0152683063930339</v>
      </c>
      <c r="Q228" s="6">
        <f t="shared" si="36"/>
        <v>3.1225687248926173</v>
      </c>
      <c r="R228" s="6">
        <f t="shared" si="37"/>
        <v>2.6581421182449327</v>
      </c>
      <c r="S228" s="6">
        <f t="shared" si="38"/>
        <v>1.4817158370286845</v>
      </c>
      <c r="T228" s="6">
        <f t="shared" si="39"/>
        <v>1.1293958295548123</v>
      </c>
      <c r="U228" s="6">
        <f t="shared" si="40"/>
        <v>0.94753462734205607</v>
      </c>
      <c r="V228" s="6">
        <f t="shared" si="41"/>
        <v>1.5451338178223459</v>
      </c>
      <c r="W228" s="6">
        <f t="shared" si="42"/>
        <v>0.37487907470776016</v>
      </c>
      <c r="X228" s="6">
        <f t="shared" si="43"/>
        <v>0.13427154400603661</v>
      </c>
    </row>
    <row r="229" spans="1:24" x14ac:dyDescent="0.35">
      <c r="A229" s="2" t="s">
        <v>253</v>
      </c>
      <c r="B229" s="2" t="s">
        <v>254</v>
      </c>
      <c r="C229" s="2">
        <v>15.11</v>
      </c>
      <c r="D229" s="2">
        <v>7.61</v>
      </c>
      <c r="E229" s="2">
        <v>8887</v>
      </c>
      <c r="F229" s="2">
        <v>68.569999999999993</v>
      </c>
      <c r="G229" s="2">
        <v>72.069999999999993</v>
      </c>
      <c r="H229" s="2">
        <v>71.7</v>
      </c>
      <c r="I229" s="2">
        <v>76.709999999999994</v>
      </c>
      <c r="J229" s="2">
        <v>2.04</v>
      </c>
      <c r="K229" s="2">
        <v>80.569999999999993</v>
      </c>
      <c r="L229" s="2">
        <v>11107402</v>
      </c>
      <c r="M229" s="2">
        <v>0</v>
      </c>
      <c r="O229" s="6">
        <f t="shared" si="35"/>
        <v>0.38071120830113708</v>
      </c>
      <c r="P229" s="6">
        <f t="shared" si="35"/>
        <v>-0.50735764195410882</v>
      </c>
      <c r="Q229" s="6">
        <f t="shared" si="36"/>
        <v>-0.52966957580216301</v>
      </c>
      <c r="R229" s="6">
        <f t="shared" si="37"/>
        <v>-0.20903266860561937</v>
      </c>
      <c r="S229" s="6">
        <f t="shared" si="38"/>
        <v>0.70067200268910856</v>
      </c>
      <c r="T229" s="6">
        <f t="shared" si="39"/>
        <v>-0.29636943272704497</v>
      </c>
      <c r="U229" s="6">
        <f t="shared" si="40"/>
        <v>-0.53719318890257117</v>
      </c>
      <c r="V229" s="6">
        <f t="shared" si="41"/>
        <v>-1.1461775838033095</v>
      </c>
      <c r="W229" s="6">
        <f t="shared" si="42"/>
        <v>1.7379079827180879</v>
      </c>
      <c r="X229" s="6">
        <f t="shared" si="43"/>
        <v>-0.22685043175476557</v>
      </c>
    </row>
    <row r="230" spans="1:24" x14ac:dyDescent="0.35">
      <c r="A230" s="2" t="s">
        <v>253</v>
      </c>
      <c r="B230" s="2" t="s">
        <v>255</v>
      </c>
      <c r="C230" s="2">
        <v>10.26</v>
      </c>
      <c r="D230" s="2">
        <v>7.55</v>
      </c>
      <c r="E230" s="2">
        <v>9851</v>
      </c>
      <c r="F230" s="2">
        <v>71.06</v>
      </c>
      <c r="G230" s="2">
        <v>72.849999999999994</v>
      </c>
      <c r="H230" s="2">
        <v>87.49</v>
      </c>
      <c r="I230" s="2">
        <v>96.3</v>
      </c>
      <c r="J230" s="2">
        <v>4.38</v>
      </c>
      <c r="K230" s="2">
        <v>72.63</v>
      </c>
      <c r="L230" s="2">
        <v>14619969</v>
      </c>
      <c r="M230" s="2">
        <v>0</v>
      </c>
      <c r="O230" s="6">
        <f t="shared" si="35"/>
        <v>-0.27016934581157204</v>
      </c>
      <c r="P230" s="6">
        <f t="shared" si="35"/>
        <v>-0.54418429813435942</v>
      </c>
      <c r="Q230" s="6">
        <f t="shared" si="36"/>
        <v>-0.17453968656777041</v>
      </c>
      <c r="R230" s="6">
        <f t="shared" si="37"/>
        <v>0.17459254468067273</v>
      </c>
      <c r="S230" s="6">
        <f t="shared" si="38"/>
        <v>0.92714567956080651</v>
      </c>
      <c r="T230" s="6">
        <f t="shared" si="39"/>
        <v>0.55413428814301613</v>
      </c>
      <c r="U230" s="6">
        <f t="shared" si="40"/>
        <v>0.71166116576605254</v>
      </c>
      <c r="V230" s="6">
        <f t="shared" si="41"/>
        <v>-0.25793094349244444</v>
      </c>
      <c r="W230" s="6">
        <f t="shared" si="42"/>
        <v>0.49537646382003891</v>
      </c>
      <c r="X230" s="6">
        <f t="shared" si="43"/>
        <v>-0.15345528037507564</v>
      </c>
    </row>
    <row r="231" spans="1:24" x14ac:dyDescent="0.35">
      <c r="A231" s="2" t="s">
        <v>253</v>
      </c>
      <c r="B231" s="2" t="s">
        <v>256</v>
      </c>
      <c r="C231" s="2">
        <v>12.14</v>
      </c>
      <c r="D231" s="2">
        <v>7.56</v>
      </c>
      <c r="E231" s="2">
        <v>9743</v>
      </c>
      <c r="F231" s="2">
        <v>70.06</v>
      </c>
      <c r="G231" s="2">
        <v>73.86</v>
      </c>
      <c r="H231" s="2">
        <v>75.48</v>
      </c>
      <c r="I231" s="2">
        <v>75.78</v>
      </c>
      <c r="J231" s="2">
        <v>3.53</v>
      </c>
      <c r="K231" s="2">
        <v>72.36</v>
      </c>
      <c r="L231" s="2">
        <v>12959018</v>
      </c>
      <c r="M231" s="2">
        <v>0</v>
      </c>
      <c r="O231" s="6">
        <f t="shared" si="35"/>
        <v>-1.7869254732831037E-2</v>
      </c>
      <c r="P231" s="6">
        <f t="shared" si="35"/>
        <v>-0.5380465221043178</v>
      </c>
      <c r="Q231" s="6">
        <f t="shared" si="36"/>
        <v>-0.21432602270606335</v>
      </c>
      <c r="R231" s="6">
        <f t="shared" si="37"/>
        <v>2.0526193963286907E-2</v>
      </c>
      <c r="S231" s="6">
        <f t="shared" si="38"/>
        <v>1.220400056022878</v>
      </c>
      <c r="T231" s="6">
        <f t="shared" si="39"/>
        <v>-9.2765628744218259E-2</v>
      </c>
      <c r="U231" s="6">
        <f t="shared" si="40"/>
        <v>-0.59648030221762027</v>
      </c>
      <c r="V231" s="6">
        <f t="shared" si="41"/>
        <v>-0.5805846376224596</v>
      </c>
      <c r="W231" s="6">
        <f t="shared" si="42"/>
        <v>0.45312413257287665</v>
      </c>
      <c r="X231" s="6">
        <f t="shared" si="43"/>
        <v>-0.18816088174274986</v>
      </c>
    </row>
    <row r="232" spans="1:24" x14ac:dyDescent="0.35">
      <c r="A232" s="2" t="s">
        <v>253</v>
      </c>
      <c r="B232" s="2" t="s">
        <v>257</v>
      </c>
      <c r="C232" s="2">
        <v>7.51</v>
      </c>
      <c r="D232" s="2">
        <v>8.34</v>
      </c>
      <c r="E232" s="2">
        <v>10807</v>
      </c>
      <c r="F232" s="2">
        <v>73.150000000000006</v>
      </c>
      <c r="G232" s="2">
        <v>74.16</v>
      </c>
      <c r="H232" s="2">
        <v>85.37</v>
      </c>
      <c r="I232" s="2">
        <v>97.4</v>
      </c>
      <c r="J232" s="2">
        <v>4.91</v>
      </c>
      <c r="K232" s="2">
        <v>72.260000000000005</v>
      </c>
      <c r="L232" s="2">
        <v>27390424</v>
      </c>
      <c r="M232" s="2">
        <v>0</v>
      </c>
      <c r="O232" s="6">
        <f t="shared" si="35"/>
        <v>-0.63922533010228344</v>
      </c>
      <c r="P232" s="6">
        <f t="shared" si="35"/>
        <v>-5.9299991761064347E-2</v>
      </c>
      <c r="Q232" s="6">
        <f t="shared" si="36"/>
        <v>0.17764306665637825</v>
      </c>
      <c r="R232" s="6">
        <f t="shared" si="37"/>
        <v>0.49659121768000963</v>
      </c>
      <c r="S232" s="6">
        <f t="shared" si="38"/>
        <v>1.3075053163581454</v>
      </c>
      <c r="T232" s="6">
        <f t="shared" si="39"/>
        <v>0.43994379490397106</v>
      </c>
      <c r="U232" s="6">
        <f t="shared" si="40"/>
        <v>0.78178570839675676</v>
      </c>
      <c r="V232" s="6">
        <f t="shared" si="41"/>
        <v>-5.6746875387846736E-2</v>
      </c>
      <c r="W232" s="6">
        <f t="shared" si="42"/>
        <v>0.43747512099985425</v>
      </c>
      <c r="X232" s="6">
        <f t="shared" si="43"/>
        <v>0.11338360922119914</v>
      </c>
    </row>
    <row r="233" spans="1:24" x14ac:dyDescent="0.35">
      <c r="A233" s="2" t="s">
        <v>253</v>
      </c>
      <c r="B233" s="2" t="s">
        <v>258</v>
      </c>
      <c r="C233" s="2">
        <v>9.65</v>
      </c>
      <c r="D233" s="2">
        <v>7.5</v>
      </c>
      <c r="E233" s="2">
        <v>10757</v>
      </c>
      <c r="F233" s="2">
        <v>71.05</v>
      </c>
      <c r="G233" s="2">
        <v>73.61</v>
      </c>
      <c r="H233" s="2">
        <v>75.67</v>
      </c>
      <c r="I233" s="2">
        <v>93.33</v>
      </c>
      <c r="J233" s="2">
        <v>3.66</v>
      </c>
      <c r="K233" s="2">
        <v>70.44</v>
      </c>
      <c r="L233" s="2">
        <v>25700019</v>
      </c>
      <c r="M233" s="2">
        <v>0</v>
      </c>
      <c r="O233" s="6">
        <f t="shared" si="35"/>
        <v>-0.35203267323605703</v>
      </c>
      <c r="P233" s="6">
        <f t="shared" si="35"/>
        <v>-0.57487317828456785</v>
      </c>
      <c r="Q233" s="6">
        <f t="shared" si="36"/>
        <v>0.15922346659235373</v>
      </c>
      <c r="R233" s="6">
        <f t="shared" si="37"/>
        <v>0.17305188117349807</v>
      </c>
      <c r="S233" s="6">
        <f t="shared" si="38"/>
        <v>1.1478123390768211</v>
      </c>
      <c r="T233" s="6">
        <f t="shared" si="39"/>
        <v>-8.2531575104869942E-2</v>
      </c>
      <c r="U233" s="6">
        <f t="shared" si="40"/>
        <v>0.52232490066315251</v>
      </c>
      <c r="V233" s="6">
        <f t="shared" si="41"/>
        <v>-0.53123760204963355</v>
      </c>
      <c r="W233" s="6">
        <f t="shared" si="42"/>
        <v>0.15266311037082919</v>
      </c>
      <c r="X233" s="6">
        <f t="shared" si="43"/>
        <v>7.8062565987579755E-2</v>
      </c>
    </row>
    <row r="234" spans="1:24" x14ac:dyDescent="0.35">
      <c r="A234" s="2" t="s">
        <v>253</v>
      </c>
      <c r="B234" s="2" t="s">
        <v>259</v>
      </c>
      <c r="C234" s="2">
        <v>11.64</v>
      </c>
      <c r="D234" s="2">
        <v>8.08</v>
      </c>
      <c r="E234" s="2">
        <v>11127</v>
      </c>
      <c r="F234" s="2">
        <v>72.56</v>
      </c>
      <c r="G234" s="2">
        <v>72.650000000000006</v>
      </c>
      <c r="H234" s="2">
        <v>86.92</v>
      </c>
      <c r="I234" s="2">
        <v>96.35</v>
      </c>
      <c r="J234" s="2">
        <v>5.15</v>
      </c>
      <c r="K234" s="2">
        <v>69.34</v>
      </c>
      <c r="L234" s="2">
        <v>29361672</v>
      </c>
      <c r="M234" s="2">
        <v>0</v>
      </c>
      <c r="O234" s="6">
        <f t="shared" si="35"/>
        <v>-8.4970342785687644E-2</v>
      </c>
      <c r="P234" s="6">
        <f t="shared" si="35"/>
        <v>-0.21888216854214865</v>
      </c>
      <c r="Q234" s="6">
        <f t="shared" si="36"/>
        <v>0.29552850706613509</v>
      </c>
      <c r="R234" s="6">
        <f t="shared" si="37"/>
        <v>0.40569207075675146</v>
      </c>
      <c r="S234" s="6">
        <f t="shared" si="38"/>
        <v>0.86907550600396422</v>
      </c>
      <c r="T234" s="6">
        <f t="shared" si="39"/>
        <v>0.52343212722497123</v>
      </c>
      <c r="U234" s="6">
        <f t="shared" si="40"/>
        <v>0.71484864497653888</v>
      </c>
      <c r="V234" s="6">
        <f t="shared" si="41"/>
        <v>3.4355344131216416E-2</v>
      </c>
      <c r="W234" s="6">
        <f t="shared" si="42"/>
        <v>-1.9476016932426125E-2</v>
      </c>
      <c r="X234" s="6">
        <f t="shared" si="43"/>
        <v>0.15457287205003942</v>
      </c>
    </row>
    <row r="235" spans="1:24" x14ac:dyDescent="0.35">
      <c r="A235" s="2" t="s">
        <v>253</v>
      </c>
      <c r="B235" s="2" t="s">
        <v>260</v>
      </c>
      <c r="C235" s="2">
        <v>10.5</v>
      </c>
      <c r="D235" s="2">
        <v>7.43</v>
      </c>
      <c r="E235" s="2">
        <v>10163</v>
      </c>
      <c r="F235" s="2">
        <v>70.599999999999994</v>
      </c>
      <c r="G235" s="2">
        <v>72.61</v>
      </c>
      <c r="H235" s="2">
        <v>80.790000000000006</v>
      </c>
      <c r="I235" s="2">
        <v>94.14</v>
      </c>
      <c r="J235" s="2">
        <v>5.4</v>
      </c>
      <c r="K235" s="2">
        <v>68.489999999999995</v>
      </c>
      <c r="L235" s="2">
        <v>68619103</v>
      </c>
      <c r="M235" s="2">
        <v>0</v>
      </c>
      <c r="O235" s="6">
        <f t="shared" si="35"/>
        <v>-0.23796082354620079</v>
      </c>
      <c r="P235" s="6">
        <f t="shared" si="35"/>
        <v>-0.61783761049485997</v>
      </c>
      <c r="Q235" s="6">
        <f t="shared" si="36"/>
        <v>-5.9601382168257465E-2</v>
      </c>
      <c r="R235" s="6">
        <f t="shared" si="37"/>
        <v>0.10372202335067403</v>
      </c>
      <c r="S235" s="6">
        <f t="shared" si="38"/>
        <v>0.85746147129259331</v>
      </c>
      <c r="T235" s="6">
        <f t="shared" si="39"/>
        <v>0.1932492387554669</v>
      </c>
      <c r="U235" s="6">
        <f t="shared" si="40"/>
        <v>0.5739620638730345</v>
      </c>
      <c r="V235" s="6">
        <f t="shared" si="41"/>
        <v>0.12925348946357379</v>
      </c>
      <c r="W235" s="6">
        <f t="shared" si="42"/>
        <v>-0.15249261530312544</v>
      </c>
      <c r="X235" s="6">
        <f t="shared" si="43"/>
        <v>0.97485760712348635</v>
      </c>
    </row>
    <row r="236" spans="1:24" x14ac:dyDescent="0.35">
      <c r="A236" s="2" t="s">
        <v>253</v>
      </c>
      <c r="B236" s="2" t="s">
        <v>261</v>
      </c>
      <c r="C236" s="2">
        <v>10.050000000000001</v>
      </c>
      <c r="D236" s="2">
        <v>6.67</v>
      </c>
      <c r="E236" s="2">
        <v>9203</v>
      </c>
      <c r="F236" s="2">
        <v>66.069999999999993</v>
      </c>
      <c r="G236" s="2">
        <v>70.209999999999994</v>
      </c>
      <c r="H236" s="2">
        <v>83.24</v>
      </c>
      <c r="I236" s="2">
        <v>95.73</v>
      </c>
      <c r="J236" s="2">
        <v>3.51</v>
      </c>
      <c r="K236" s="2">
        <v>66.19</v>
      </c>
      <c r="L236" s="2">
        <v>22623402</v>
      </c>
      <c r="M236" s="2">
        <v>0</v>
      </c>
      <c r="O236" s="6">
        <f t="shared" si="35"/>
        <v>-0.29835180279377166</v>
      </c>
      <c r="P236" s="6">
        <f t="shared" si="35"/>
        <v>-1.0843085887780297</v>
      </c>
      <c r="Q236" s="6">
        <f t="shared" si="36"/>
        <v>-0.4132577033975281</v>
      </c>
      <c r="R236" s="6">
        <f t="shared" si="37"/>
        <v>-0.5941985453990839</v>
      </c>
      <c r="S236" s="6">
        <f t="shared" si="38"/>
        <v>0.16061938861044522</v>
      </c>
      <c r="T236" s="6">
        <f t="shared" si="39"/>
        <v>0.32521466726285392</v>
      </c>
      <c r="U236" s="6">
        <f t="shared" si="40"/>
        <v>0.67532390276650645</v>
      </c>
      <c r="V236" s="6">
        <f t="shared" si="41"/>
        <v>-0.5881764892490482</v>
      </c>
      <c r="W236" s="6">
        <f t="shared" si="42"/>
        <v>-0.51241988148266071</v>
      </c>
      <c r="X236" s="6">
        <f t="shared" si="43"/>
        <v>1.3776597790438605E-2</v>
      </c>
    </row>
    <row r="237" spans="1:24" x14ac:dyDescent="0.35">
      <c r="A237" s="2" t="s">
        <v>253</v>
      </c>
      <c r="B237" s="2" t="s">
        <v>262</v>
      </c>
      <c r="C237" s="2">
        <v>10.41</v>
      </c>
      <c r="D237" s="2">
        <v>6.49</v>
      </c>
      <c r="E237" s="2">
        <v>9410</v>
      </c>
      <c r="F237" s="2">
        <v>67.319999999999993</v>
      </c>
      <c r="G237" s="2">
        <v>69.28</v>
      </c>
      <c r="H237" s="2">
        <v>64.17</v>
      </c>
      <c r="I237" s="2">
        <v>94.35</v>
      </c>
      <c r="J237" s="2">
        <v>5.44</v>
      </c>
      <c r="K237" s="2">
        <v>68.97</v>
      </c>
      <c r="L237" s="2">
        <v>54688719</v>
      </c>
      <c r="M237" s="2">
        <v>0</v>
      </c>
      <c r="O237" s="6">
        <f t="shared" si="35"/>
        <v>-0.25003901939571499</v>
      </c>
      <c r="P237" s="6">
        <f t="shared" si="35"/>
        <v>-1.1947885573187804</v>
      </c>
      <c r="Q237" s="6">
        <f t="shared" si="36"/>
        <v>-0.33700055913246663</v>
      </c>
      <c r="R237" s="6">
        <f t="shared" si="37"/>
        <v>-0.40161560700235166</v>
      </c>
      <c r="S237" s="6">
        <f t="shared" si="38"/>
        <v>-0.10940691842888441</v>
      </c>
      <c r="T237" s="6">
        <f t="shared" si="39"/>
        <v>-0.70196113748648536</v>
      </c>
      <c r="U237" s="6">
        <f t="shared" si="40"/>
        <v>0.58734947655707759</v>
      </c>
      <c r="V237" s="6">
        <f t="shared" si="41"/>
        <v>0.14443719271675098</v>
      </c>
      <c r="W237" s="6">
        <f t="shared" si="42"/>
        <v>-7.7377359752613006E-2</v>
      </c>
      <c r="X237" s="6">
        <f t="shared" si="43"/>
        <v>0.68378197996613654</v>
      </c>
    </row>
    <row r="238" spans="1:24" x14ac:dyDescent="0.35">
      <c r="A238" s="2" t="s">
        <v>253</v>
      </c>
      <c r="B238" s="2" t="s">
        <v>263</v>
      </c>
      <c r="C238" s="2">
        <v>8.07</v>
      </c>
      <c r="D238" s="2">
        <v>7.42</v>
      </c>
      <c r="E238" s="2">
        <v>12217</v>
      </c>
      <c r="F238" s="2">
        <v>71.38</v>
      </c>
      <c r="G238" s="2">
        <v>70.72</v>
      </c>
      <c r="H238" s="2">
        <v>81.150000000000006</v>
      </c>
      <c r="I238" s="2">
        <v>94.16</v>
      </c>
      <c r="J238" s="2">
        <v>5.42</v>
      </c>
      <c r="K238" s="2">
        <v>72.319999999999993</v>
      </c>
      <c r="L238" s="2">
        <v>55471065</v>
      </c>
      <c r="M238" s="2">
        <v>0</v>
      </c>
      <c r="O238" s="6">
        <f t="shared" si="35"/>
        <v>-0.56407211148308389</v>
      </c>
      <c r="P238" s="6">
        <f t="shared" si="35"/>
        <v>-0.62397538652490159</v>
      </c>
      <c r="Q238" s="6">
        <f t="shared" si="36"/>
        <v>0.69707578846186946</v>
      </c>
      <c r="R238" s="6">
        <f t="shared" si="37"/>
        <v>0.22389377691023513</v>
      </c>
      <c r="S238" s="6">
        <f t="shared" si="38"/>
        <v>0.3086983311804028</v>
      </c>
      <c r="T238" s="6">
        <f t="shared" si="39"/>
        <v>0.21264007723002179</v>
      </c>
      <c r="U238" s="6">
        <f t="shared" si="40"/>
        <v>0.57523705555722882</v>
      </c>
      <c r="V238" s="6">
        <f t="shared" si="41"/>
        <v>0.13684534109016222</v>
      </c>
      <c r="W238" s="6">
        <f t="shared" si="42"/>
        <v>0.44686452794366632</v>
      </c>
      <c r="X238" s="6">
        <f t="shared" si="43"/>
        <v>0.70012911387170906</v>
      </c>
    </row>
    <row r="239" spans="1:24" x14ac:dyDescent="0.35">
      <c r="A239" s="2" t="s">
        <v>253</v>
      </c>
      <c r="B239" s="2" t="s">
        <v>264</v>
      </c>
      <c r="C239" s="2">
        <v>14.73</v>
      </c>
      <c r="D239" s="2">
        <v>5.94</v>
      </c>
      <c r="E239" s="2">
        <v>10690</v>
      </c>
      <c r="F239" s="2">
        <v>66.59</v>
      </c>
      <c r="G239" s="2">
        <v>66.89</v>
      </c>
      <c r="H239" s="2">
        <v>52.82</v>
      </c>
      <c r="I239" s="2">
        <v>93.44</v>
      </c>
      <c r="J239" s="2">
        <v>4.46</v>
      </c>
      <c r="K239" s="2">
        <v>73.89</v>
      </c>
      <c r="L239" s="2">
        <v>13921654</v>
      </c>
      <c r="M239" s="2">
        <v>0</v>
      </c>
      <c r="O239" s="6">
        <f t="shared" si="35"/>
        <v>0.3297143813809662</v>
      </c>
      <c r="P239" s="6">
        <f t="shared" si="35"/>
        <v>-1.5323662389710742</v>
      </c>
      <c r="Q239" s="6">
        <f t="shared" si="36"/>
        <v>0.13454120250656088</v>
      </c>
      <c r="R239" s="6">
        <f t="shared" si="37"/>
        <v>-0.51408404302604171</v>
      </c>
      <c r="S239" s="6">
        <f t="shared" si="38"/>
        <v>-0.80334549243318876</v>
      </c>
      <c r="T239" s="6">
        <f t="shared" si="39"/>
        <v>-1.3133111838370364</v>
      </c>
      <c r="U239" s="6">
        <f t="shared" si="40"/>
        <v>0.52933735492622291</v>
      </c>
      <c r="V239" s="6">
        <f t="shared" si="41"/>
        <v>-0.22756353698609008</v>
      </c>
      <c r="W239" s="6">
        <f t="shared" si="42"/>
        <v>0.69255400964013314</v>
      </c>
      <c r="X239" s="6">
        <f t="shared" si="43"/>
        <v>-0.16804658500661951</v>
      </c>
    </row>
    <row r="240" spans="1:24" x14ac:dyDescent="0.35">
      <c r="A240" s="2" t="s">
        <v>253</v>
      </c>
      <c r="B240" s="2" t="s">
        <v>265</v>
      </c>
      <c r="C240" s="2">
        <v>12.63</v>
      </c>
      <c r="D240" s="2">
        <v>6.62</v>
      </c>
      <c r="E240" s="2">
        <v>9996</v>
      </c>
      <c r="F240" s="2">
        <v>67.78</v>
      </c>
      <c r="G240" s="2">
        <v>69.239999999999995</v>
      </c>
      <c r="H240" s="2">
        <v>59.79</v>
      </c>
      <c r="I240" s="2">
        <v>98.88</v>
      </c>
      <c r="J240" s="2">
        <v>3.68</v>
      </c>
      <c r="K240" s="2">
        <v>71.63</v>
      </c>
      <c r="L240" s="2">
        <v>13715834</v>
      </c>
      <c r="M240" s="2">
        <v>0</v>
      </c>
      <c r="O240" s="6">
        <f t="shared" si="35"/>
        <v>4.7889811558968473E-2</v>
      </c>
      <c r="P240" s="6">
        <f t="shared" si="35"/>
        <v>-1.1149974689282383</v>
      </c>
      <c r="Q240" s="6">
        <f t="shared" si="36"/>
        <v>-0.12112284638209933</v>
      </c>
      <c r="R240" s="6">
        <f t="shared" si="37"/>
        <v>-0.33074508567235295</v>
      </c>
      <c r="S240" s="6">
        <f t="shared" si="38"/>
        <v>-0.12102095314025532</v>
      </c>
      <c r="T240" s="6">
        <f t="shared" si="39"/>
        <v>-0.93788300559357041</v>
      </c>
      <c r="U240" s="6">
        <f t="shared" si="40"/>
        <v>0.87613509302715742</v>
      </c>
      <c r="V240" s="6">
        <f t="shared" si="41"/>
        <v>-0.52364575042304495</v>
      </c>
      <c r="W240" s="6">
        <f t="shared" si="42"/>
        <v>0.338886348089806</v>
      </c>
      <c r="X240" s="6">
        <f t="shared" si="43"/>
        <v>-0.17234719765172146</v>
      </c>
    </row>
    <row r="241" spans="1:24" x14ac:dyDescent="0.35">
      <c r="A241" s="2" t="s">
        <v>253</v>
      </c>
      <c r="B241" s="2" t="s">
        <v>266</v>
      </c>
      <c r="C241" s="2">
        <v>18.91</v>
      </c>
      <c r="D241" s="2">
        <v>6.12</v>
      </c>
      <c r="E241" s="2">
        <v>10969</v>
      </c>
      <c r="F241" s="2">
        <v>66.260000000000005</v>
      </c>
      <c r="G241" s="2">
        <v>67.36</v>
      </c>
      <c r="H241" s="2">
        <v>62.14</v>
      </c>
      <c r="I241" s="2">
        <v>93.18</v>
      </c>
      <c r="J241" s="2">
        <v>4.55</v>
      </c>
      <c r="K241" s="2">
        <v>73.239999999999995</v>
      </c>
      <c r="L241" s="2">
        <v>23664388</v>
      </c>
      <c r="M241" s="2">
        <v>0</v>
      </c>
      <c r="O241" s="6">
        <f t="shared" si="35"/>
        <v>0.89067947750284748</v>
      </c>
      <c r="P241" s="6">
        <f t="shared" si="35"/>
        <v>-1.4218862704303237</v>
      </c>
      <c r="Q241" s="6">
        <f t="shared" si="36"/>
        <v>0.23732257086381767</v>
      </c>
      <c r="R241" s="6">
        <f t="shared" si="37"/>
        <v>-0.56492593876277875</v>
      </c>
      <c r="S241" s="6">
        <f t="shared" si="38"/>
        <v>-0.66688058457460209</v>
      </c>
      <c r="T241" s="6">
        <f t="shared" si="39"/>
        <v>-0.81130392110689231</v>
      </c>
      <c r="U241" s="6">
        <f t="shared" si="40"/>
        <v>0.51276246303169348</v>
      </c>
      <c r="V241" s="6">
        <f t="shared" si="41"/>
        <v>-0.19340020466644148</v>
      </c>
      <c r="W241" s="6">
        <f t="shared" si="42"/>
        <v>0.59083543441548092</v>
      </c>
      <c r="X241" s="6">
        <f t="shared" si="43"/>
        <v>3.5528019202226022E-2</v>
      </c>
    </row>
    <row r="242" spans="1:24" x14ac:dyDescent="0.35">
      <c r="A242" s="2" t="s">
        <v>253</v>
      </c>
      <c r="B242" s="2" t="s">
        <v>267</v>
      </c>
      <c r="C242" s="2">
        <v>9.6999999999999993</v>
      </c>
      <c r="D242" s="2">
        <v>7.41</v>
      </c>
      <c r="E242" s="2">
        <v>10297</v>
      </c>
      <c r="F242" s="2">
        <v>68.930000000000007</v>
      </c>
      <c r="G242" s="2">
        <v>70.25</v>
      </c>
      <c r="H242" s="2">
        <v>82.92</v>
      </c>
      <c r="I242" s="2">
        <v>97.36</v>
      </c>
      <c r="J242" s="2">
        <v>6.03</v>
      </c>
      <c r="K242" s="2">
        <v>69.03</v>
      </c>
      <c r="L242" s="2">
        <v>107630268</v>
      </c>
      <c r="M242" s="2">
        <v>0</v>
      </c>
      <c r="O242" s="6">
        <f t="shared" si="35"/>
        <v>-0.34532256443077147</v>
      </c>
      <c r="P242" s="6">
        <f t="shared" si="35"/>
        <v>-0.6301131625549431</v>
      </c>
      <c r="Q242" s="6">
        <f t="shared" si="36"/>
        <v>-1.0236853996671774E-2</v>
      </c>
      <c r="R242" s="6">
        <f t="shared" si="37"/>
        <v>-0.15356878234735838</v>
      </c>
      <c r="S242" s="6">
        <f t="shared" si="38"/>
        <v>0.17223342332181613</v>
      </c>
      <c r="T242" s="6">
        <f t="shared" si="39"/>
        <v>0.30797836639658327</v>
      </c>
      <c r="U242" s="6">
        <f t="shared" si="40"/>
        <v>0.77923572502836713</v>
      </c>
      <c r="V242" s="6">
        <f t="shared" si="41"/>
        <v>0.36839681570111432</v>
      </c>
      <c r="W242" s="6">
        <f t="shared" si="42"/>
        <v>-6.7987952808798685E-2</v>
      </c>
      <c r="X242" s="6">
        <f t="shared" si="43"/>
        <v>1.7899966096458755</v>
      </c>
    </row>
    <row r="243" spans="1:24" x14ac:dyDescent="0.35">
      <c r="A243" s="2" t="s">
        <v>253</v>
      </c>
      <c r="B243" s="2" t="s">
        <v>268</v>
      </c>
      <c r="C243" s="2">
        <v>5.93</v>
      </c>
      <c r="D243" s="2">
        <v>10.72</v>
      </c>
      <c r="E243" s="2">
        <v>14578</v>
      </c>
      <c r="F243" s="2">
        <v>80.650000000000006</v>
      </c>
      <c r="G243" s="2">
        <v>74.06</v>
      </c>
      <c r="H243" s="2">
        <v>95.05</v>
      </c>
      <c r="I243" s="2">
        <v>96.82</v>
      </c>
      <c r="J243" s="2">
        <v>10.87</v>
      </c>
      <c r="K243" s="2">
        <v>66.47</v>
      </c>
      <c r="L243" s="2">
        <v>141000359</v>
      </c>
      <c r="M243" s="2">
        <v>0</v>
      </c>
      <c r="O243" s="6">
        <f t="shared" si="35"/>
        <v>-0.85126476834931031</v>
      </c>
      <c r="P243" s="6">
        <f t="shared" si="35"/>
        <v>1.4014907033888628</v>
      </c>
      <c r="Q243" s="6">
        <f t="shared" si="36"/>
        <v>1.566849303485107</v>
      </c>
      <c r="R243" s="6">
        <f t="shared" si="37"/>
        <v>1.6520888480604032</v>
      </c>
      <c r="S243" s="6">
        <f t="shared" si="38"/>
        <v>1.2784702295797243</v>
      </c>
      <c r="T243" s="6">
        <f t="shared" si="39"/>
        <v>0.9613418961086696</v>
      </c>
      <c r="U243" s="6">
        <f t="shared" si="40"/>
        <v>0.74481094955511218</v>
      </c>
      <c r="V243" s="6">
        <f t="shared" si="41"/>
        <v>2.2056249093355524</v>
      </c>
      <c r="W243" s="6">
        <f t="shared" si="42"/>
        <v>-0.46860264907819527</v>
      </c>
      <c r="X243" s="6">
        <f t="shared" si="43"/>
        <v>2.4872652682932488</v>
      </c>
    </row>
    <row r="244" spans="1:24" x14ac:dyDescent="0.35">
      <c r="A244" s="2" t="s">
        <v>253</v>
      </c>
      <c r="B244" s="2" t="s">
        <v>269</v>
      </c>
      <c r="C244" s="2">
        <v>10.62</v>
      </c>
      <c r="D244" s="2">
        <v>8.64</v>
      </c>
      <c r="E244" s="2">
        <v>12844</v>
      </c>
      <c r="F244" s="2">
        <v>74.150000000000006</v>
      </c>
      <c r="G244" s="2">
        <v>72.59</v>
      </c>
      <c r="H244" s="2">
        <v>87.34</v>
      </c>
      <c r="I244" s="2">
        <v>98.37</v>
      </c>
      <c r="J244" s="2">
        <v>5.54</v>
      </c>
      <c r="K244" s="2">
        <v>70.47</v>
      </c>
      <c r="L244" s="2">
        <v>60198699</v>
      </c>
      <c r="M244" s="2">
        <v>0</v>
      </c>
      <c r="O244" s="6">
        <f t="shared" si="35"/>
        <v>-0.22185656241351531</v>
      </c>
      <c r="P244" s="6">
        <f t="shared" si="35"/>
        <v>0.12483328914018736</v>
      </c>
      <c r="Q244" s="6">
        <f t="shared" si="36"/>
        <v>0.92805757326473681</v>
      </c>
      <c r="R244" s="6">
        <f t="shared" si="37"/>
        <v>0.65065756839739541</v>
      </c>
      <c r="S244" s="6">
        <f t="shared" si="38"/>
        <v>0.85165445393690997</v>
      </c>
      <c r="T244" s="6">
        <f t="shared" si="39"/>
        <v>0.54605477211195208</v>
      </c>
      <c r="U244" s="6">
        <f t="shared" si="40"/>
        <v>0.84362280508019538</v>
      </c>
      <c r="V244" s="6">
        <f t="shared" si="41"/>
        <v>0.1823964508496938</v>
      </c>
      <c r="W244" s="6">
        <f t="shared" si="42"/>
        <v>0.15735781384273634</v>
      </c>
      <c r="X244" s="6">
        <f t="shared" si="43"/>
        <v>0.79891311232576523</v>
      </c>
    </row>
    <row r="245" spans="1:24" x14ac:dyDescent="0.35">
      <c r="A245" s="2" t="s">
        <v>253</v>
      </c>
      <c r="B245" s="2" t="s">
        <v>270</v>
      </c>
      <c r="C245" s="2">
        <v>10</v>
      </c>
      <c r="D245" s="2">
        <v>8.5500000000000007</v>
      </c>
      <c r="E245" s="2">
        <v>11394</v>
      </c>
      <c r="F245" s="2">
        <v>73.45</v>
      </c>
      <c r="G245" s="2">
        <v>72.489999999999995</v>
      </c>
      <c r="H245" s="2">
        <v>90.95</v>
      </c>
      <c r="I245" s="2">
        <v>99.44</v>
      </c>
      <c r="J245" s="2">
        <v>7.09</v>
      </c>
      <c r="K245" s="2">
        <v>70.69</v>
      </c>
      <c r="L245" s="2">
        <v>28553448</v>
      </c>
      <c r="M245" s="2">
        <v>0</v>
      </c>
      <c r="O245" s="6">
        <f t="shared" si="35"/>
        <v>-0.30506191159905743</v>
      </c>
      <c r="P245" s="6">
        <f t="shared" si="35"/>
        <v>6.9593304869812064E-2</v>
      </c>
      <c r="Q245" s="6">
        <f t="shared" si="36"/>
        <v>0.39388917140802598</v>
      </c>
      <c r="R245" s="6">
        <f t="shared" si="37"/>
        <v>0.54281112289522493</v>
      </c>
      <c r="S245" s="6">
        <f t="shared" si="38"/>
        <v>0.82261936715848472</v>
      </c>
      <c r="T245" s="6">
        <f t="shared" si="39"/>
        <v>0.74050179125957216</v>
      </c>
      <c r="U245" s="6">
        <f t="shared" si="40"/>
        <v>0.9118348601846068</v>
      </c>
      <c r="V245" s="6">
        <f t="shared" si="41"/>
        <v>0.77076495191030947</v>
      </c>
      <c r="W245" s="6">
        <f t="shared" si="42"/>
        <v>0.19178563930338741</v>
      </c>
      <c r="X245" s="6">
        <f t="shared" si="43"/>
        <v>0.13768501686359072</v>
      </c>
    </row>
    <row r="246" spans="1:24" x14ac:dyDescent="0.35">
      <c r="A246" s="2" t="s">
        <v>253</v>
      </c>
      <c r="B246" s="2" t="s">
        <v>271</v>
      </c>
      <c r="C246" s="2">
        <v>11.85</v>
      </c>
      <c r="D246" s="2">
        <v>7.78</v>
      </c>
      <c r="E246" s="2">
        <v>12172</v>
      </c>
      <c r="F246" s="2">
        <v>71.97</v>
      </c>
      <c r="G246" s="2">
        <v>71.599999999999994</v>
      </c>
      <c r="H246" s="2">
        <v>81.84</v>
      </c>
      <c r="I246" s="2">
        <v>99.03</v>
      </c>
      <c r="J246" s="2">
        <v>4.9800000000000004</v>
      </c>
      <c r="K246" s="2">
        <v>64.239999999999995</v>
      </c>
      <c r="L246" s="2">
        <v>18640685</v>
      </c>
      <c r="M246" s="2">
        <v>0</v>
      </c>
      <c r="O246" s="6">
        <f t="shared" si="35"/>
        <v>-5.6787885803487995E-2</v>
      </c>
      <c r="P246" s="6">
        <f t="shared" si="35"/>
        <v>-0.40301544944339984</v>
      </c>
      <c r="Q246" s="6">
        <f t="shared" si="36"/>
        <v>0.68049814840424738</v>
      </c>
      <c r="R246" s="6">
        <f t="shared" si="37"/>
        <v>0.31479292383349328</v>
      </c>
      <c r="S246" s="6">
        <f t="shared" si="38"/>
        <v>0.56420709483052189</v>
      </c>
      <c r="T246" s="6">
        <f t="shared" si="39"/>
        <v>0.2498058509729186</v>
      </c>
      <c r="U246" s="6">
        <f t="shared" si="40"/>
        <v>0.88569753065861745</v>
      </c>
      <c r="V246" s="6">
        <f t="shared" si="41"/>
        <v>-3.0175394694786566E-2</v>
      </c>
      <c r="W246" s="6">
        <f t="shared" si="42"/>
        <v>-0.81757560715661526</v>
      </c>
      <c r="X246" s="6">
        <f t="shared" si="43"/>
        <v>-6.9442346394103502E-2</v>
      </c>
    </row>
    <row r="247" spans="1:24" x14ac:dyDescent="0.35">
      <c r="A247" s="2" t="s">
        <v>253</v>
      </c>
      <c r="B247" s="2" t="s">
        <v>272</v>
      </c>
      <c r="C247" s="2">
        <v>11.91</v>
      </c>
      <c r="D247" s="2">
        <v>7.82</v>
      </c>
      <c r="E247" s="2">
        <v>11658</v>
      </c>
      <c r="F247" s="2">
        <v>71.88</v>
      </c>
      <c r="G247" s="2">
        <v>71.5</v>
      </c>
      <c r="H247" s="2">
        <v>89.09</v>
      </c>
      <c r="I247" s="2">
        <v>95.1</v>
      </c>
      <c r="J247" s="2">
        <v>4.99</v>
      </c>
      <c r="K247" s="2">
        <v>67.77</v>
      </c>
      <c r="L247" s="2">
        <v>13372330</v>
      </c>
      <c r="M247" s="2">
        <v>0</v>
      </c>
      <c r="O247" s="6">
        <f t="shared" si="35"/>
        <v>-4.8735755237145136E-2</v>
      </c>
      <c r="P247" s="6">
        <f t="shared" si="35"/>
        <v>-0.37846434532323298</v>
      </c>
      <c r="Q247" s="6">
        <f t="shared" si="36"/>
        <v>0.49114465974607541</v>
      </c>
      <c r="R247" s="6">
        <f t="shared" si="37"/>
        <v>0.30092695226892807</v>
      </c>
      <c r="S247" s="6">
        <f t="shared" si="38"/>
        <v>0.53517200805210074</v>
      </c>
      <c r="T247" s="6">
        <f t="shared" si="39"/>
        <v>0.64031579247437176</v>
      </c>
      <c r="U247" s="6">
        <f t="shared" si="40"/>
        <v>0.63516166471437552</v>
      </c>
      <c r="V247" s="6">
        <f t="shared" si="41"/>
        <v>-2.6379468881492351E-2</v>
      </c>
      <c r="W247" s="6">
        <f t="shared" si="42"/>
        <v>-0.26516549862889294</v>
      </c>
      <c r="X247" s="6">
        <f t="shared" si="43"/>
        <v>-0.17952471998212227</v>
      </c>
    </row>
    <row r="248" spans="1:24" x14ac:dyDescent="0.35">
      <c r="A248" s="2" t="s">
        <v>253</v>
      </c>
      <c r="B248" s="2" t="s">
        <v>273</v>
      </c>
      <c r="C248" s="2">
        <v>10.66</v>
      </c>
      <c r="D248" s="2">
        <v>8.36</v>
      </c>
      <c r="E248" s="2">
        <v>11833</v>
      </c>
      <c r="F248" s="2">
        <v>74.150000000000006</v>
      </c>
      <c r="G248" s="2">
        <v>72.650000000000006</v>
      </c>
      <c r="H248" s="2">
        <v>88.4</v>
      </c>
      <c r="I248" s="2">
        <v>99.9</v>
      </c>
      <c r="J248" s="2">
        <v>3.86</v>
      </c>
      <c r="K248" s="2">
        <v>73.31</v>
      </c>
      <c r="L248" s="2">
        <v>13417032</v>
      </c>
      <c r="M248" s="2">
        <v>0</v>
      </c>
      <c r="O248" s="6">
        <f t="shared" si="35"/>
        <v>-0.21648847536928667</v>
      </c>
      <c r="P248" s="6">
        <f t="shared" si="35"/>
        <v>-4.7024439700981191E-2</v>
      </c>
      <c r="Q248" s="6">
        <f t="shared" si="36"/>
        <v>0.5556132599701612</v>
      </c>
      <c r="R248" s="6">
        <f t="shared" si="37"/>
        <v>0.65065756839739541</v>
      </c>
      <c r="S248" s="6">
        <f t="shared" si="38"/>
        <v>0.86907550600396422</v>
      </c>
      <c r="T248" s="6">
        <f t="shared" si="39"/>
        <v>0.603150018731475</v>
      </c>
      <c r="U248" s="6">
        <f t="shared" si="40"/>
        <v>0.94115966892108338</v>
      </c>
      <c r="V248" s="6">
        <f t="shared" si="41"/>
        <v>-0.4553190857837478</v>
      </c>
      <c r="W248" s="6">
        <f t="shared" si="42"/>
        <v>0.60178974251659834</v>
      </c>
      <c r="X248" s="6">
        <f t="shared" si="43"/>
        <v>-0.17859067087872441</v>
      </c>
    </row>
    <row r="249" spans="1:24" x14ac:dyDescent="0.35">
      <c r="A249" s="2" t="s">
        <v>253</v>
      </c>
      <c r="B249" s="2" t="s">
        <v>274</v>
      </c>
      <c r="C249" s="2">
        <v>15.57</v>
      </c>
      <c r="D249" s="2">
        <v>7.26</v>
      </c>
      <c r="E249" s="2">
        <v>11459</v>
      </c>
      <c r="F249" s="2">
        <v>71.040000000000006</v>
      </c>
      <c r="G249" s="2">
        <v>72.41</v>
      </c>
      <c r="H249" s="2">
        <v>79.349999999999994</v>
      </c>
      <c r="I249" s="2">
        <v>99.92</v>
      </c>
      <c r="J249" s="2">
        <v>4.25</v>
      </c>
      <c r="K249" s="2">
        <v>72.88</v>
      </c>
      <c r="L249" s="2">
        <v>13823456</v>
      </c>
      <c r="M249" s="2">
        <v>0</v>
      </c>
      <c r="O249" s="6">
        <f t="shared" si="35"/>
        <v>0.4424442093097653</v>
      </c>
      <c r="P249" s="6">
        <f t="shared" si="35"/>
        <v>-0.72217980300556894</v>
      </c>
      <c r="Q249" s="6">
        <f t="shared" si="36"/>
        <v>0.41783465149125787</v>
      </c>
      <c r="R249" s="6">
        <f t="shared" si="37"/>
        <v>0.17151121766632563</v>
      </c>
      <c r="S249" s="6">
        <f t="shared" si="38"/>
        <v>0.79939129773574702</v>
      </c>
      <c r="T249" s="6">
        <f t="shared" si="39"/>
        <v>0.1156858848572466</v>
      </c>
      <c r="U249" s="6">
        <f t="shared" si="40"/>
        <v>0.9424346606052777</v>
      </c>
      <c r="V249" s="6">
        <f t="shared" si="41"/>
        <v>-0.30727797906527027</v>
      </c>
      <c r="W249" s="6">
        <f t="shared" si="42"/>
        <v>0.53449899275259716</v>
      </c>
      <c r="X249" s="6">
        <f t="shared" si="43"/>
        <v>-0.17009843400343092</v>
      </c>
    </row>
    <row r="250" spans="1:24" x14ac:dyDescent="0.35">
      <c r="A250" s="2" t="s">
        <v>253</v>
      </c>
      <c r="B250" s="2" t="s">
        <v>275</v>
      </c>
      <c r="C250" s="2">
        <v>13.27</v>
      </c>
      <c r="D250" s="2">
        <v>7.38</v>
      </c>
      <c r="E250" s="2">
        <v>10221</v>
      </c>
      <c r="F250" s="2">
        <v>69.59</v>
      </c>
      <c r="G250" s="2">
        <v>71.72</v>
      </c>
      <c r="H250" s="2">
        <v>90.96</v>
      </c>
      <c r="I250" s="2">
        <v>97.24</v>
      </c>
      <c r="J250" s="2">
        <v>4.82</v>
      </c>
      <c r="K250" s="2">
        <v>71.84</v>
      </c>
      <c r="L250" s="2">
        <v>65839509</v>
      </c>
      <c r="M250" s="2">
        <v>0</v>
      </c>
      <c r="O250" s="6">
        <f t="shared" si="35"/>
        <v>0.13377920426662479</v>
      </c>
      <c r="P250" s="6">
        <f t="shared" si="35"/>
        <v>-0.6485264906450684</v>
      </c>
      <c r="Q250" s="6">
        <f t="shared" si="36"/>
        <v>-3.8234646093989029E-2</v>
      </c>
      <c r="R250" s="6">
        <f t="shared" si="37"/>
        <v>-5.1884990873884256E-2</v>
      </c>
      <c r="S250" s="6">
        <f t="shared" si="38"/>
        <v>0.59904919896463049</v>
      </c>
      <c r="T250" s="6">
        <f t="shared" si="39"/>
        <v>0.74104042566164263</v>
      </c>
      <c r="U250" s="6">
        <f t="shared" si="40"/>
        <v>0.77158577492319913</v>
      </c>
      <c r="V250" s="6">
        <f t="shared" si="41"/>
        <v>-9.0910207707495333E-2</v>
      </c>
      <c r="W250" s="6">
        <f t="shared" si="42"/>
        <v>0.37174927239315614</v>
      </c>
      <c r="X250" s="6">
        <f t="shared" si="43"/>
        <v>0.91677793991597745</v>
      </c>
    </row>
    <row r="251" spans="1:24" x14ac:dyDescent="0.35">
      <c r="A251" s="2" t="s">
        <v>253</v>
      </c>
      <c r="B251" s="2" t="s">
        <v>276</v>
      </c>
      <c r="C251" s="2">
        <v>16.309999999999999</v>
      </c>
      <c r="D251" s="2">
        <v>7.18</v>
      </c>
      <c r="E251" s="2">
        <v>10380</v>
      </c>
      <c r="F251" s="2">
        <v>68.91</v>
      </c>
      <c r="G251" s="2">
        <v>71.56</v>
      </c>
      <c r="H251" s="2">
        <v>83.8</v>
      </c>
      <c r="I251" s="2">
        <v>96.4</v>
      </c>
      <c r="J251" s="2">
        <v>4.68</v>
      </c>
      <c r="K251" s="2">
        <v>73.77</v>
      </c>
      <c r="L251" s="2">
        <v>43984689</v>
      </c>
      <c r="M251" s="2">
        <v>0</v>
      </c>
      <c r="O251" s="6">
        <f t="shared" si="35"/>
        <v>0.54175381962799285</v>
      </c>
      <c r="P251" s="6">
        <f t="shared" si="35"/>
        <v>-0.77128201124590268</v>
      </c>
      <c r="Q251" s="6">
        <f t="shared" si="36"/>
        <v>2.0339682109608917E-2</v>
      </c>
      <c r="R251" s="6">
        <f t="shared" si="37"/>
        <v>-0.15665010936170767</v>
      </c>
      <c r="S251" s="6">
        <f t="shared" si="38"/>
        <v>0.5525930601191551</v>
      </c>
      <c r="T251" s="6">
        <f t="shared" si="39"/>
        <v>0.3553781937788284</v>
      </c>
      <c r="U251" s="6">
        <f t="shared" si="40"/>
        <v>0.71803612418702611</v>
      </c>
      <c r="V251" s="6">
        <f t="shared" si="41"/>
        <v>-0.14405316909361568</v>
      </c>
      <c r="W251" s="6">
        <f t="shared" si="42"/>
        <v>0.67377519575250444</v>
      </c>
      <c r="X251" s="6">
        <f t="shared" si="43"/>
        <v>0.46012107834554333</v>
      </c>
    </row>
    <row r="252" spans="1:24" x14ac:dyDescent="0.35">
      <c r="A252" s="2" t="s">
        <v>253</v>
      </c>
      <c r="B252" s="2" t="s">
        <v>277</v>
      </c>
      <c r="C252" s="2">
        <v>13.86</v>
      </c>
      <c r="D252" s="2">
        <v>8.0399999999999991</v>
      </c>
      <c r="E252" s="2">
        <v>11510</v>
      </c>
      <c r="F252" s="2">
        <v>73.12</v>
      </c>
      <c r="G252" s="2">
        <v>72.489999999999995</v>
      </c>
      <c r="H252" s="2">
        <v>89.7</v>
      </c>
      <c r="I252" s="2">
        <v>81.98</v>
      </c>
      <c r="J252" s="2">
        <v>4.9000000000000004</v>
      </c>
      <c r="K252" s="2">
        <v>70.72</v>
      </c>
      <c r="L252" s="2">
        <v>27896543</v>
      </c>
      <c r="M252" s="2">
        <v>0</v>
      </c>
      <c r="O252" s="6">
        <f t="shared" si="35"/>
        <v>0.21295848816899557</v>
      </c>
      <c r="P252" s="6">
        <f t="shared" si="35"/>
        <v>-0.24343327266231607</v>
      </c>
      <c r="Q252" s="6">
        <f t="shared" si="36"/>
        <v>0.43662264355656288</v>
      </c>
      <c r="R252" s="6">
        <f t="shared" si="37"/>
        <v>0.49196922715848784</v>
      </c>
      <c r="S252" s="6">
        <f t="shared" si="38"/>
        <v>0.82261936715848472</v>
      </c>
      <c r="T252" s="6">
        <f t="shared" si="39"/>
        <v>0.67317249100070098</v>
      </c>
      <c r="U252" s="6">
        <f t="shared" si="40"/>
        <v>-0.20123288011729001</v>
      </c>
      <c r="V252" s="6">
        <f t="shared" si="41"/>
        <v>-6.0542801201140951E-2</v>
      </c>
      <c r="W252" s="6">
        <f t="shared" si="42"/>
        <v>0.19648034277529458</v>
      </c>
      <c r="X252" s="6">
        <f t="shared" si="43"/>
        <v>0.12395897493554346</v>
      </c>
    </row>
    <row r="253" spans="1:24" x14ac:dyDescent="0.35">
      <c r="A253" s="2" t="s">
        <v>253</v>
      </c>
      <c r="B253" s="2" t="s">
        <v>278</v>
      </c>
      <c r="C253" s="2">
        <v>12.42</v>
      </c>
      <c r="D253" s="2">
        <v>9.56</v>
      </c>
      <c r="E253" s="2">
        <v>13280</v>
      </c>
      <c r="F253" s="2">
        <v>76.5</v>
      </c>
      <c r="G253" s="2">
        <v>72.67</v>
      </c>
      <c r="H253" s="2">
        <v>91.56</v>
      </c>
      <c r="I253" s="2">
        <v>88.99</v>
      </c>
      <c r="J253" s="2">
        <v>8</v>
      </c>
      <c r="K253" s="2">
        <v>69.430000000000007</v>
      </c>
      <c r="L253" s="2">
        <v>101318686</v>
      </c>
      <c r="M253" s="2">
        <v>0</v>
      </c>
      <c r="O253" s="6">
        <f t="shared" si="35"/>
        <v>1.9707354576768584E-2</v>
      </c>
      <c r="P253" s="6">
        <f t="shared" si="35"/>
        <v>0.68950868390402453</v>
      </c>
      <c r="Q253" s="6">
        <f t="shared" si="36"/>
        <v>1.0886764858230307</v>
      </c>
      <c r="R253" s="6">
        <f t="shared" si="37"/>
        <v>1.0127134925832513</v>
      </c>
      <c r="S253" s="6">
        <f t="shared" si="38"/>
        <v>0.87488252335964767</v>
      </c>
      <c r="T253" s="6">
        <f t="shared" si="39"/>
        <v>0.77335848978590138</v>
      </c>
      <c r="U253" s="6">
        <f t="shared" si="40"/>
        <v>0.24565170519292129</v>
      </c>
      <c r="V253" s="6">
        <f t="shared" si="41"/>
        <v>1.1161942009200903</v>
      </c>
      <c r="W253" s="6">
        <f t="shared" si="42"/>
        <v>-5.3919065167046297E-3</v>
      </c>
      <c r="X253" s="6">
        <f t="shared" si="43"/>
        <v>1.6581159889102921</v>
      </c>
    </row>
    <row r="254" spans="1:24" x14ac:dyDescent="0.35">
      <c r="A254" s="2" t="s">
        <v>253</v>
      </c>
      <c r="B254" s="2" t="s">
        <v>279</v>
      </c>
      <c r="C254" s="2">
        <v>21.57</v>
      </c>
      <c r="D254" s="2">
        <v>5.96</v>
      </c>
      <c r="E254" s="2">
        <v>8673</v>
      </c>
      <c r="F254" s="2">
        <v>64.36</v>
      </c>
      <c r="G254" s="2">
        <v>70.22</v>
      </c>
      <c r="H254" s="2">
        <v>39.44</v>
      </c>
      <c r="I254" s="2">
        <v>97.39</v>
      </c>
      <c r="J254" s="2">
        <v>8.07</v>
      </c>
      <c r="K254" s="2">
        <v>68.66</v>
      </c>
      <c r="L254" s="2">
        <v>17152779</v>
      </c>
      <c r="M254" s="2">
        <v>1</v>
      </c>
      <c r="O254" s="6">
        <f t="shared" si="35"/>
        <v>1.2476572659440446</v>
      </c>
      <c r="P254" s="6">
        <f t="shared" si="35"/>
        <v>-1.5200906869109911</v>
      </c>
      <c r="Q254" s="6">
        <f t="shared" si="36"/>
        <v>-0.60850546407618789</v>
      </c>
      <c r="R254" s="6">
        <f t="shared" si="37"/>
        <v>-0.85765200512581274</v>
      </c>
      <c r="S254" s="6">
        <f t="shared" si="38"/>
        <v>0.16352289728828898</v>
      </c>
      <c r="T254" s="6">
        <f t="shared" si="39"/>
        <v>-2.0340040138079942</v>
      </c>
      <c r="U254" s="6">
        <f t="shared" si="40"/>
        <v>0.78114821255465916</v>
      </c>
      <c r="V254" s="6">
        <f t="shared" si="41"/>
        <v>1.1427656816131504</v>
      </c>
      <c r="W254" s="6">
        <f t="shared" si="42"/>
        <v>-0.12588929562898557</v>
      </c>
      <c r="X254" s="6">
        <f t="shared" si="43"/>
        <v>-0.10053216933804988</v>
      </c>
    </row>
    <row r="255" spans="1:24" x14ac:dyDescent="0.35">
      <c r="A255" s="2" t="s">
        <v>253</v>
      </c>
      <c r="B255" s="2" t="s">
        <v>280</v>
      </c>
      <c r="C255" s="2">
        <v>23.76</v>
      </c>
      <c r="D255" s="2">
        <v>4.8600000000000003</v>
      </c>
      <c r="E255" s="2">
        <v>8790</v>
      </c>
      <c r="F255" s="2">
        <v>62.8</v>
      </c>
      <c r="G255" s="2">
        <v>68.069999999999993</v>
      </c>
      <c r="H255" s="2">
        <v>76.22</v>
      </c>
      <c r="I255" s="2">
        <v>89.34</v>
      </c>
      <c r="J255" s="2">
        <v>3.45</v>
      </c>
      <c r="K255" s="2">
        <v>70.19</v>
      </c>
      <c r="L255" s="2">
        <v>13984568</v>
      </c>
      <c r="M255" s="2">
        <v>1</v>
      </c>
      <c r="O255" s="6">
        <f t="shared" si="35"/>
        <v>1.5415600316155569</v>
      </c>
      <c r="P255" s="6">
        <f t="shared" si="35"/>
        <v>-2.1952460502155788</v>
      </c>
      <c r="Q255" s="6">
        <f t="shared" si="36"/>
        <v>-0.56540359992637057</v>
      </c>
      <c r="R255" s="6">
        <f t="shared" si="37"/>
        <v>-1.097995512244935</v>
      </c>
      <c r="S255" s="6">
        <f t="shared" si="38"/>
        <v>-0.46073146844780222</v>
      </c>
      <c r="T255" s="6">
        <f t="shared" si="39"/>
        <v>-5.2906682990966757E-2</v>
      </c>
      <c r="U255" s="6">
        <f t="shared" si="40"/>
        <v>0.26796405966632758</v>
      </c>
      <c r="V255" s="6">
        <f t="shared" si="41"/>
        <v>-0.61095204412881376</v>
      </c>
      <c r="W255" s="6">
        <f t="shared" si="42"/>
        <v>0.11354058143827095</v>
      </c>
      <c r="X255" s="6">
        <f t="shared" si="43"/>
        <v>-0.16673199583183601</v>
      </c>
    </row>
    <row r="256" spans="1:24" x14ac:dyDescent="0.35">
      <c r="A256" s="2" t="s">
        <v>253</v>
      </c>
      <c r="B256" s="2" t="s">
        <v>281</v>
      </c>
      <c r="C256" s="2">
        <v>15.3</v>
      </c>
      <c r="D256" s="2">
        <v>6.7</v>
      </c>
      <c r="E256" s="2">
        <v>8804</v>
      </c>
      <c r="F256" s="2">
        <v>66.400000000000006</v>
      </c>
      <c r="G256" s="2">
        <v>67.67</v>
      </c>
      <c r="H256" s="2">
        <v>70.849999999999994</v>
      </c>
      <c r="I256" s="2">
        <v>89.15</v>
      </c>
      <c r="J256" s="2">
        <v>3.1</v>
      </c>
      <c r="K256" s="2">
        <v>65.88</v>
      </c>
      <c r="L256" s="2">
        <v>11496236</v>
      </c>
      <c r="M256" s="2">
        <v>0</v>
      </c>
      <c r="O256" s="6">
        <f t="shared" si="35"/>
        <v>0.40620962176122277</v>
      </c>
      <c r="P256" s="6">
        <f t="shared" si="35"/>
        <v>-1.0658952606879044</v>
      </c>
      <c r="Q256" s="6">
        <f t="shared" si="36"/>
        <v>-0.56024611190844364</v>
      </c>
      <c r="R256" s="6">
        <f t="shared" si="37"/>
        <v>-0.54335664966234465</v>
      </c>
      <c r="S256" s="6">
        <f t="shared" si="38"/>
        <v>-0.57687181556149081</v>
      </c>
      <c r="T256" s="6">
        <f t="shared" si="39"/>
        <v>-0.34215335690307785</v>
      </c>
      <c r="U256" s="6">
        <f t="shared" si="40"/>
        <v>0.25585163866647886</v>
      </c>
      <c r="V256" s="6">
        <f t="shared" si="41"/>
        <v>-0.74380944759411416</v>
      </c>
      <c r="W256" s="6">
        <f t="shared" si="42"/>
        <v>-0.56093181735903319</v>
      </c>
      <c r="X256" s="6">
        <f t="shared" si="43"/>
        <v>-0.21872573824953981</v>
      </c>
    </row>
    <row r="257" spans="1:24" x14ac:dyDescent="0.35">
      <c r="A257" s="2" t="s">
        <v>253</v>
      </c>
      <c r="B257" s="2" t="s">
        <v>282</v>
      </c>
      <c r="C257" s="2">
        <v>20.51</v>
      </c>
      <c r="D257" s="2">
        <v>5.92</v>
      </c>
      <c r="E257" s="2">
        <v>9000</v>
      </c>
      <c r="F257" s="2">
        <v>67.040000000000006</v>
      </c>
      <c r="G257" s="2">
        <v>71.56</v>
      </c>
      <c r="H257" s="2">
        <v>65.66</v>
      </c>
      <c r="I257" s="2">
        <v>98.29</v>
      </c>
      <c r="J257" s="2">
        <v>2.31</v>
      </c>
      <c r="K257" s="2">
        <v>75.63</v>
      </c>
      <c r="L257" s="2">
        <v>24161351</v>
      </c>
      <c r="M257" s="2">
        <v>1</v>
      </c>
      <c r="O257" s="6">
        <f t="shared" si="35"/>
        <v>1.1054029592719887</v>
      </c>
      <c r="P257" s="6">
        <f t="shared" si="35"/>
        <v>-1.5446417910311578</v>
      </c>
      <c r="Q257" s="6">
        <f t="shared" si="36"/>
        <v>-0.48804127965746763</v>
      </c>
      <c r="R257" s="6">
        <f t="shared" si="37"/>
        <v>-0.44475418520321763</v>
      </c>
      <c r="S257" s="6">
        <f t="shared" si="38"/>
        <v>0.5525930601191551</v>
      </c>
      <c r="T257" s="6">
        <f t="shared" si="39"/>
        <v>-0.62170461157791113</v>
      </c>
      <c r="U257" s="6">
        <f t="shared" si="40"/>
        <v>0.83852283834341712</v>
      </c>
      <c r="V257" s="6">
        <f t="shared" si="41"/>
        <v>-1.0436875868443634</v>
      </c>
      <c r="W257" s="6">
        <f t="shared" si="42"/>
        <v>0.96484681101073766</v>
      </c>
      <c r="X257" s="6">
        <f t="shared" si="43"/>
        <v>4.5912070129967716E-2</v>
      </c>
    </row>
    <row r="258" spans="1:24" x14ac:dyDescent="0.35">
      <c r="A258" s="2" t="s">
        <v>253</v>
      </c>
      <c r="B258" s="2" t="s">
        <v>283</v>
      </c>
      <c r="C258" s="2">
        <v>7.75</v>
      </c>
      <c r="D258" s="2">
        <v>10.15</v>
      </c>
      <c r="E258" s="2">
        <v>12359</v>
      </c>
      <c r="F258" s="2">
        <v>78.599999999999994</v>
      </c>
      <c r="G258" s="2">
        <v>74.040000000000006</v>
      </c>
      <c r="H258" s="2">
        <v>95.75</v>
      </c>
      <c r="I258" s="2">
        <v>98.95</v>
      </c>
      <c r="J258" s="2">
        <v>6.37</v>
      </c>
      <c r="K258" s="2">
        <v>67.349999999999994</v>
      </c>
      <c r="L258" s="2">
        <v>86485594</v>
      </c>
      <c r="M258" s="2">
        <v>0</v>
      </c>
      <c r="O258" s="6">
        <f t="shared" si="35"/>
        <v>-0.60701680783691214</v>
      </c>
      <c r="P258" s="6">
        <f t="shared" si="35"/>
        <v>1.0516374696764854</v>
      </c>
      <c r="Q258" s="6">
        <f t="shared" si="36"/>
        <v>0.7493874526436991</v>
      </c>
      <c r="R258" s="6">
        <f t="shared" si="37"/>
        <v>1.3362528290897606</v>
      </c>
      <c r="S258" s="6">
        <f t="shared" si="38"/>
        <v>1.2726632122240409</v>
      </c>
      <c r="T258" s="6">
        <f t="shared" si="39"/>
        <v>0.99904630425363761</v>
      </c>
      <c r="U258" s="6">
        <f t="shared" si="40"/>
        <v>0.88059756392183908</v>
      </c>
      <c r="V258" s="6">
        <f t="shared" si="41"/>
        <v>0.49745829335312031</v>
      </c>
      <c r="W258" s="6">
        <f t="shared" si="42"/>
        <v>-0.33089134723559105</v>
      </c>
      <c r="X258" s="6">
        <f t="shared" si="43"/>
        <v>1.3481782616672624</v>
      </c>
    </row>
    <row r="259" spans="1:24" x14ac:dyDescent="0.35">
      <c r="A259" s="2" t="s">
        <v>253</v>
      </c>
      <c r="B259" s="2" t="s">
        <v>284</v>
      </c>
      <c r="C259" s="2">
        <v>7.89</v>
      </c>
      <c r="D259" s="2">
        <v>10.35</v>
      </c>
      <c r="E259" s="2">
        <v>13816</v>
      </c>
      <c r="F259" s="2">
        <v>78.98</v>
      </c>
      <c r="G259" s="2">
        <v>73.86</v>
      </c>
      <c r="H259" s="2">
        <v>96.77</v>
      </c>
      <c r="I259" s="2">
        <v>97.08</v>
      </c>
      <c r="J259" s="2">
        <v>6.61</v>
      </c>
      <c r="K259" s="2">
        <v>69.959999999999994</v>
      </c>
      <c r="L259" s="2">
        <v>4924572</v>
      </c>
      <c r="M259" s="2">
        <v>0</v>
      </c>
      <c r="O259" s="6">
        <f t="shared" ref="O259:P322" si="44">(C259 - C$516) / C$517</f>
        <v>-0.58822850318211239</v>
      </c>
      <c r="P259" s="6">
        <f t="shared" si="44"/>
        <v>1.1743929902773191</v>
      </c>
      <c r="Q259" s="6">
        <f t="shared" ref="Q259:Q322" si="45">(E259 - E$516) / E$517</f>
        <v>1.2861345985093733</v>
      </c>
      <c r="R259" s="6">
        <f t="shared" ref="R259:R322" si="46">(F259 - F$516) / F$517</f>
        <v>1.3947980423623687</v>
      </c>
      <c r="S259" s="6">
        <f t="shared" ref="S259:S322" si="47">(G259 - G$516) / G$517</f>
        <v>1.220400056022878</v>
      </c>
      <c r="T259" s="6">
        <f t="shared" ref="T259:T322" si="48">(H259 - H$516) / H$517</f>
        <v>1.0539870132648763</v>
      </c>
      <c r="U259" s="6">
        <f t="shared" ref="U259:U322" si="49">(I259 - I$516) / I$517</f>
        <v>0.7613858414496425</v>
      </c>
      <c r="V259" s="6">
        <f t="shared" ref="V259:V322" si="50">(J259 - J$516) / J$517</f>
        <v>0.58856051287218347</v>
      </c>
      <c r="W259" s="6">
        <f t="shared" ref="W259:W322" si="51">(K259 - K$516) / K$517</f>
        <v>7.7547854820316758E-2</v>
      </c>
      <c r="X259" s="6">
        <f t="shared" ref="X259:X322" si="52">(L259 - L$516) / L$517</f>
        <v>-0.35604077710757687</v>
      </c>
    </row>
    <row r="260" spans="1:24" x14ac:dyDescent="0.35">
      <c r="A260" s="2" t="s">
        <v>253</v>
      </c>
      <c r="B260" s="2" t="s">
        <v>285</v>
      </c>
      <c r="C260" s="2">
        <v>4.62</v>
      </c>
      <c r="D260" s="2">
        <v>10.41</v>
      </c>
      <c r="E260" s="2">
        <v>16663</v>
      </c>
      <c r="F260" s="2">
        <v>82.04</v>
      </c>
      <c r="G260" s="2">
        <v>73.36</v>
      </c>
      <c r="H260" s="2">
        <v>87.08</v>
      </c>
      <c r="I260" s="2">
        <v>99.93</v>
      </c>
      <c r="J260" s="2">
        <v>9.65</v>
      </c>
      <c r="K260" s="2">
        <v>67.59</v>
      </c>
      <c r="L260" s="2">
        <v>53309702</v>
      </c>
      <c r="M260" s="2">
        <v>0</v>
      </c>
      <c r="O260" s="6">
        <f t="shared" si="44"/>
        <v>-1.0270696190477946</v>
      </c>
      <c r="P260" s="6">
        <f t="shared" si="44"/>
        <v>1.2112196464575697</v>
      </c>
      <c r="Q260" s="6">
        <f t="shared" si="45"/>
        <v>2.3349466261549292</v>
      </c>
      <c r="R260" s="6">
        <f t="shared" si="46"/>
        <v>1.8662410755575696</v>
      </c>
      <c r="S260" s="6">
        <f t="shared" si="47"/>
        <v>1.0752246221307642</v>
      </c>
      <c r="T260" s="6">
        <f t="shared" si="48"/>
        <v>0.53205027765810653</v>
      </c>
      <c r="U260" s="6">
        <f t="shared" si="49"/>
        <v>0.94307215644737541</v>
      </c>
      <c r="V260" s="6">
        <f t="shared" si="50"/>
        <v>1.742521960113649</v>
      </c>
      <c r="W260" s="6">
        <f t="shared" si="51"/>
        <v>-0.29333371946033371</v>
      </c>
      <c r="X260" s="6">
        <f t="shared" si="52"/>
        <v>0.65496739465853504</v>
      </c>
    </row>
    <row r="261" spans="1:24" x14ac:dyDescent="0.35">
      <c r="A261" s="2" t="s">
        <v>253</v>
      </c>
      <c r="B261" s="2" t="s">
        <v>286</v>
      </c>
      <c r="C261" s="2">
        <v>7.44</v>
      </c>
      <c r="D261" s="2">
        <v>8.9499999999999993</v>
      </c>
      <c r="E261" s="2">
        <v>12245</v>
      </c>
      <c r="F261" s="2">
        <v>73.66</v>
      </c>
      <c r="G261" s="2">
        <v>70.349999999999994</v>
      </c>
      <c r="H261" s="2">
        <v>89.77</v>
      </c>
      <c r="I261" s="2">
        <v>99.66</v>
      </c>
      <c r="J261" s="2">
        <v>6.55</v>
      </c>
      <c r="K261" s="2">
        <v>69.709999999999994</v>
      </c>
      <c r="L261" s="2">
        <v>8361142</v>
      </c>
      <c r="M261" s="2">
        <v>0</v>
      </c>
      <c r="O261" s="6">
        <f t="shared" si="44"/>
        <v>-0.64861948242968326</v>
      </c>
      <c r="P261" s="6">
        <f t="shared" si="44"/>
        <v>0.31510434607147958</v>
      </c>
      <c r="Q261" s="6">
        <f t="shared" si="45"/>
        <v>0.7073907644977232</v>
      </c>
      <c r="R261" s="6">
        <f t="shared" si="46"/>
        <v>0.57516505654587502</v>
      </c>
      <c r="S261" s="6">
        <f t="shared" si="47"/>
        <v>0.20126851010023725</v>
      </c>
      <c r="T261" s="6">
        <f t="shared" si="48"/>
        <v>0.67694293181519738</v>
      </c>
      <c r="U261" s="6">
        <f t="shared" si="49"/>
        <v>0.92585976871074749</v>
      </c>
      <c r="V261" s="6">
        <f t="shared" si="50"/>
        <v>0.56578495799241746</v>
      </c>
      <c r="W261" s="6">
        <f t="shared" si="51"/>
        <v>3.8425325887758537E-2</v>
      </c>
      <c r="X261" s="6">
        <f t="shared" si="52"/>
        <v>-0.28423358442572877</v>
      </c>
    </row>
    <row r="262" spans="1:24" x14ac:dyDescent="0.35">
      <c r="A262" s="2" t="s">
        <v>253</v>
      </c>
      <c r="B262" s="2" t="s">
        <v>287</v>
      </c>
      <c r="C262" s="2">
        <v>6.88</v>
      </c>
      <c r="D262" s="2">
        <v>9.33</v>
      </c>
      <c r="E262" s="2">
        <v>13354</v>
      </c>
      <c r="F262" s="2">
        <v>75.62</v>
      </c>
      <c r="G262" s="2">
        <v>71.599999999999994</v>
      </c>
      <c r="H262" s="2">
        <v>92.1</v>
      </c>
      <c r="I262" s="2">
        <v>99.65</v>
      </c>
      <c r="J262" s="2">
        <v>6.23</v>
      </c>
      <c r="K262" s="2">
        <v>71.66</v>
      </c>
      <c r="L262" s="2">
        <v>5914585</v>
      </c>
      <c r="M262" s="2">
        <v>0</v>
      </c>
      <c r="O262" s="6">
        <f t="shared" si="44"/>
        <v>-0.72377270104888269</v>
      </c>
      <c r="P262" s="6">
        <f t="shared" si="44"/>
        <v>0.54833983521306495</v>
      </c>
      <c r="Q262" s="6">
        <f t="shared" si="45"/>
        <v>1.1159374939177868</v>
      </c>
      <c r="R262" s="6">
        <f t="shared" si="46"/>
        <v>0.87713510395195238</v>
      </c>
      <c r="S262" s="6">
        <f t="shared" si="47"/>
        <v>0.56420709483052189</v>
      </c>
      <c r="T262" s="6">
        <f t="shared" si="48"/>
        <v>0.80244474749773331</v>
      </c>
      <c r="U262" s="6">
        <f t="shared" si="49"/>
        <v>0.92522227286865066</v>
      </c>
      <c r="V262" s="6">
        <f t="shared" si="50"/>
        <v>0.44431533196700029</v>
      </c>
      <c r="W262" s="6">
        <f t="shared" si="51"/>
        <v>0.34358105156171315</v>
      </c>
      <c r="X262" s="6">
        <f t="shared" si="52"/>
        <v>-0.33535443745829446</v>
      </c>
    </row>
    <row r="263" spans="1:24" x14ac:dyDescent="0.35">
      <c r="A263" s="2" t="s">
        <v>253</v>
      </c>
      <c r="B263" s="2" t="s">
        <v>288</v>
      </c>
      <c r="C263" s="2">
        <v>6.39</v>
      </c>
      <c r="D263" s="2">
        <v>10.47</v>
      </c>
      <c r="E263" s="2">
        <v>13610</v>
      </c>
      <c r="F263" s="2">
        <v>78.430000000000007</v>
      </c>
      <c r="G263" s="2">
        <v>73.39</v>
      </c>
      <c r="H263" s="2">
        <v>95.49</v>
      </c>
      <c r="I263" s="2">
        <v>99.63</v>
      </c>
      <c r="J263" s="2">
        <v>6.87</v>
      </c>
      <c r="K263" s="2">
        <v>67.09</v>
      </c>
      <c r="L263" s="2">
        <v>4976490</v>
      </c>
      <c r="M263" s="2">
        <v>0</v>
      </c>
      <c r="O263" s="6">
        <f t="shared" si="44"/>
        <v>-0.7895317673406822</v>
      </c>
      <c r="P263" s="6">
        <f t="shared" si="44"/>
        <v>1.2480463026378201</v>
      </c>
      <c r="Q263" s="6">
        <f t="shared" si="45"/>
        <v>1.2102458462455923</v>
      </c>
      <c r="R263" s="6">
        <f t="shared" si="46"/>
        <v>1.310061549467807</v>
      </c>
      <c r="S263" s="6">
        <f t="shared" si="47"/>
        <v>1.0839351481642914</v>
      </c>
      <c r="T263" s="6">
        <f t="shared" si="48"/>
        <v>0.98504180979979217</v>
      </c>
      <c r="U263" s="6">
        <f t="shared" si="49"/>
        <v>0.92394728118445546</v>
      </c>
      <c r="V263" s="6">
        <f t="shared" si="50"/>
        <v>0.68725458401783501</v>
      </c>
      <c r="W263" s="6">
        <f t="shared" si="51"/>
        <v>-0.37157877732545014</v>
      </c>
      <c r="X263" s="6">
        <f t="shared" si="52"/>
        <v>-0.35495594955287663</v>
      </c>
    </row>
    <row r="264" spans="1:24" x14ac:dyDescent="0.35">
      <c r="A264" s="2" t="s">
        <v>253</v>
      </c>
      <c r="B264" s="2" t="s">
        <v>289</v>
      </c>
      <c r="C264" s="2">
        <v>5.09</v>
      </c>
      <c r="D264" s="2">
        <v>11.37</v>
      </c>
      <c r="E264" s="2">
        <v>16095</v>
      </c>
      <c r="F264" s="2">
        <v>81.25</v>
      </c>
      <c r="G264" s="2">
        <v>72.83</v>
      </c>
      <c r="H264" s="2">
        <v>97.31</v>
      </c>
      <c r="I264" s="2">
        <v>99.53</v>
      </c>
      <c r="J264" s="2">
        <v>8.15</v>
      </c>
      <c r="K264" s="2">
        <v>66.87</v>
      </c>
      <c r="L264" s="2">
        <v>10748101</v>
      </c>
      <c r="M264" s="2">
        <v>0</v>
      </c>
      <c r="O264" s="6">
        <f t="shared" si="44"/>
        <v>-0.96399459627810935</v>
      </c>
      <c r="P264" s="6">
        <f t="shared" si="44"/>
        <v>1.8004461453415732</v>
      </c>
      <c r="Q264" s="6">
        <f t="shared" si="45"/>
        <v>2.1256999694276106</v>
      </c>
      <c r="R264" s="6">
        <f t="shared" si="46"/>
        <v>1.7445286584908339</v>
      </c>
      <c r="S264" s="6">
        <f t="shared" si="47"/>
        <v>0.92133866220512306</v>
      </c>
      <c r="T264" s="6">
        <f t="shared" si="48"/>
        <v>1.083073270976709</v>
      </c>
      <c r="U264" s="6">
        <f t="shared" si="49"/>
        <v>0.91757232276348277</v>
      </c>
      <c r="V264" s="6">
        <f t="shared" si="50"/>
        <v>1.1731330881195048</v>
      </c>
      <c r="W264" s="6">
        <f t="shared" si="51"/>
        <v>-0.40600660278610123</v>
      </c>
      <c r="X264" s="6">
        <f t="shared" si="52"/>
        <v>-0.23435803268760869</v>
      </c>
    </row>
    <row r="265" spans="1:24" x14ac:dyDescent="0.35">
      <c r="A265" s="2" t="s">
        <v>253</v>
      </c>
      <c r="B265" s="2" t="s">
        <v>290</v>
      </c>
      <c r="C265" s="2">
        <v>5.23</v>
      </c>
      <c r="D265" s="2">
        <v>10.5</v>
      </c>
      <c r="E265" s="2">
        <v>17862</v>
      </c>
      <c r="F265" s="2">
        <v>82.31</v>
      </c>
      <c r="G265" s="2">
        <v>74.180000000000007</v>
      </c>
      <c r="H265" s="2">
        <v>95.2</v>
      </c>
      <c r="I265" s="2">
        <v>98.06</v>
      </c>
      <c r="J265" s="2">
        <v>9.68</v>
      </c>
      <c r="K265" s="2">
        <v>67.3</v>
      </c>
      <c r="L265" s="2">
        <v>407726799</v>
      </c>
      <c r="M265" s="2">
        <v>0</v>
      </c>
      <c r="O265" s="6">
        <f t="shared" si="44"/>
        <v>-0.94520629162330949</v>
      </c>
      <c r="P265" s="6">
        <f t="shared" si="44"/>
        <v>1.266459630727945</v>
      </c>
      <c r="Q265" s="6">
        <f t="shared" si="45"/>
        <v>2.7766486356902367</v>
      </c>
      <c r="R265" s="6">
        <f t="shared" si="46"/>
        <v>1.9078389902512631</v>
      </c>
      <c r="S265" s="6">
        <f t="shared" si="47"/>
        <v>1.313312333713833</v>
      </c>
      <c r="T265" s="6">
        <f t="shared" si="48"/>
        <v>0.96942141213973443</v>
      </c>
      <c r="U265" s="6">
        <f t="shared" si="49"/>
        <v>0.82386043397517872</v>
      </c>
      <c r="V265" s="6">
        <f t="shared" si="50"/>
        <v>1.7539097375535317</v>
      </c>
      <c r="W265" s="6">
        <f t="shared" si="51"/>
        <v>-0.33871585302210222</v>
      </c>
      <c r="X265" s="6">
        <f t="shared" si="52"/>
        <v>8.0605190854491298</v>
      </c>
    </row>
    <row r="266" spans="1:24" x14ac:dyDescent="0.35">
      <c r="A266" s="2" t="s">
        <v>253</v>
      </c>
      <c r="B266" s="2" t="s">
        <v>291</v>
      </c>
      <c r="C266" s="2">
        <v>4.09</v>
      </c>
      <c r="D266" s="2">
        <v>9.31</v>
      </c>
      <c r="E266" s="2">
        <v>12887</v>
      </c>
      <c r="F266" s="2">
        <v>76.28</v>
      </c>
      <c r="G266" s="2">
        <v>72.650000000000006</v>
      </c>
      <c r="H266" s="2">
        <v>95.57</v>
      </c>
      <c r="I266" s="2">
        <v>100</v>
      </c>
      <c r="J266" s="2">
        <v>6.57</v>
      </c>
      <c r="K266" s="2">
        <v>73.739999999999995</v>
      </c>
      <c r="L266" s="2">
        <v>11471435</v>
      </c>
      <c r="M266" s="2">
        <v>0</v>
      </c>
      <c r="O266" s="6">
        <f t="shared" si="44"/>
        <v>-1.0981967723838226</v>
      </c>
      <c r="P266" s="6">
        <f t="shared" si="44"/>
        <v>0.53606428315298182</v>
      </c>
      <c r="Q266" s="6">
        <f t="shared" si="45"/>
        <v>0.94389842931979795</v>
      </c>
      <c r="R266" s="6">
        <f t="shared" si="46"/>
        <v>0.97881889542542655</v>
      </c>
      <c r="S266" s="6">
        <f t="shared" si="47"/>
        <v>0.86907550600396422</v>
      </c>
      <c r="T266" s="6">
        <f t="shared" si="48"/>
        <v>0.98935088501635982</v>
      </c>
      <c r="U266" s="6">
        <f t="shared" si="49"/>
        <v>0.94753462734205607</v>
      </c>
      <c r="V266" s="6">
        <f t="shared" si="50"/>
        <v>0.57337680961900628</v>
      </c>
      <c r="W266" s="6">
        <f t="shared" si="51"/>
        <v>0.66908049228059729</v>
      </c>
      <c r="X266" s="6">
        <f t="shared" si="52"/>
        <v>-0.21924395559581894</v>
      </c>
    </row>
    <row r="267" spans="1:24" x14ac:dyDescent="0.35">
      <c r="A267" s="2" t="s">
        <v>292</v>
      </c>
      <c r="B267" s="2" t="s">
        <v>293</v>
      </c>
      <c r="C267" s="2">
        <v>10.72</v>
      </c>
      <c r="D267" s="2">
        <v>7.11</v>
      </c>
      <c r="E267" s="2">
        <v>8635</v>
      </c>
      <c r="F267" s="2">
        <v>65.17</v>
      </c>
      <c r="G267" s="2">
        <v>64.790000000000006</v>
      </c>
      <c r="H267" s="2">
        <v>49.11</v>
      </c>
      <c r="I267" s="2">
        <v>82.01</v>
      </c>
      <c r="J267" s="2">
        <v>7.7</v>
      </c>
      <c r="K267" s="2">
        <v>62.32</v>
      </c>
      <c r="L267" s="2">
        <v>20127757</v>
      </c>
      <c r="M267" s="2">
        <v>0</v>
      </c>
      <c r="O267" s="6">
        <f t="shared" si="44"/>
        <v>-0.20843634480294382</v>
      </c>
      <c r="P267" s="6">
        <f t="shared" si="44"/>
        <v>-0.81424644345619435</v>
      </c>
      <c r="Q267" s="6">
        <f t="shared" si="45"/>
        <v>-0.62250436012484656</v>
      </c>
      <c r="R267" s="6">
        <f t="shared" si="46"/>
        <v>-0.73285826104472984</v>
      </c>
      <c r="S267" s="6">
        <f t="shared" si="47"/>
        <v>-1.4130823147800653</v>
      </c>
      <c r="T267" s="6">
        <f t="shared" si="48"/>
        <v>-1.5131445470053662</v>
      </c>
      <c r="U267" s="6">
        <f t="shared" si="49"/>
        <v>-0.19932039259099801</v>
      </c>
      <c r="V267" s="6">
        <f t="shared" si="50"/>
        <v>1.0023164265212616</v>
      </c>
      <c r="W267" s="6">
        <f t="shared" si="51"/>
        <v>-1.1180366293586617</v>
      </c>
      <c r="X267" s="6">
        <f t="shared" si="52"/>
        <v>-3.8369949895332593E-2</v>
      </c>
    </row>
    <row r="268" spans="1:24" x14ac:dyDescent="0.35">
      <c r="A268" s="2" t="s">
        <v>292</v>
      </c>
      <c r="B268" s="2" t="s">
        <v>294</v>
      </c>
      <c r="C268" s="2">
        <v>10.29</v>
      </c>
      <c r="D268" s="2">
        <v>6.41</v>
      </c>
      <c r="E268" s="2">
        <v>8724</v>
      </c>
      <c r="F268" s="2">
        <v>64.03</v>
      </c>
      <c r="G268" s="2">
        <v>67.33</v>
      </c>
      <c r="H268" s="2">
        <v>56.82</v>
      </c>
      <c r="I268" s="2">
        <v>73.319999999999993</v>
      </c>
      <c r="J268" s="2">
        <v>7.86</v>
      </c>
      <c r="K268" s="2">
        <v>66.75</v>
      </c>
      <c r="L268" s="2">
        <v>21245043</v>
      </c>
      <c r="M268" s="2">
        <v>0</v>
      </c>
      <c r="O268" s="6">
        <f t="shared" si="44"/>
        <v>-0.26614328052840069</v>
      </c>
      <c r="P268" s="6">
        <f t="shared" si="44"/>
        <v>-1.243890765559114</v>
      </c>
      <c r="Q268" s="6">
        <f t="shared" si="45"/>
        <v>-0.58971747201088287</v>
      </c>
      <c r="R268" s="6">
        <f t="shared" si="46"/>
        <v>-0.90849390086254977</v>
      </c>
      <c r="S268" s="6">
        <f t="shared" si="47"/>
        <v>-0.67559111060812926</v>
      </c>
      <c r="T268" s="6">
        <f t="shared" si="48"/>
        <v>-1.0978574230086484</v>
      </c>
      <c r="U268" s="6">
        <f t="shared" si="49"/>
        <v>-0.75330427937355815</v>
      </c>
      <c r="V268" s="6">
        <f t="shared" si="50"/>
        <v>1.0630512395339704</v>
      </c>
      <c r="W268" s="6">
        <f t="shared" si="51"/>
        <v>-0.42478541667372988</v>
      </c>
      <c r="X268" s="6">
        <f t="shared" si="52"/>
        <v>-1.5024238595189919E-2</v>
      </c>
    </row>
    <row r="269" spans="1:24" x14ac:dyDescent="0.35">
      <c r="A269" s="2" t="s">
        <v>292</v>
      </c>
      <c r="B269" s="2" t="s">
        <v>295</v>
      </c>
      <c r="C269" s="2">
        <v>7.12</v>
      </c>
      <c r="D269" s="2">
        <v>8.61</v>
      </c>
      <c r="E269" s="2">
        <v>12273</v>
      </c>
      <c r="F269" s="2">
        <v>72.290000000000006</v>
      </c>
      <c r="G269" s="2">
        <v>69.930000000000007</v>
      </c>
      <c r="H269" s="2">
        <v>85.89</v>
      </c>
      <c r="I269" s="2">
        <v>97.97</v>
      </c>
      <c r="J269" s="2">
        <v>9.06</v>
      </c>
      <c r="K269" s="2">
        <v>63.94</v>
      </c>
      <c r="L269" s="2">
        <v>97809902</v>
      </c>
      <c r="M269" s="2">
        <v>0</v>
      </c>
      <c r="O269" s="6">
        <f t="shared" si="44"/>
        <v>-0.69156417878351151</v>
      </c>
      <c r="P269" s="6">
        <f t="shared" si="44"/>
        <v>0.10641996105006153</v>
      </c>
      <c r="Q269" s="6">
        <f t="shared" si="45"/>
        <v>0.71770574053357694</v>
      </c>
      <c r="R269" s="6">
        <f t="shared" si="46"/>
        <v>0.36409415606305789</v>
      </c>
      <c r="S269" s="6">
        <f t="shared" si="47"/>
        <v>7.9321145630865258E-2</v>
      </c>
      <c r="T269" s="6">
        <f t="shared" si="48"/>
        <v>0.46795278381166128</v>
      </c>
      <c r="U269" s="6">
        <f t="shared" si="49"/>
        <v>0.81812297139630275</v>
      </c>
      <c r="V269" s="6">
        <f t="shared" si="50"/>
        <v>1.5185623371292858</v>
      </c>
      <c r="W269" s="6">
        <f t="shared" si="51"/>
        <v>-0.86452264187568473</v>
      </c>
      <c r="X269" s="6">
        <f t="shared" si="52"/>
        <v>1.5847998833844377</v>
      </c>
    </row>
    <row r="270" spans="1:24" x14ac:dyDescent="0.35">
      <c r="A270" s="2" t="s">
        <v>292</v>
      </c>
      <c r="B270" s="2" t="s">
        <v>296</v>
      </c>
      <c r="C270" s="2">
        <v>5.49</v>
      </c>
      <c r="D270" s="2">
        <v>7.51</v>
      </c>
      <c r="E270" s="2">
        <v>10713</v>
      </c>
      <c r="F270" s="2">
        <v>66.819999999999993</v>
      </c>
      <c r="G270" s="2">
        <v>64.760000000000005</v>
      </c>
      <c r="H270" s="2">
        <v>80.34</v>
      </c>
      <c r="I270" s="2">
        <v>92.33</v>
      </c>
      <c r="J270" s="2">
        <v>10.58</v>
      </c>
      <c r="K270" s="2">
        <v>63.86</v>
      </c>
      <c r="L270" s="2">
        <v>54992522</v>
      </c>
      <c r="M270" s="2">
        <v>0</v>
      </c>
      <c r="O270" s="6">
        <f t="shared" si="44"/>
        <v>-0.91031372583582404</v>
      </c>
      <c r="P270" s="6">
        <f t="shared" si="44"/>
        <v>-0.56873540225452623</v>
      </c>
      <c r="Q270" s="6">
        <f t="shared" si="45"/>
        <v>0.14301421853601215</v>
      </c>
      <c r="R270" s="6">
        <f t="shared" si="46"/>
        <v>-0.47864878236104458</v>
      </c>
      <c r="S270" s="6">
        <f t="shared" si="47"/>
        <v>-1.4217928408135925</v>
      </c>
      <c r="T270" s="6">
        <f t="shared" si="48"/>
        <v>0.16901069066227312</v>
      </c>
      <c r="U270" s="6">
        <f t="shared" si="49"/>
        <v>0.45857531645342187</v>
      </c>
      <c r="V270" s="6">
        <f t="shared" si="50"/>
        <v>2.0955430607500185</v>
      </c>
      <c r="W270" s="6">
        <f t="shared" si="51"/>
        <v>-0.87704185113410305</v>
      </c>
      <c r="X270" s="6">
        <f t="shared" si="52"/>
        <v>0.69012994917913772</v>
      </c>
    </row>
    <row r="271" spans="1:24" x14ac:dyDescent="0.35">
      <c r="A271" s="2" t="s">
        <v>292</v>
      </c>
      <c r="B271" s="2" t="s">
        <v>297</v>
      </c>
      <c r="C271" s="2">
        <v>5.93</v>
      </c>
      <c r="D271" s="2">
        <v>10.83</v>
      </c>
      <c r="E271" s="2">
        <v>14575</v>
      </c>
      <c r="F271" s="2">
        <v>78.5</v>
      </c>
      <c r="G271" s="2">
        <v>71.599999999999994</v>
      </c>
      <c r="H271" s="2">
        <v>94.94</v>
      </c>
      <c r="I271" s="2">
        <v>98</v>
      </c>
      <c r="J271" s="2">
        <v>9.07</v>
      </c>
      <c r="K271" s="2">
        <v>64.52</v>
      </c>
      <c r="L271" s="2">
        <v>106705227</v>
      </c>
      <c r="M271" s="2">
        <v>0</v>
      </c>
      <c r="O271" s="6">
        <f t="shared" si="44"/>
        <v>-0.85126476834931031</v>
      </c>
      <c r="P271" s="6">
        <f t="shared" si="44"/>
        <v>1.4690062397193213</v>
      </c>
      <c r="Q271" s="6">
        <f t="shared" si="45"/>
        <v>1.5657441274812653</v>
      </c>
      <c r="R271" s="6">
        <f t="shared" si="46"/>
        <v>1.3208461940180229</v>
      </c>
      <c r="S271" s="6">
        <f t="shared" si="47"/>
        <v>0.56420709483052189</v>
      </c>
      <c r="T271" s="6">
        <f t="shared" si="48"/>
        <v>0.95541691768588888</v>
      </c>
      <c r="U271" s="6">
        <f t="shared" si="49"/>
        <v>0.82003545892259477</v>
      </c>
      <c r="V271" s="6">
        <f t="shared" si="50"/>
        <v>1.52235826294258</v>
      </c>
      <c r="W271" s="6">
        <f t="shared" si="51"/>
        <v>-0.77375837475214992</v>
      </c>
      <c r="X271" s="6">
        <f t="shared" si="52"/>
        <v>1.770667861118824</v>
      </c>
    </row>
    <row r="272" spans="1:24" x14ac:dyDescent="0.35">
      <c r="A272" s="2" t="s">
        <v>292</v>
      </c>
      <c r="B272" s="2" t="s">
        <v>298</v>
      </c>
      <c r="C272" s="2">
        <v>4.24</v>
      </c>
      <c r="D272" s="2">
        <v>10.08</v>
      </c>
      <c r="E272" s="2">
        <v>13041</v>
      </c>
      <c r="F272" s="2">
        <v>73.349999999999994</v>
      </c>
      <c r="G272" s="2">
        <v>66.69</v>
      </c>
      <c r="H272" s="2">
        <v>97.07</v>
      </c>
      <c r="I272" s="2">
        <v>98.72</v>
      </c>
      <c r="J272" s="2">
        <v>10.130000000000001</v>
      </c>
      <c r="K272" s="2">
        <v>61.37</v>
      </c>
      <c r="L272" s="2">
        <v>77071368</v>
      </c>
      <c r="M272" s="2">
        <v>0</v>
      </c>
      <c r="O272" s="6">
        <f t="shared" si="44"/>
        <v>-1.0780664459679656</v>
      </c>
      <c r="P272" s="6">
        <f t="shared" si="44"/>
        <v>1.0086730374661932</v>
      </c>
      <c r="Q272" s="6">
        <f t="shared" si="45"/>
        <v>1.0006307975169935</v>
      </c>
      <c r="R272" s="6">
        <f t="shared" si="46"/>
        <v>0.52740448782348504</v>
      </c>
      <c r="S272" s="6">
        <f t="shared" si="47"/>
        <v>-0.86141566599003516</v>
      </c>
      <c r="T272" s="6">
        <f t="shared" si="48"/>
        <v>1.0701460453270053</v>
      </c>
      <c r="U272" s="6">
        <f t="shared" si="49"/>
        <v>0.86593515955360079</v>
      </c>
      <c r="V272" s="6">
        <f t="shared" si="50"/>
        <v>1.9247263991517753</v>
      </c>
      <c r="W272" s="6">
        <f t="shared" si="51"/>
        <v>-1.2667022393023832</v>
      </c>
      <c r="X272" s="6">
        <f t="shared" si="52"/>
        <v>1.1514678380959502</v>
      </c>
    </row>
    <row r="273" spans="1:24" x14ac:dyDescent="0.35">
      <c r="A273" s="2" t="s">
        <v>292</v>
      </c>
      <c r="B273" s="2" t="s">
        <v>299</v>
      </c>
      <c r="C273" s="2">
        <v>6.79</v>
      </c>
      <c r="D273" s="2">
        <v>8.89</v>
      </c>
      <c r="E273" s="2">
        <v>13281</v>
      </c>
      <c r="F273" s="2">
        <v>72.44</v>
      </c>
      <c r="G273" s="2">
        <v>68.12</v>
      </c>
      <c r="H273" s="2">
        <v>90.76</v>
      </c>
      <c r="I273" s="2">
        <v>98.38</v>
      </c>
      <c r="J273" s="2">
        <v>9.41</v>
      </c>
      <c r="K273" s="2">
        <v>62.16</v>
      </c>
      <c r="L273" s="2">
        <v>23374085</v>
      </c>
      <c r="M273" s="2">
        <v>0</v>
      </c>
      <c r="O273" s="6">
        <f t="shared" si="44"/>
        <v>-0.73585089689839689</v>
      </c>
      <c r="P273" s="6">
        <f t="shared" si="44"/>
        <v>0.27827768989123008</v>
      </c>
      <c r="Q273" s="6">
        <f t="shared" si="45"/>
        <v>1.0890448778243111</v>
      </c>
      <c r="R273" s="6">
        <f t="shared" si="46"/>
        <v>0.38720410867066446</v>
      </c>
      <c r="S273" s="6">
        <f t="shared" si="47"/>
        <v>-0.44621392505858753</v>
      </c>
      <c r="T273" s="6">
        <f t="shared" si="48"/>
        <v>0.7302677376202239</v>
      </c>
      <c r="U273" s="6">
        <f t="shared" si="49"/>
        <v>0.8442603009222921</v>
      </c>
      <c r="V273" s="6">
        <f t="shared" si="50"/>
        <v>1.6514197405945858</v>
      </c>
      <c r="W273" s="6">
        <f t="shared" si="51"/>
        <v>-1.1430750478754994</v>
      </c>
      <c r="X273" s="6">
        <f t="shared" si="52"/>
        <v>2.9462132734870916E-2</v>
      </c>
    </row>
    <row r="274" spans="1:24" x14ac:dyDescent="0.35">
      <c r="A274" s="2" t="s">
        <v>292</v>
      </c>
      <c r="B274" s="2" t="s">
        <v>300</v>
      </c>
      <c r="C274" s="2">
        <v>2.57</v>
      </c>
      <c r="D274" s="2">
        <v>11.82</v>
      </c>
      <c r="E274" s="2">
        <v>15751</v>
      </c>
      <c r="F274" s="2">
        <v>81.599999999999994</v>
      </c>
      <c r="G274" s="2">
        <v>72.47</v>
      </c>
      <c r="H274" s="2">
        <v>98.84</v>
      </c>
      <c r="I274" s="2">
        <v>99.22</v>
      </c>
      <c r="J274" s="2">
        <v>8.6</v>
      </c>
      <c r="K274" s="2">
        <v>62.56</v>
      </c>
      <c r="L274" s="2">
        <v>62364158</v>
      </c>
      <c r="M274" s="2">
        <v>0</v>
      </c>
      <c r="O274" s="6">
        <f t="shared" si="44"/>
        <v>-1.3021840800645066</v>
      </c>
      <c r="P274" s="6">
        <f t="shared" si="44"/>
        <v>2.0766460666934505</v>
      </c>
      <c r="Q274" s="6">
        <f t="shared" si="45"/>
        <v>1.998973120987122</v>
      </c>
      <c r="R274" s="6">
        <f t="shared" si="46"/>
        <v>1.7984518812419181</v>
      </c>
      <c r="S274" s="6">
        <f t="shared" si="47"/>
        <v>0.81681234980280126</v>
      </c>
      <c r="T274" s="6">
        <f t="shared" si="48"/>
        <v>1.1654843344935675</v>
      </c>
      <c r="U274" s="6">
        <f t="shared" si="49"/>
        <v>0.89780995165846611</v>
      </c>
      <c r="V274" s="6">
        <f t="shared" si="50"/>
        <v>1.3439497497177479</v>
      </c>
      <c r="W274" s="6">
        <f t="shared" si="51"/>
        <v>-1.0804790015834054</v>
      </c>
      <c r="X274" s="6">
        <f t="shared" si="52"/>
        <v>0.84416041753347004</v>
      </c>
    </row>
    <row r="275" spans="1:24" x14ac:dyDescent="0.35">
      <c r="A275" s="2" t="s">
        <v>301</v>
      </c>
      <c r="B275" s="2" t="s">
        <v>302</v>
      </c>
      <c r="C275" s="2">
        <v>5.0599999999999996</v>
      </c>
      <c r="D275" s="2">
        <v>8.35</v>
      </c>
      <c r="E275" s="2">
        <v>11675</v>
      </c>
      <c r="F275" s="2">
        <v>72.75</v>
      </c>
      <c r="G275" s="2">
        <v>72.459999999999994</v>
      </c>
      <c r="H275" s="2">
        <v>96.24</v>
      </c>
      <c r="I275" s="2">
        <v>92.11</v>
      </c>
      <c r="J275" s="2">
        <v>4.1100000000000003</v>
      </c>
      <c r="K275" s="2">
        <v>81.260000000000005</v>
      </c>
      <c r="L275" s="2">
        <v>8892801</v>
      </c>
      <c r="M275" s="2">
        <v>0</v>
      </c>
      <c r="O275" s="6">
        <f t="shared" si="44"/>
        <v>-0.96802066156128086</v>
      </c>
      <c r="P275" s="6">
        <f t="shared" si="44"/>
        <v>-5.3162215731022769E-2</v>
      </c>
      <c r="Q275" s="6">
        <f t="shared" si="45"/>
        <v>0.49740732376784375</v>
      </c>
      <c r="R275" s="6">
        <f t="shared" si="46"/>
        <v>0.43496467739305439</v>
      </c>
      <c r="S275" s="6">
        <f t="shared" si="47"/>
        <v>0.81390884112495754</v>
      </c>
      <c r="T275" s="6">
        <f t="shared" si="48"/>
        <v>1.0254393899551149</v>
      </c>
      <c r="U275" s="6">
        <f t="shared" si="49"/>
        <v>0.44455040792728123</v>
      </c>
      <c r="V275" s="6">
        <f t="shared" si="50"/>
        <v>-0.36042094045139028</v>
      </c>
      <c r="W275" s="6">
        <f t="shared" si="51"/>
        <v>1.8458861625719505</v>
      </c>
      <c r="X275" s="6">
        <f t="shared" si="52"/>
        <v>-0.27312455994665846</v>
      </c>
    </row>
    <row r="276" spans="1:24" x14ac:dyDescent="0.35">
      <c r="A276" s="2" t="s">
        <v>301</v>
      </c>
      <c r="B276" s="2" t="s">
        <v>303</v>
      </c>
      <c r="C276" s="2">
        <v>5.12</v>
      </c>
      <c r="D276" s="2">
        <v>9.14</v>
      </c>
      <c r="E276" s="2">
        <v>14326</v>
      </c>
      <c r="F276" s="2">
        <v>76.45</v>
      </c>
      <c r="G276" s="2">
        <v>73.75</v>
      </c>
      <c r="H276" s="2">
        <v>98.34</v>
      </c>
      <c r="I276" s="2">
        <v>98.15</v>
      </c>
      <c r="J276" s="2">
        <v>3.94</v>
      </c>
      <c r="K276" s="2">
        <v>74.98</v>
      </c>
      <c r="L276" s="2">
        <v>14516578</v>
      </c>
      <c r="M276" s="2">
        <v>0</v>
      </c>
      <c r="O276" s="6">
        <f t="shared" si="44"/>
        <v>-0.95996853099493795</v>
      </c>
      <c r="P276" s="6">
        <f t="shared" si="44"/>
        <v>0.43172209064227285</v>
      </c>
      <c r="Q276" s="6">
        <f t="shared" si="45"/>
        <v>1.4740145191624234</v>
      </c>
      <c r="R276" s="6">
        <f t="shared" si="46"/>
        <v>1.0050101750473823</v>
      </c>
      <c r="S276" s="6">
        <f t="shared" si="47"/>
        <v>1.1884614605666131</v>
      </c>
      <c r="T276" s="6">
        <f t="shared" si="48"/>
        <v>1.1385526143900191</v>
      </c>
      <c r="U276" s="6">
        <f t="shared" si="49"/>
        <v>0.82959789655405469</v>
      </c>
      <c r="V276" s="6">
        <f t="shared" si="50"/>
        <v>-0.42495167927739341</v>
      </c>
      <c r="W276" s="6">
        <f t="shared" si="51"/>
        <v>0.86312823578608755</v>
      </c>
      <c r="X276" s="6">
        <f t="shared" si="52"/>
        <v>-0.15561563720137889</v>
      </c>
    </row>
    <row r="277" spans="1:24" x14ac:dyDescent="0.35">
      <c r="A277" s="2" t="s">
        <v>301</v>
      </c>
      <c r="B277" s="2" t="s">
        <v>304</v>
      </c>
      <c r="C277" s="2">
        <v>2.62</v>
      </c>
      <c r="D277" s="2">
        <v>10.62</v>
      </c>
      <c r="E277" s="2">
        <v>17327</v>
      </c>
      <c r="F277" s="2">
        <v>81.83</v>
      </c>
      <c r="G277" s="2">
        <v>75.180000000000007</v>
      </c>
      <c r="H277" s="2">
        <v>99.59</v>
      </c>
      <c r="I277" s="2">
        <v>100</v>
      </c>
      <c r="J277" s="2">
        <v>6.93</v>
      </c>
      <c r="K277" s="2">
        <v>72.52</v>
      </c>
      <c r="L277" s="2">
        <v>29049519</v>
      </c>
      <c r="M277" s="2">
        <v>0</v>
      </c>
      <c r="O277" s="6">
        <f t="shared" si="44"/>
        <v>-1.2954739712592209</v>
      </c>
      <c r="P277" s="6">
        <f t="shared" si="44"/>
        <v>1.3401129430884449</v>
      </c>
      <c r="Q277" s="6">
        <f t="shared" si="45"/>
        <v>2.5795589150051748</v>
      </c>
      <c r="R277" s="6">
        <f t="shared" si="46"/>
        <v>1.8338871419069174</v>
      </c>
      <c r="S277" s="6">
        <f t="shared" si="47"/>
        <v>1.6036632014980607</v>
      </c>
      <c r="T277" s="6">
        <f t="shared" si="48"/>
        <v>1.2058819146488902</v>
      </c>
      <c r="U277" s="6">
        <f t="shared" si="49"/>
        <v>0.94753462734205607</v>
      </c>
      <c r="V277" s="6">
        <f t="shared" si="50"/>
        <v>0.71003013889760069</v>
      </c>
      <c r="W277" s="6">
        <f t="shared" si="51"/>
        <v>0.47816255108971334</v>
      </c>
      <c r="X277" s="6">
        <f t="shared" si="52"/>
        <v>0.14805042943510158</v>
      </c>
    </row>
    <row r="278" spans="1:24" x14ac:dyDescent="0.35">
      <c r="A278" s="2" t="s">
        <v>301</v>
      </c>
      <c r="B278" s="2" t="s">
        <v>305</v>
      </c>
      <c r="C278" s="2">
        <v>4.8499999999999996</v>
      </c>
      <c r="D278" s="2">
        <v>9.2899999999999991</v>
      </c>
      <c r="E278" s="2">
        <v>14391</v>
      </c>
      <c r="F278" s="2">
        <v>77.7</v>
      </c>
      <c r="G278" s="2">
        <v>73.78</v>
      </c>
      <c r="H278" s="2">
        <v>93.48</v>
      </c>
      <c r="I278" s="2">
        <v>98.71</v>
      </c>
      <c r="J278" s="2">
        <v>6.9</v>
      </c>
      <c r="K278" s="2">
        <v>69.88</v>
      </c>
      <c r="L278" s="2">
        <v>17254614</v>
      </c>
      <c r="M278" s="2">
        <v>0</v>
      </c>
      <c r="O278" s="6">
        <f t="shared" si="44"/>
        <v>-0.99620311854348065</v>
      </c>
      <c r="P278" s="6">
        <f t="shared" si="44"/>
        <v>0.52378873109289759</v>
      </c>
      <c r="Q278" s="6">
        <f t="shared" si="45"/>
        <v>1.4979599992456551</v>
      </c>
      <c r="R278" s="6">
        <f t="shared" si="46"/>
        <v>1.1975931134441147</v>
      </c>
      <c r="S278" s="6">
        <f t="shared" si="47"/>
        <v>1.1971719866001402</v>
      </c>
      <c r="T278" s="6">
        <f t="shared" si="48"/>
        <v>0.8767762949835276</v>
      </c>
      <c r="U278" s="6">
        <f t="shared" si="49"/>
        <v>0.86529766371150318</v>
      </c>
      <c r="V278" s="6">
        <f t="shared" si="50"/>
        <v>0.69864236145771796</v>
      </c>
      <c r="W278" s="6">
        <f t="shared" si="51"/>
        <v>6.5028645561898399E-2</v>
      </c>
      <c r="X278" s="6">
        <f t="shared" si="52"/>
        <v>-9.8404325160059633E-2</v>
      </c>
    </row>
    <row r="279" spans="1:24" x14ac:dyDescent="0.35">
      <c r="A279" s="2" t="s">
        <v>301</v>
      </c>
      <c r="B279" s="2" t="s">
        <v>306</v>
      </c>
      <c r="C279" s="2">
        <v>5.64</v>
      </c>
      <c r="D279" s="2">
        <v>8.14</v>
      </c>
      <c r="E279" s="2">
        <v>11287</v>
      </c>
      <c r="F279" s="2">
        <v>71.75</v>
      </c>
      <c r="G279" s="2">
        <v>71.41</v>
      </c>
      <c r="H279" s="2">
        <v>95.91</v>
      </c>
      <c r="I279" s="2">
        <v>99.96</v>
      </c>
      <c r="J279" s="2">
        <v>5.35</v>
      </c>
      <c r="K279" s="2">
        <v>72.83</v>
      </c>
      <c r="L279" s="2">
        <v>5595883</v>
      </c>
      <c r="M279" s="2">
        <v>0</v>
      </c>
      <c r="O279" s="6">
        <f t="shared" si="44"/>
        <v>-0.89018339941996716</v>
      </c>
      <c r="P279" s="6">
        <f t="shared" si="44"/>
        <v>-0.1820555123618981</v>
      </c>
      <c r="Q279" s="6">
        <f t="shared" si="45"/>
        <v>0.35447122727101354</v>
      </c>
      <c r="R279" s="6">
        <f t="shared" si="46"/>
        <v>0.28089832667566861</v>
      </c>
      <c r="S279" s="6">
        <f t="shared" si="47"/>
        <v>0.50904042995151932</v>
      </c>
      <c r="T279" s="6">
        <f t="shared" si="48"/>
        <v>1.007664454686773</v>
      </c>
      <c r="U279" s="6">
        <f t="shared" si="49"/>
        <v>0.94498464397366644</v>
      </c>
      <c r="V279" s="6">
        <f t="shared" si="50"/>
        <v>0.11027386039710205</v>
      </c>
      <c r="W279" s="6">
        <f t="shared" si="51"/>
        <v>0.52667448696608588</v>
      </c>
      <c r="X279" s="6">
        <f t="shared" si="52"/>
        <v>-0.3420137215473979</v>
      </c>
    </row>
    <row r="280" spans="1:24" x14ac:dyDescent="0.35">
      <c r="A280" s="2" t="s">
        <v>301</v>
      </c>
      <c r="B280" s="2" t="s">
        <v>307</v>
      </c>
      <c r="C280" s="2">
        <v>5.09</v>
      </c>
      <c r="D280" s="2">
        <v>7.18</v>
      </c>
      <c r="E280" s="2">
        <v>11201</v>
      </c>
      <c r="F280" s="2">
        <v>69.37</v>
      </c>
      <c r="G280" s="2">
        <v>70.62</v>
      </c>
      <c r="H280" s="2">
        <v>87.01</v>
      </c>
      <c r="I280" s="2">
        <v>91.16</v>
      </c>
      <c r="J280" s="2">
        <v>1.8</v>
      </c>
      <c r="K280" s="2">
        <v>82.09</v>
      </c>
      <c r="L280" s="2">
        <v>4384701</v>
      </c>
      <c r="M280" s="2">
        <v>0</v>
      </c>
      <c r="O280" s="6">
        <f t="shared" si="44"/>
        <v>-0.96399459627810935</v>
      </c>
      <c r="P280" s="6">
        <f t="shared" si="44"/>
        <v>-0.77128201124590268</v>
      </c>
      <c r="Q280" s="6">
        <f t="shared" si="45"/>
        <v>0.32278951516089138</v>
      </c>
      <c r="R280" s="6">
        <f t="shared" si="46"/>
        <v>-8.5779588031708959E-2</v>
      </c>
      <c r="S280" s="6">
        <f t="shared" si="47"/>
        <v>0.2796632444019817</v>
      </c>
      <c r="T280" s="6">
        <f t="shared" si="48"/>
        <v>0.52827983684361013</v>
      </c>
      <c r="U280" s="6">
        <f t="shared" si="49"/>
        <v>0.38398830292803693</v>
      </c>
      <c r="V280" s="6">
        <f t="shared" si="50"/>
        <v>-1.2372798033223726</v>
      </c>
      <c r="W280" s="6">
        <f t="shared" si="51"/>
        <v>1.9757729586280435</v>
      </c>
      <c r="X280" s="6">
        <f t="shared" si="52"/>
        <v>-0.36732139147607279</v>
      </c>
    </row>
    <row r="281" spans="1:24" x14ac:dyDescent="0.35">
      <c r="A281" s="2" t="s">
        <v>301</v>
      </c>
      <c r="B281" s="2" t="s">
        <v>308</v>
      </c>
      <c r="C281" s="2">
        <v>6.78</v>
      </c>
      <c r="D281" s="2">
        <v>6.33</v>
      </c>
      <c r="E281" s="2">
        <v>10175</v>
      </c>
      <c r="F281" s="2">
        <v>67.36</v>
      </c>
      <c r="G281" s="2">
        <v>70.56</v>
      </c>
      <c r="H281" s="2">
        <v>87.36</v>
      </c>
      <c r="I281" s="2">
        <v>98.45</v>
      </c>
      <c r="J281" s="2">
        <v>2.3199999999999998</v>
      </c>
      <c r="K281" s="2">
        <v>81.150000000000006</v>
      </c>
      <c r="L281" s="2">
        <v>10570603</v>
      </c>
      <c r="M281" s="2">
        <v>0</v>
      </c>
      <c r="O281" s="6">
        <f t="shared" si="44"/>
        <v>-0.73719291865945402</v>
      </c>
      <c r="P281" s="6">
        <f t="shared" si="44"/>
        <v>-1.2929929737994477</v>
      </c>
      <c r="Q281" s="6">
        <f t="shared" si="45"/>
        <v>-5.5180678152891585E-2</v>
      </c>
      <c r="R281" s="6">
        <f t="shared" si="46"/>
        <v>-0.39545295297365524</v>
      </c>
      <c r="S281" s="6">
        <f t="shared" si="47"/>
        <v>0.2622421923349274</v>
      </c>
      <c r="T281" s="6">
        <f t="shared" si="48"/>
        <v>0.5471320409160938</v>
      </c>
      <c r="U281" s="6">
        <f t="shared" si="49"/>
        <v>0.84872277181697375</v>
      </c>
      <c r="V281" s="6">
        <f t="shared" si="50"/>
        <v>-1.0398916610310691</v>
      </c>
      <c r="W281" s="6">
        <f t="shared" si="51"/>
        <v>1.8286722498416248</v>
      </c>
      <c r="X281" s="6">
        <f t="shared" si="52"/>
        <v>-0.23806685662736335</v>
      </c>
    </row>
    <row r="282" spans="1:24" x14ac:dyDescent="0.35">
      <c r="A282" s="2" t="s">
        <v>301</v>
      </c>
      <c r="B282" s="2" t="s">
        <v>309</v>
      </c>
      <c r="C282" s="2">
        <v>6.12</v>
      </c>
      <c r="D282" s="2">
        <v>7.25</v>
      </c>
      <c r="E282" s="2">
        <v>13362</v>
      </c>
      <c r="F282" s="2">
        <v>72.56</v>
      </c>
      <c r="G282" s="2">
        <v>71.95</v>
      </c>
      <c r="H282" s="2">
        <v>94.15</v>
      </c>
      <c r="I282" s="2">
        <v>93.38</v>
      </c>
      <c r="J282" s="2">
        <v>5.38</v>
      </c>
      <c r="K282" s="2">
        <v>73.08</v>
      </c>
      <c r="L282" s="2">
        <v>21797733</v>
      </c>
      <c r="M282" s="2">
        <v>0</v>
      </c>
      <c r="O282" s="6">
        <f t="shared" si="44"/>
        <v>-0.82576635488922479</v>
      </c>
      <c r="P282" s="6">
        <f t="shared" si="44"/>
        <v>-0.72831757903561056</v>
      </c>
      <c r="Q282" s="6">
        <f t="shared" si="45"/>
        <v>1.1188846299280308</v>
      </c>
      <c r="R282" s="6">
        <f t="shared" si="46"/>
        <v>0.40569207075675146</v>
      </c>
      <c r="S282" s="6">
        <f t="shared" si="47"/>
        <v>0.66582989855500407</v>
      </c>
      <c r="T282" s="6">
        <f t="shared" si="48"/>
        <v>0.91286479992228275</v>
      </c>
      <c r="U282" s="6">
        <f t="shared" si="49"/>
        <v>0.52551237987363886</v>
      </c>
      <c r="V282" s="6">
        <f t="shared" si="50"/>
        <v>0.12166163783698503</v>
      </c>
      <c r="W282" s="6">
        <f t="shared" si="51"/>
        <v>0.56579701589864417</v>
      </c>
      <c r="X282" s="6">
        <f t="shared" si="52"/>
        <v>-3.4757709884394076E-3</v>
      </c>
    </row>
    <row r="283" spans="1:24" x14ac:dyDescent="0.35">
      <c r="A283" s="2" t="s">
        <v>301</v>
      </c>
      <c r="B283" s="2" t="s">
        <v>310</v>
      </c>
      <c r="C283" s="2">
        <v>2.96</v>
      </c>
      <c r="D283" s="2">
        <v>11.48</v>
      </c>
      <c r="E283" s="2">
        <v>19598</v>
      </c>
      <c r="F283" s="2">
        <v>84.03</v>
      </c>
      <c r="G283" s="2">
        <v>74.930000000000007</v>
      </c>
      <c r="H283" s="2">
        <v>99.97</v>
      </c>
      <c r="I283" s="2">
        <v>100</v>
      </c>
      <c r="J283" s="2">
        <v>7.02</v>
      </c>
      <c r="K283" s="2">
        <v>68.67</v>
      </c>
      <c r="L283" s="2">
        <v>32447056</v>
      </c>
      <c r="M283" s="2">
        <v>0</v>
      </c>
      <c r="O283" s="6">
        <f t="shared" si="44"/>
        <v>-1.2498452313832784</v>
      </c>
      <c r="P283" s="6">
        <f t="shared" si="44"/>
        <v>1.8679616816720328</v>
      </c>
      <c r="Q283" s="6">
        <f t="shared" si="45"/>
        <v>3.4161771499131679</v>
      </c>
      <c r="R283" s="6">
        <f t="shared" si="46"/>
        <v>2.1728331134851668</v>
      </c>
      <c r="S283" s="6">
        <f t="shared" si="47"/>
        <v>1.5310754845520038</v>
      </c>
      <c r="T283" s="6">
        <f t="shared" si="48"/>
        <v>1.2263500219275869</v>
      </c>
      <c r="U283" s="6">
        <f t="shared" si="49"/>
        <v>0.94753462734205607</v>
      </c>
      <c r="V283" s="6">
        <f t="shared" si="50"/>
        <v>0.74419347121724921</v>
      </c>
      <c r="W283" s="6">
        <f t="shared" si="51"/>
        <v>-0.12432439447168243</v>
      </c>
      <c r="X283" s="6">
        <f t="shared" si="52"/>
        <v>0.21904202687170493</v>
      </c>
    </row>
    <row r="284" spans="1:24" x14ac:dyDescent="0.35">
      <c r="A284" s="2" t="s">
        <v>311</v>
      </c>
      <c r="B284" s="2" t="s">
        <v>312</v>
      </c>
      <c r="C284" s="2">
        <v>14.47</v>
      </c>
      <c r="D284" s="2">
        <v>6.42</v>
      </c>
      <c r="E284" s="2">
        <v>11334</v>
      </c>
      <c r="F284" s="2">
        <v>68.61</v>
      </c>
      <c r="G284" s="2">
        <v>67.19</v>
      </c>
      <c r="H284" s="2">
        <v>74.099999999999994</v>
      </c>
      <c r="I284" s="2">
        <v>91.76</v>
      </c>
      <c r="J284" s="2">
        <v>3.32</v>
      </c>
      <c r="K284" s="2">
        <v>70.48</v>
      </c>
      <c r="L284" s="2">
        <v>10472388</v>
      </c>
      <c r="M284" s="2">
        <v>0</v>
      </c>
      <c r="O284" s="6">
        <f t="shared" si="44"/>
        <v>0.29482181559348081</v>
      </c>
      <c r="P284" s="6">
        <f t="shared" si="44"/>
        <v>-1.2377529895290724</v>
      </c>
      <c r="Q284" s="6">
        <f t="shared" si="45"/>
        <v>0.37178565133119662</v>
      </c>
      <c r="R284" s="6">
        <f t="shared" si="46"/>
        <v>-0.20287001457692297</v>
      </c>
      <c r="S284" s="6">
        <f t="shared" si="47"/>
        <v>-0.71624023209792131</v>
      </c>
      <c r="T284" s="6">
        <f t="shared" si="48"/>
        <v>-0.16709717623001263</v>
      </c>
      <c r="U284" s="6">
        <f t="shared" si="49"/>
        <v>0.42223805345387583</v>
      </c>
      <c r="V284" s="6">
        <f t="shared" si="50"/>
        <v>-0.6602990797016397</v>
      </c>
      <c r="W284" s="6">
        <f t="shared" si="51"/>
        <v>0.15892271500003949</v>
      </c>
      <c r="X284" s="6">
        <f t="shared" si="52"/>
        <v>-0.24011906083948406</v>
      </c>
    </row>
    <row r="285" spans="1:24" x14ac:dyDescent="0.35">
      <c r="A285" s="2" t="s">
        <v>311</v>
      </c>
      <c r="B285" s="2" t="s">
        <v>313</v>
      </c>
      <c r="C285" s="2">
        <v>13.44</v>
      </c>
      <c r="D285" s="2">
        <v>6.29</v>
      </c>
      <c r="E285" s="2">
        <v>9962</v>
      </c>
      <c r="F285" s="2">
        <v>66.72</v>
      </c>
      <c r="G285" s="2">
        <v>66.38</v>
      </c>
      <c r="H285" s="2">
        <v>79.14</v>
      </c>
      <c r="I285" s="2">
        <v>92.52</v>
      </c>
      <c r="J285" s="2">
        <v>2.33</v>
      </c>
      <c r="K285" s="2">
        <v>75.05</v>
      </c>
      <c r="L285" s="2">
        <v>12037665</v>
      </c>
      <c r="M285" s="2">
        <v>0</v>
      </c>
      <c r="O285" s="6">
        <f t="shared" si="44"/>
        <v>0.15659357420459602</v>
      </c>
      <c r="P285" s="6">
        <f t="shared" si="44"/>
        <v>-1.3175440779196146</v>
      </c>
      <c r="Q285" s="6">
        <f t="shared" si="45"/>
        <v>-0.13364817442563601</v>
      </c>
      <c r="R285" s="6">
        <f t="shared" si="46"/>
        <v>-0.49405541743278225</v>
      </c>
      <c r="S285" s="6">
        <f t="shared" si="47"/>
        <v>-0.95142443500314633</v>
      </c>
      <c r="T285" s="6">
        <f t="shared" si="48"/>
        <v>0.10437456241375656</v>
      </c>
      <c r="U285" s="6">
        <f t="shared" si="49"/>
        <v>0.47068773745327058</v>
      </c>
      <c r="V285" s="6">
        <f t="shared" si="50"/>
        <v>-1.0360957352177749</v>
      </c>
      <c r="W285" s="6">
        <f t="shared" si="51"/>
        <v>0.87408254388720275</v>
      </c>
      <c r="X285" s="6">
        <f t="shared" si="52"/>
        <v>-0.20741256944269451</v>
      </c>
    </row>
    <row r="286" spans="1:24" x14ac:dyDescent="0.35">
      <c r="A286" s="2" t="s">
        <v>311</v>
      </c>
      <c r="B286" s="2" t="s">
        <v>314</v>
      </c>
      <c r="C286" s="2">
        <v>15.38</v>
      </c>
      <c r="D286" s="2">
        <v>6.71</v>
      </c>
      <c r="E286" s="2">
        <v>9450</v>
      </c>
      <c r="F286" s="2">
        <v>66.66</v>
      </c>
      <c r="G286" s="2">
        <v>66.16</v>
      </c>
      <c r="H286" s="2">
        <v>84.54</v>
      </c>
      <c r="I286" s="2">
        <v>95</v>
      </c>
      <c r="J286" s="2">
        <v>2.79</v>
      </c>
      <c r="K286" s="2">
        <v>69.48</v>
      </c>
      <c r="L286" s="2">
        <v>14410804</v>
      </c>
      <c r="M286" s="2">
        <v>0</v>
      </c>
      <c r="O286" s="6">
        <f t="shared" si="44"/>
        <v>0.41694579584967983</v>
      </c>
      <c r="P286" s="6">
        <f t="shared" si="44"/>
        <v>-1.0597574846578628</v>
      </c>
      <c r="Q286" s="6">
        <f t="shared" si="45"/>
        <v>-0.32226487908124701</v>
      </c>
      <c r="R286" s="6">
        <f t="shared" si="46"/>
        <v>-0.50329939847582572</v>
      </c>
      <c r="S286" s="6">
        <f t="shared" si="47"/>
        <v>-1.0153016259156762</v>
      </c>
      <c r="T286" s="6">
        <f t="shared" si="48"/>
        <v>0.39523713953208062</v>
      </c>
      <c r="U286" s="6">
        <f t="shared" si="49"/>
        <v>0.62878670629340283</v>
      </c>
      <c r="V286" s="6">
        <f t="shared" si="50"/>
        <v>-0.86148314780623725</v>
      </c>
      <c r="W286" s="6">
        <f t="shared" si="51"/>
        <v>2.4325992698065704E-3</v>
      </c>
      <c r="X286" s="6">
        <f t="shared" si="52"/>
        <v>-0.15782578685604323</v>
      </c>
    </row>
    <row r="287" spans="1:24" x14ac:dyDescent="0.35">
      <c r="A287" s="2" t="s">
        <v>311</v>
      </c>
      <c r="B287" s="2" t="s">
        <v>315</v>
      </c>
      <c r="C287" s="2">
        <v>13.91</v>
      </c>
      <c r="D287" s="2">
        <v>8.15</v>
      </c>
      <c r="E287" s="2">
        <v>9167</v>
      </c>
      <c r="F287" s="2">
        <v>68.010000000000005</v>
      </c>
      <c r="G287" s="2">
        <v>67.73</v>
      </c>
      <c r="H287" s="2">
        <v>88.01</v>
      </c>
      <c r="I287" s="2">
        <v>96.88</v>
      </c>
      <c r="J287" s="2">
        <v>3.39</v>
      </c>
      <c r="K287" s="2">
        <v>66.86</v>
      </c>
      <c r="L287" s="2">
        <v>10221006</v>
      </c>
      <c r="M287" s="2">
        <v>0</v>
      </c>
      <c r="O287" s="6">
        <f t="shared" si="44"/>
        <v>0.21966859697428132</v>
      </c>
      <c r="P287" s="6">
        <f t="shared" si="44"/>
        <v>-0.17591773633185653</v>
      </c>
      <c r="Q287" s="6">
        <f t="shared" si="45"/>
        <v>-0.42651981544362572</v>
      </c>
      <c r="R287" s="6">
        <f t="shared" si="46"/>
        <v>-0.29530982500735359</v>
      </c>
      <c r="S287" s="6">
        <f t="shared" si="47"/>
        <v>-0.55945076349443645</v>
      </c>
      <c r="T287" s="6">
        <f t="shared" si="48"/>
        <v>0.58214327705070712</v>
      </c>
      <c r="U287" s="6">
        <f t="shared" si="49"/>
        <v>0.74863592460769612</v>
      </c>
      <c r="V287" s="6">
        <f t="shared" si="50"/>
        <v>-0.63372759900857956</v>
      </c>
      <c r="W287" s="6">
        <f t="shared" si="51"/>
        <v>-0.40757150394340436</v>
      </c>
      <c r="X287" s="6">
        <f t="shared" si="52"/>
        <v>-0.24537169230363243</v>
      </c>
    </row>
    <row r="288" spans="1:24" x14ac:dyDescent="0.35">
      <c r="A288" s="2" t="s">
        <v>311</v>
      </c>
      <c r="B288" s="2" t="s">
        <v>316</v>
      </c>
      <c r="C288" s="2">
        <v>12.6</v>
      </c>
      <c r="D288" s="2">
        <v>8.7200000000000006</v>
      </c>
      <c r="E288" s="2">
        <v>8899</v>
      </c>
      <c r="F288" s="2">
        <v>68.45</v>
      </c>
      <c r="G288" s="2">
        <v>66.989999999999995</v>
      </c>
      <c r="H288" s="2">
        <v>83.72</v>
      </c>
      <c r="I288" s="2">
        <v>96.57</v>
      </c>
      <c r="J288" s="2">
        <v>3.02</v>
      </c>
      <c r="K288" s="2">
        <v>67.56</v>
      </c>
      <c r="L288" s="2">
        <v>4979197</v>
      </c>
      <c r="M288" s="2">
        <v>0</v>
      </c>
      <c r="O288" s="6">
        <f t="shared" si="44"/>
        <v>4.3863746275796929E-2</v>
      </c>
      <c r="P288" s="6">
        <f t="shared" si="44"/>
        <v>0.17393549738052108</v>
      </c>
      <c r="Q288" s="6">
        <f t="shared" si="45"/>
        <v>-0.52524887178679713</v>
      </c>
      <c r="R288" s="6">
        <f t="shared" si="46"/>
        <v>-0.22752063069170417</v>
      </c>
      <c r="S288" s="6">
        <f t="shared" si="47"/>
        <v>-0.77431040565476761</v>
      </c>
      <c r="T288" s="6">
        <f t="shared" si="48"/>
        <v>0.3510691185622607</v>
      </c>
      <c r="U288" s="6">
        <f t="shared" si="49"/>
        <v>0.72887355350267946</v>
      </c>
      <c r="V288" s="6">
        <f t="shared" si="50"/>
        <v>-0.77417685410046855</v>
      </c>
      <c r="W288" s="6">
        <f t="shared" si="51"/>
        <v>-0.29802842293224086</v>
      </c>
      <c r="X288" s="6">
        <f t="shared" si="52"/>
        <v>-0.35489938673862004</v>
      </c>
    </row>
    <row r="289" spans="1:24" x14ac:dyDescent="0.35">
      <c r="A289" s="2" t="s">
        <v>311</v>
      </c>
      <c r="B289" s="2" t="s">
        <v>317</v>
      </c>
      <c r="C289" s="2">
        <v>14.88</v>
      </c>
      <c r="D289" s="2">
        <v>7.91</v>
      </c>
      <c r="E289" s="2">
        <v>8495</v>
      </c>
      <c r="F289" s="2">
        <v>66.66</v>
      </c>
      <c r="G289" s="2">
        <v>66.5</v>
      </c>
      <c r="H289" s="2">
        <v>81.040000000000006</v>
      </c>
      <c r="I289" s="2">
        <v>96.4</v>
      </c>
      <c r="J289" s="2">
        <v>1.58</v>
      </c>
      <c r="K289" s="2">
        <v>71.650000000000006</v>
      </c>
      <c r="L289" s="2">
        <v>8085529</v>
      </c>
      <c r="M289" s="2">
        <v>0</v>
      </c>
      <c r="O289" s="6">
        <f t="shared" si="44"/>
        <v>0.34984470779682325</v>
      </c>
      <c r="P289" s="6">
        <f t="shared" si="44"/>
        <v>-0.32322436105285768</v>
      </c>
      <c r="Q289" s="6">
        <f t="shared" si="45"/>
        <v>-0.67407924030411515</v>
      </c>
      <c r="R289" s="6">
        <f t="shared" si="46"/>
        <v>-0.50329939847582572</v>
      </c>
      <c r="S289" s="6">
        <f t="shared" si="47"/>
        <v>-0.91658233086903773</v>
      </c>
      <c r="T289" s="6">
        <f t="shared" si="48"/>
        <v>0.20671509880724115</v>
      </c>
      <c r="U289" s="6">
        <f t="shared" si="49"/>
        <v>0.71803612418702611</v>
      </c>
      <c r="V289" s="6">
        <f t="shared" si="50"/>
        <v>-1.3207901712148469</v>
      </c>
      <c r="W289" s="6">
        <f t="shared" si="51"/>
        <v>0.34201615040441224</v>
      </c>
      <c r="X289" s="6">
        <f t="shared" si="52"/>
        <v>-0.28999252307578455</v>
      </c>
    </row>
    <row r="290" spans="1:24" x14ac:dyDescent="0.35">
      <c r="A290" s="2" t="s">
        <v>311</v>
      </c>
      <c r="B290" s="2" t="s">
        <v>318</v>
      </c>
      <c r="C290" s="2">
        <v>13.54</v>
      </c>
      <c r="D290" s="2">
        <v>8.7200000000000006</v>
      </c>
      <c r="E290" s="2">
        <v>11548</v>
      </c>
      <c r="F290" s="2">
        <v>71.849999999999994</v>
      </c>
      <c r="G290" s="2">
        <v>68.31</v>
      </c>
      <c r="H290" s="2">
        <v>92.93</v>
      </c>
      <c r="I290" s="2">
        <v>95.41</v>
      </c>
      <c r="J290" s="2">
        <v>5.52</v>
      </c>
      <c r="K290" s="2">
        <v>71.02</v>
      </c>
      <c r="L290" s="2">
        <v>16416012</v>
      </c>
      <c r="M290" s="2">
        <v>0</v>
      </c>
      <c r="O290" s="6">
        <f t="shared" si="44"/>
        <v>0.17001379181516729</v>
      </c>
      <c r="P290" s="6">
        <f t="shared" si="44"/>
        <v>0.17393549738052108</v>
      </c>
      <c r="Q290" s="6">
        <f t="shared" si="45"/>
        <v>0.4506215396052215</v>
      </c>
      <c r="R290" s="6">
        <f t="shared" si="46"/>
        <v>0.29630496174740628</v>
      </c>
      <c r="S290" s="6">
        <f t="shared" si="47"/>
        <v>-0.39104726017958491</v>
      </c>
      <c r="T290" s="6">
        <f t="shared" si="48"/>
        <v>0.84715140286962443</v>
      </c>
      <c r="U290" s="6">
        <f t="shared" si="49"/>
        <v>0.65492403581939218</v>
      </c>
      <c r="V290" s="6">
        <f t="shared" si="50"/>
        <v>0.17480459922310504</v>
      </c>
      <c r="W290" s="6">
        <f t="shared" si="51"/>
        <v>0.24342737749436399</v>
      </c>
      <c r="X290" s="6">
        <f t="shared" si="52"/>
        <v>-0.11592692920926659</v>
      </c>
    </row>
    <row r="291" spans="1:24" x14ac:dyDescent="0.35">
      <c r="A291" s="2" t="s">
        <v>311</v>
      </c>
      <c r="B291" s="2" t="s">
        <v>319</v>
      </c>
      <c r="C291" s="2">
        <v>27.04</v>
      </c>
      <c r="D291" s="2">
        <v>6.04</v>
      </c>
      <c r="E291" s="2">
        <v>9057</v>
      </c>
      <c r="F291" s="2">
        <v>64.77</v>
      </c>
      <c r="G291" s="2">
        <v>67.36</v>
      </c>
      <c r="H291" s="2">
        <v>79.23</v>
      </c>
      <c r="I291" s="2">
        <v>88.35</v>
      </c>
      <c r="J291" s="2">
        <v>1.75</v>
      </c>
      <c r="K291" s="2">
        <v>73.430000000000007</v>
      </c>
      <c r="L291" s="2">
        <v>3262262</v>
      </c>
      <c r="M291" s="2">
        <v>1</v>
      </c>
      <c r="O291" s="6">
        <f t="shared" si="44"/>
        <v>1.981743169242296</v>
      </c>
      <c r="P291" s="6">
        <f t="shared" si="44"/>
        <v>-1.4709884786706573</v>
      </c>
      <c r="Q291" s="6">
        <f t="shared" si="45"/>
        <v>-0.46704293558447968</v>
      </c>
      <c r="R291" s="6">
        <f t="shared" si="46"/>
        <v>-0.79448480133168509</v>
      </c>
      <c r="S291" s="6">
        <f t="shared" si="47"/>
        <v>-0.66688058457460209</v>
      </c>
      <c r="T291" s="6">
        <f t="shared" si="48"/>
        <v>0.10922227203239547</v>
      </c>
      <c r="U291" s="6">
        <f t="shared" si="49"/>
        <v>0.20485197129869362</v>
      </c>
      <c r="V291" s="6">
        <f t="shared" si="50"/>
        <v>-1.2562594323888439</v>
      </c>
      <c r="W291" s="6">
        <f t="shared" si="51"/>
        <v>0.62056855640422703</v>
      </c>
      <c r="X291" s="6">
        <f t="shared" si="52"/>
        <v>-0.39077477480497946</v>
      </c>
    </row>
    <row r="292" spans="1:24" x14ac:dyDescent="0.35">
      <c r="A292" s="2" t="s">
        <v>311</v>
      </c>
      <c r="B292" s="2" t="s">
        <v>320</v>
      </c>
      <c r="C292" s="2">
        <v>8.65</v>
      </c>
      <c r="D292" s="2">
        <v>9.5399999999999991</v>
      </c>
      <c r="E292" s="2">
        <v>14999</v>
      </c>
      <c r="F292" s="2">
        <v>79.14</v>
      </c>
      <c r="G292" s="2">
        <v>71.88</v>
      </c>
      <c r="H292" s="2">
        <v>91.63</v>
      </c>
      <c r="I292" s="2">
        <v>98.16</v>
      </c>
      <c r="J292" s="2">
        <v>5.19</v>
      </c>
      <c r="K292" s="2">
        <v>65.61</v>
      </c>
      <c r="L292" s="2">
        <v>13476129</v>
      </c>
      <c r="M292" s="2">
        <v>0</v>
      </c>
      <c r="O292" s="6">
        <f t="shared" si="44"/>
        <v>-0.48623484934177025</v>
      </c>
      <c r="P292" s="6">
        <f t="shared" si="44"/>
        <v>0.67723313184394029</v>
      </c>
      <c r="Q292" s="6">
        <f t="shared" si="45"/>
        <v>1.7219423360241932</v>
      </c>
      <c r="R292" s="6">
        <f t="shared" si="46"/>
        <v>1.41944865847715</v>
      </c>
      <c r="S292" s="6">
        <f t="shared" si="47"/>
        <v>0.64550533781010599</v>
      </c>
      <c r="T292" s="6">
        <f t="shared" si="48"/>
        <v>0.77712893060039778</v>
      </c>
      <c r="U292" s="6">
        <f t="shared" si="49"/>
        <v>0.83023539239615152</v>
      </c>
      <c r="V292" s="6">
        <f t="shared" si="50"/>
        <v>4.953904738439361E-2</v>
      </c>
      <c r="W292" s="6">
        <f t="shared" si="51"/>
        <v>-0.60318414860619551</v>
      </c>
      <c r="X292" s="6">
        <f t="shared" si="52"/>
        <v>-0.17735583798839505</v>
      </c>
    </row>
    <row r="293" spans="1:24" x14ac:dyDescent="0.35">
      <c r="A293" s="2" t="s">
        <v>311</v>
      </c>
      <c r="B293" s="2" t="s">
        <v>321</v>
      </c>
      <c r="C293" s="2">
        <v>8.8800000000000008</v>
      </c>
      <c r="D293" s="2">
        <v>10.65</v>
      </c>
      <c r="E293" s="2">
        <v>11135</v>
      </c>
      <c r="F293" s="2">
        <v>76.11</v>
      </c>
      <c r="G293" s="2">
        <v>70.5</v>
      </c>
      <c r="H293" s="2">
        <v>90.68</v>
      </c>
      <c r="I293" s="2">
        <v>99.93</v>
      </c>
      <c r="J293" s="2">
        <v>3.56</v>
      </c>
      <c r="K293" s="2">
        <v>75.459999999999994</v>
      </c>
      <c r="L293" s="2">
        <v>2939133</v>
      </c>
      <c r="M293" s="2">
        <v>0</v>
      </c>
      <c r="O293" s="6">
        <f t="shared" si="44"/>
        <v>-0.45536834883745614</v>
      </c>
      <c r="P293" s="6">
        <f t="shared" si="44"/>
        <v>1.3585262711785708</v>
      </c>
      <c r="Q293" s="6">
        <f t="shared" si="45"/>
        <v>0.29847564307637903</v>
      </c>
      <c r="R293" s="6">
        <f t="shared" si="46"/>
        <v>0.95262761580347066</v>
      </c>
      <c r="S293" s="6">
        <f t="shared" si="47"/>
        <v>0.24482114026787305</v>
      </c>
      <c r="T293" s="6">
        <f t="shared" si="48"/>
        <v>0.72595866240365625</v>
      </c>
      <c r="U293" s="6">
        <f t="shared" si="49"/>
        <v>0.94307215644737541</v>
      </c>
      <c r="V293" s="6">
        <f t="shared" si="50"/>
        <v>-0.56919686018257654</v>
      </c>
      <c r="W293" s="6">
        <f t="shared" si="51"/>
        <v>0.93824349133659779</v>
      </c>
      <c r="X293" s="6">
        <f t="shared" si="52"/>
        <v>-0.39752656113963664</v>
      </c>
    </row>
    <row r="294" spans="1:24" x14ac:dyDescent="0.35">
      <c r="A294" s="2" t="s">
        <v>322</v>
      </c>
      <c r="B294" s="2" t="s">
        <v>323</v>
      </c>
      <c r="C294" s="2">
        <v>28.39</v>
      </c>
      <c r="D294" s="2">
        <v>6.84</v>
      </c>
      <c r="E294" s="2">
        <v>7307</v>
      </c>
      <c r="F294" s="2">
        <v>63.83</v>
      </c>
      <c r="G294" s="2">
        <v>67.12</v>
      </c>
      <c r="H294" s="2">
        <v>54.33</v>
      </c>
      <c r="I294" s="2">
        <v>86.7</v>
      </c>
      <c r="J294" s="2">
        <v>1.74</v>
      </c>
      <c r="K294" s="2">
        <v>74.14</v>
      </c>
      <c r="L294" s="2">
        <v>1452224</v>
      </c>
      <c r="M294" s="2">
        <v>1</v>
      </c>
      <c r="O294" s="6">
        <f t="shared" si="44"/>
        <v>2.1629161069850089</v>
      </c>
      <c r="P294" s="6">
        <f t="shared" si="44"/>
        <v>-0.97996639626732074</v>
      </c>
      <c r="Q294" s="6">
        <f t="shared" si="45"/>
        <v>-1.1117289378253377</v>
      </c>
      <c r="R294" s="6">
        <f t="shared" si="46"/>
        <v>-0.93930717100602734</v>
      </c>
      <c r="S294" s="6">
        <f t="shared" si="47"/>
        <v>-0.73656479284281529</v>
      </c>
      <c r="T294" s="6">
        <f t="shared" si="48"/>
        <v>-1.23197738912432</v>
      </c>
      <c r="U294" s="6">
        <f t="shared" si="49"/>
        <v>9.9665157352638603E-2</v>
      </c>
      <c r="V294" s="6">
        <f t="shared" si="50"/>
        <v>-1.2600553582021381</v>
      </c>
      <c r="W294" s="6">
        <f t="shared" si="51"/>
        <v>0.73167653857269133</v>
      </c>
      <c r="X294" s="6">
        <f t="shared" si="52"/>
        <v>-0.42859555175044162</v>
      </c>
    </row>
    <row r="295" spans="1:24" x14ac:dyDescent="0.35">
      <c r="A295" s="2" t="s">
        <v>322</v>
      </c>
      <c r="B295" s="2" t="s">
        <v>324</v>
      </c>
      <c r="C295" s="2">
        <v>29.68</v>
      </c>
      <c r="D295" s="2">
        <v>7.32</v>
      </c>
      <c r="E295" s="2">
        <v>9354</v>
      </c>
      <c r="F295" s="2">
        <v>65.739999999999995</v>
      </c>
      <c r="G295" s="2">
        <v>65.16</v>
      </c>
      <c r="H295" s="2">
        <v>69.06</v>
      </c>
      <c r="I295" s="2">
        <v>79.63</v>
      </c>
      <c r="J295" s="2">
        <v>3.35</v>
      </c>
      <c r="K295" s="2">
        <v>72.39</v>
      </c>
      <c r="L295" s="2">
        <v>4009592</v>
      </c>
      <c r="M295" s="2">
        <v>1</v>
      </c>
      <c r="O295" s="6">
        <f t="shared" si="44"/>
        <v>2.336036914161379</v>
      </c>
      <c r="P295" s="6">
        <f t="shared" si="44"/>
        <v>-0.68535314682531845</v>
      </c>
      <c r="Q295" s="6">
        <f t="shared" si="45"/>
        <v>-0.35763051120417405</v>
      </c>
      <c r="R295" s="6">
        <f t="shared" si="46"/>
        <v>-0.64504044113582093</v>
      </c>
      <c r="S295" s="6">
        <f t="shared" si="47"/>
        <v>-1.3056524936999039</v>
      </c>
      <c r="T295" s="6">
        <f t="shared" si="48"/>
        <v>-0.43856891487378108</v>
      </c>
      <c r="U295" s="6">
        <f t="shared" si="49"/>
        <v>-0.3510444030101576</v>
      </c>
      <c r="V295" s="6">
        <f t="shared" si="50"/>
        <v>-0.64891130226175675</v>
      </c>
      <c r="W295" s="6">
        <f t="shared" si="51"/>
        <v>0.45781883604478379</v>
      </c>
      <c r="X295" s="6">
        <f t="shared" si="52"/>
        <v>-0.37515930085655835</v>
      </c>
    </row>
    <row r="296" spans="1:24" x14ac:dyDescent="0.35">
      <c r="A296" s="2" t="s">
        <v>322</v>
      </c>
      <c r="B296" s="2" t="s">
        <v>325</v>
      </c>
      <c r="C296" s="2">
        <v>22.98</v>
      </c>
      <c r="D296" s="2">
        <v>7.39</v>
      </c>
      <c r="E296" s="2">
        <v>7476</v>
      </c>
      <c r="F296" s="2">
        <v>64.41</v>
      </c>
      <c r="G296" s="2">
        <v>64.91</v>
      </c>
      <c r="H296" s="2">
        <v>74.92</v>
      </c>
      <c r="I296" s="2">
        <v>84.61</v>
      </c>
      <c r="J296" s="2">
        <v>3.99</v>
      </c>
      <c r="K296" s="2">
        <v>73.760000000000005</v>
      </c>
      <c r="L296" s="2">
        <v>4885118</v>
      </c>
      <c r="M296" s="2">
        <v>1</v>
      </c>
      <c r="O296" s="6">
        <f t="shared" si="44"/>
        <v>1.4368823342531003</v>
      </c>
      <c r="P296" s="6">
        <f t="shared" si="44"/>
        <v>-0.64238871461502689</v>
      </c>
      <c r="Q296" s="6">
        <f t="shared" si="45"/>
        <v>-1.0494706896089347</v>
      </c>
      <c r="R296" s="6">
        <f t="shared" si="46"/>
        <v>-0.8499486875899438</v>
      </c>
      <c r="S296" s="6">
        <f t="shared" si="47"/>
        <v>-1.3782402106459608</v>
      </c>
      <c r="T296" s="6">
        <f t="shared" si="48"/>
        <v>-0.1229291552601927</v>
      </c>
      <c r="U296" s="6">
        <f t="shared" si="49"/>
        <v>-3.357147364569868E-2</v>
      </c>
      <c r="V296" s="6">
        <f t="shared" si="50"/>
        <v>-0.40597205021092181</v>
      </c>
      <c r="W296" s="6">
        <f t="shared" si="51"/>
        <v>0.67221029459520354</v>
      </c>
      <c r="X296" s="6">
        <f t="shared" si="52"/>
        <v>-0.35686516915548205</v>
      </c>
    </row>
    <row r="297" spans="1:24" x14ac:dyDescent="0.35">
      <c r="A297" s="2" t="s">
        <v>322</v>
      </c>
      <c r="B297" s="2" t="s">
        <v>326</v>
      </c>
      <c r="C297" s="2">
        <v>26.64</v>
      </c>
      <c r="D297" s="2">
        <v>6.74</v>
      </c>
      <c r="E297" s="2">
        <v>6839</v>
      </c>
      <c r="F297" s="2">
        <v>62.16</v>
      </c>
      <c r="G297" s="2">
        <v>66.459999999999994</v>
      </c>
      <c r="H297" s="2">
        <v>50.15</v>
      </c>
      <c r="I297" s="2">
        <v>61.59</v>
      </c>
      <c r="J297" s="2">
        <v>2.57</v>
      </c>
      <c r="K297" s="2">
        <v>78.59</v>
      </c>
      <c r="L297" s="2">
        <v>4883924</v>
      </c>
      <c r="M297" s="2">
        <v>1</v>
      </c>
      <c r="O297" s="6">
        <f t="shared" si="44"/>
        <v>1.9280622988000107</v>
      </c>
      <c r="P297" s="6">
        <f t="shared" si="44"/>
        <v>-1.0413441565677377</v>
      </c>
      <c r="Q297" s="6">
        <f t="shared" si="45"/>
        <v>-1.2841363944246069</v>
      </c>
      <c r="R297" s="6">
        <f t="shared" si="46"/>
        <v>-1.196597976704062</v>
      </c>
      <c r="S297" s="6">
        <f t="shared" si="47"/>
        <v>-0.92819636558040863</v>
      </c>
      <c r="T297" s="6">
        <f t="shared" si="48"/>
        <v>-1.4571265691899855</v>
      </c>
      <c r="U297" s="6">
        <f t="shared" si="49"/>
        <v>-1.5010869021536981</v>
      </c>
      <c r="V297" s="6">
        <f t="shared" si="50"/>
        <v>-0.94499351569871182</v>
      </c>
      <c r="W297" s="6">
        <f t="shared" si="51"/>
        <v>1.4280575535722282</v>
      </c>
      <c r="X297" s="6">
        <f t="shared" si="52"/>
        <v>-0.35689011780720808</v>
      </c>
    </row>
    <row r="298" spans="1:24" x14ac:dyDescent="0.35">
      <c r="A298" s="2" t="s">
        <v>322</v>
      </c>
      <c r="B298" s="2" t="s">
        <v>327</v>
      </c>
      <c r="C298" s="2">
        <v>22.62</v>
      </c>
      <c r="D298" s="2">
        <v>7.96</v>
      </c>
      <c r="E298" s="2">
        <v>6324</v>
      </c>
      <c r="F298" s="2">
        <v>63.69</v>
      </c>
      <c r="G298" s="2">
        <v>67.09</v>
      </c>
      <c r="H298" s="2">
        <v>70.03</v>
      </c>
      <c r="I298" s="2">
        <v>87.35</v>
      </c>
      <c r="J298" s="2">
        <v>3.88</v>
      </c>
      <c r="K298" s="2">
        <v>78.41</v>
      </c>
      <c r="L298" s="2">
        <v>2949220</v>
      </c>
      <c r="M298" s="2">
        <v>1</v>
      </c>
      <c r="O298" s="6">
        <f t="shared" si="44"/>
        <v>1.3885695508550437</v>
      </c>
      <c r="P298" s="6">
        <f t="shared" si="44"/>
        <v>-0.29253548090264925</v>
      </c>
      <c r="Q298" s="6">
        <f t="shared" si="45"/>
        <v>-1.4738582750840594</v>
      </c>
      <c r="R298" s="6">
        <f t="shared" si="46"/>
        <v>-0.96087646010646144</v>
      </c>
      <c r="S298" s="6">
        <f t="shared" si="47"/>
        <v>-0.74527531887634235</v>
      </c>
      <c r="T298" s="6">
        <f t="shared" si="48"/>
        <v>-0.38632137787289705</v>
      </c>
      <c r="U298" s="6">
        <f t="shared" si="49"/>
        <v>0.14110238708896297</v>
      </c>
      <c r="V298" s="6">
        <f t="shared" si="50"/>
        <v>-0.4477272341571592</v>
      </c>
      <c r="W298" s="6">
        <f t="shared" si="51"/>
        <v>1.3998893327407853</v>
      </c>
      <c r="X298" s="6">
        <f t="shared" si="52"/>
        <v>-0.39731579309109355</v>
      </c>
    </row>
    <row r="299" spans="1:24" x14ac:dyDescent="0.35">
      <c r="A299" s="2" t="s">
        <v>322</v>
      </c>
      <c r="B299" s="2" t="s">
        <v>328</v>
      </c>
      <c r="C299" s="2">
        <v>15.68</v>
      </c>
      <c r="D299" s="2">
        <v>7.36</v>
      </c>
      <c r="E299" s="2">
        <v>7431</v>
      </c>
      <c r="F299" s="2">
        <v>62.77</v>
      </c>
      <c r="G299" s="2">
        <v>64.89</v>
      </c>
      <c r="H299" s="2">
        <v>71.8</v>
      </c>
      <c r="I299" s="2">
        <v>88.28</v>
      </c>
      <c r="J299" s="2">
        <v>5.35</v>
      </c>
      <c r="K299" s="2">
        <v>70.81</v>
      </c>
      <c r="L299" s="2">
        <v>3020198</v>
      </c>
      <c r="M299" s="2">
        <v>0</v>
      </c>
      <c r="O299" s="6">
        <f t="shared" si="44"/>
        <v>0.45720644868139365</v>
      </c>
      <c r="P299" s="6">
        <f t="shared" si="44"/>
        <v>-0.66080204270515153</v>
      </c>
      <c r="Q299" s="6">
        <f t="shared" si="45"/>
        <v>-1.0660483296665568</v>
      </c>
      <c r="R299" s="6">
        <f t="shared" si="46"/>
        <v>-1.1026175027664555</v>
      </c>
      <c r="S299" s="6">
        <f t="shared" si="47"/>
        <v>-1.3840472280016443</v>
      </c>
      <c r="T299" s="6">
        <f t="shared" si="48"/>
        <v>-0.29098308870633555</v>
      </c>
      <c r="U299" s="6">
        <f t="shared" si="49"/>
        <v>0.20038950040401293</v>
      </c>
      <c r="V299" s="6">
        <f t="shared" si="50"/>
        <v>0.11027386039710205</v>
      </c>
      <c r="W299" s="6">
        <f t="shared" si="51"/>
        <v>0.21056445319101608</v>
      </c>
      <c r="X299" s="6">
        <f t="shared" si="52"/>
        <v>-0.39583270648957741</v>
      </c>
    </row>
    <row r="300" spans="1:24" x14ac:dyDescent="0.35">
      <c r="A300" s="2" t="s">
        <v>322</v>
      </c>
      <c r="B300" s="2" t="s">
        <v>329</v>
      </c>
      <c r="C300" s="2">
        <v>21.09</v>
      </c>
      <c r="D300" s="2">
        <v>8.42</v>
      </c>
      <c r="E300" s="2">
        <v>6751</v>
      </c>
      <c r="F300" s="2">
        <v>61.37</v>
      </c>
      <c r="G300" s="2">
        <v>61.64</v>
      </c>
      <c r="H300" s="2">
        <v>83.16</v>
      </c>
      <c r="I300" s="2">
        <v>74.430000000000007</v>
      </c>
      <c r="J300" s="2">
        <v>2.59</v>
      </c>
      <c r="K300" s="2">
        <v>72.400000000000006</v>
      </c>
      <c r="L300" s="2">
        <v>2045994</v>
      </c>
      <c r="M300" s="2">
        <v>1</v>
      </c>
      <c r="O300" s="6">
        <f t="shared" si="44"/>
        <v>1.1832402214133022</v>
      </c>
      <c r="P300" s="6">
        <f t="shared" si="44"/>
        <v>-1.0197783520730632E-2</v>
      </c>
      <c r="Q300" s="6">
        <f t="shared" si="45"/>
        <v>-1.3165548905372901</v>
      </c>
      <c r="R300" s="6">
        <f t="shared" si="46"/>
        <v>-1.3183103937707965</v>
      </c>
      <c r="S300" s="6">
        <f t="shared" si="47"/>
        <v>-2.3276875483003843</v>
      </c>
      <c r="T300" s="6">
        <f t="shared" si="48"/>
        <v>0.32090559204628627</v>
      </c>
      <c r="U300" s="6">
        <f t="shared" si="49"/>
        <v>-0.68254224090075621</v>
      </c>
      <c r="V300" s="6">
        <f t="shared" si="50"/>
        <v>-0.93740166407212322</v>
      </c>
      <c r="W300" s="6">
        <f t="shared" si="51"/>
        <v>0.45938373720208692</v>
      </c>
      <c r="X300" s="6">
        <f t="shared" si="52"/>
        <v>-0.41618871679619918</v>
      </c>
    </row>
    <row r="301" spans="1:24" x14ac:dyDescent="0.35">
      <c r="A301" s="2" t="s">
        <v>322</v>
      </c>
      <c r="B301" s="2" t="s">
        <v>330</v>
      </c>
      <c r="C301" s="2">
        <v>26.21</v>
      </c>
      <c r="D301" s="2">
        <v>8.23</v>
      </c>
      <c r="E301" s="2">
        <v>7257</v>
      </c>
      <c r="F301" s="2">
        <v>64.75</v>
      </c>
      <c r="G301" s="2">
        <v>67.2</v>
      </c>
      <c r="H301" s="2">
        <v>91.88</v>
      </c>
      <c r="I301" s="2">
        <v>92.91</v>
      </c>
      <c r="J301" s="2">
        <v>4.9400000000000004</v>
      </c>
      <c r="K301" s="2">
        <v>68.239999999999995</v>
      </c>
      <c r="L301" s="2">
        <v>1180363</v>
      </c>
      <c r="M301" s="2">
        <v>1</v>
      </c>
      <c r="O301" s="6">
        <f t="shared" si="44"/>
        <v>1.8703553630745542</v>
      </c>
      <c r="P301" s="6">
        <f t="shared" si="44"/>
        <v>-0.1268155280915228</v>
      </c>
      <c r="Q301" s="6">
        <f t="shared" si="45"/>
        <v>-1.1301485378893621</v>
      </c>
      <c r="R301" s="6">
        <f t="shared" si="46"/>
        <v>-0.79756612834603213</v>
      </c>
      <c r="S301" s="6">
        <f t="shared" si="47"/>
        <v>-0.71333672342007748</v>
      </c>
      <c r="T301" s="6">
        <f t="shared" si="48"/>
        <v>0.79059479065217197</v>
      </c>
      <c r="U301" s="6">
        <f t="shared" si="49"/>
        <v>0.49555007529506556</v>
      </c>
      <c r="V301" s="6">
        <f t="shared" si="50"/>
        <v>-4.5359097947963757E-2</v>
      </c>
      <c r="W301" s="6">
        <f t="shared" si="51"/>
        <v>-0.19161514423568365</v>
      </c>
      <c r="X301" s="6">
        <f t="shared" si="52"/>
        <v>-0.43427609229222597</v>
      </c>
    </row>
    <row r="302" spans="1:24" x14ac:dyDescent="0.35">
      <c r="A302" s="2" t="s">
        <v>322</v>
      </c>
      <c r="B302" s="2" t="s">
        <v>331</v>
      </c>
      <c r="C302" s="2">
        <v>11.14</v>
      </c>
      <c r="D302" s="2">
        <v>7.72</v>
      </c>
      <c r="E302" s="2">
        <v>7578</v>
      </c>
      <c r="F302" s="2">
        <v>64.22</v>
      </c>
      <c r="G302" s="2">
        <v>65.31</v>
      </c>
      <c r="H302" s="2">
        <v>93.06</v>
      </c>
      <c r="I302" s="2">
        <v>99.04</v>
      </c>
      <c r="J302" s="2">
        <v>3.81</v>
      </c>
      <c r="K302" s="2">
        <v>71.8</v>
      </c>
      <c r="L302" s="2">
        <v>3517877</v>
      </c>
      <c r="M302" s="2">
        <v>0</v>
      </c>
      <c r="O302" s="6">
        <f t="shared" si="44"/>
        <v>-0.15207143083854427</v>
      </c>
      <c r="P302" s="6">
        <f t="shared" si="44"/>
        <v>-0.43984210562365039</v>
      </c>
      <c r="Q302" s="6">
        <f t="shared" si="45"/>
        <v>-1.0118947054783247</v>
      </c>
      <c r="R302" s="6">
        <f t="shared" si="46"/>
        <v>-0.87922129422624684</v>
      </c>
      <c r="S302" s="6">
        <f t="shared" si="47"/>
        <v>-1.262099863532268</v>
      </c>
      <c r="T302" s="6">
        <f t="shared" si="48"/>
        <v>0.85415365009654687</v>
      </c>
      <c r="U302" s="6">
        <f t="shared" si="49"/>
        <v>0.88633502650071505</v>
      </c>
      <c r="V302" s="6">
        <f t="shared" si="50"/>
        <v>-0.47429871485021918</v>
      </c>
      <c r="W302" s="6">
        <f t="shared" si="51"/>
        <v>0.36548966776394587</v>
      </c>
      <c r="X302" s="6">
        <f t="shared" si="52"/>
        <v>-0.3854336947288074</v>
      </c>
    </row>
    <row r="303" spans="1:24" x14ac:dyDescent="0.35">
      <c r="A303" s="2" t="s">
        <v>322</v>
      </c>
      <c r="B303" s="2" t="s">
        <v>332</v>
      </c>
      <c r="C303" s="2">
        <v>13.35</v>
      </c>
      <c r="D303" s="2">
        <v>6.95</v>
      </c>
      <c r="E303" s="2">
        <v>8021</v>
      </c>
      <c r="F303" s="2">
        <v>65.41</v>
      </c>
      <c r="G303" s="2">
        <v>67.45</v>
      </c>
      <c r="H303" s="2">
        <v>83.14</v>
      </c>
      <c r="I303" s="2">
        <v>92.11</v>
      </c>
      <c r="J303" s="2">
        <v>4.54</v>
      </c>
      <c r="K303" s="2">
        <v>73.92</v>
      </c>
      <c r="L303" s="2">
        <v>3371315</v>
      </c>
      <c r="M303" s="2">
        <v>0</v>
      </c>
      <c r="O303" s="6">
        <f t="shared" si="44"/>
        <v>0.14451537835508185</v>
      </c>
      <c r="P303" s="6">
        <f t="shared" si="44"/>
        <v>-0.9124508599368617</v>
      </c>
      <c r="Q303" s="6">
        <f t="shared" si="45"/>
        <v>-0.84869704891106756</v>
      </c>
      <c r="R303" s="6">
        <f t="shared" si="46"/>
        <v>-0.69588233687255807</v>
      </c>
      <c r="S303" s="6">
        <f t="shared" si="47"/>
        <v>-0.64074900647402055</v>
      </c>
      <c r="T303" s="6">
        <f t="shared" si="48"/>
        <v>0.31982832324214455</v>
      </c>
      <c r="U303" s="6">
        <f t="shared" si="49"/>
        <v>0.44455040792728123</v>
      </c>
      <c r="V303" s="6">
        <f t="shared" si="50"/>
        <v>-0.19719613047973569</v>
      </c>
      <c r="W303" s="6">
        <f t="shared" si="51"/>
        <v>0.69724871311204029</v>
      </c>
      <c r="X303" s="6">
        <f t="shared" si="52"/>
        <v>-0.38849611038565041</v>
      </c>
    </row>
    <row r="304" spans="1:24" x14ac:dyDescent="0.35">
      <c r="A304" s="2" t="s">
        <v>322</v>
      </c>
      <c r="B304" s="2" t="s">
        <v>333</v>
      </c>
      <c r="C304" s="2">
        <v>24.13</v>
      </c>
      <c r="D304" s="2">
        <v>8.0299999999999994</v>
      </c>
      <c r="E304" s="2">
        <v>9027</v>
      </c>
      <c r="F304" s="2">
        <v>67.3</v>
      </c>
      <c r="G304" s="2">
        <v>65.430000000000007</v>
      </c>
      <c r="H304" s="2">
        <v>86.63</v>
      </c>
      <c r="I304" s="2">
        <v>98</v>
      </c>
      <c r="J304" s="2">
        <v>2.61</v>
      </c>
      <c r="K304" s="2">
        <v>77.569999999999993</v>
      </c>
      <c r="L304" s="2">
        <v>4162984</v>
      </c>
      <c r="M304" s="2">
        <v>1</v>
      </c>
      <c r="O304" s="6">
        <f t="shared" si="44"/>
        <v>1.5912148367746703</v>
      </c>
      <c r="P304" s="6">
        <f t="shared" si="44"/>
        <v>-0.24957104869235763</v>
      </c>
      <c r="Q304" s="6">
        <f t="shared" si="45"/>
        <v>-0.47809469562289436</v>
      </c>
      <c r="R304" s="6">
        <f t="shared" si="46"/>
        <v>-0.40469693401669876</v>
      </c>
      <c r="S304" s="6">
        <f t="shared" si="47"/>
        <v>-1.2272577593981593</v>
      </c>
      <c r="T304" s="6">
        <f t="shared" si="48"/>
        <v>0.50781172956491283</v>
      </c>
      <c r="U304" s="6">
        <f t="shared" si="49"/>
        <v>0.82003545892259477</v>
      </c>
      <c r="V304" s="6">
        <f t="shared" si="50"/>
        <v>-0.92980981244553462</v>
      </c>
      <c r="W304" s="6">
        <f t="shared" si="51"/>
        <v>1.2684376355273892</v>
      </c>
      <c r="X304" s="6">
        <f t="shared" si="52"/>
        <v>-0.37195417222543659</v>
      </c>
    </row>
    <row r="305" spans="1:24" x14ac:dyDescent="0.35">
      <c r="A305" s="2" t="s">
        <v>322</v>
      </c>
      <c r="B305" s="2" t="s">
        <v>334</v>
      </c>
      <c r="C305" s="2">
        <v>12.58</v>
      </c>
      <c r="D305" s="2">
        <v>8.5299999999999994</v>
      </c>
      <c r="E305" s="2">
        <v>8819</v>
      </c>
      <c r="F305" s="2">
        <v>67.88</v>
      </c>
      <c r="G305" s="2">
        <v>68.12</v>
      </c>
      <c r="H305" s="2">
        <v>91.4</v>
      </c>
      <c r="I305" s="2">
        <v>94.55</v>
      </c>
      <c r="J305" s="2">
        <v>2.99</v>
      </c>
      <c r="K305" s="2">
        <v>72.489999999999995</v>
      </c>
      <c r="L305" s="2">
        <v>2335872</v>
      </c>
      <c r="M305" s="2">
        <v>0</v>
      </c>
      <c r="O305" s="6">
        <f t="shared" si="44"/>
        <v>4.1179702753682719E-2</v>
      </c>
      <c r="P305" s="6">
        <f t="shared" si="44"/>
        <v>5.7317752809727819E-2</v>
      </c>
      <c r="Q305" s="6">
        <f t="shared" si="45"/>
        <v>-0.55472023188923636</v>
      </c>
      <c r="R305" s="6">
        <f t="shared" si="46"/>
        <v>-0.31533845060061522</v>
      </c>
      <c r="S305" s="6">
        <f t="shared" si="47"/>
        <v>-0.44621392505858753</v>
      </c>
      <c r="T305" s="6">
        <f t="shared" si="48"/>
        <v>0.76474033935276597</v>
      </c>
      <c r="U305" s="6">
        <f t="shared" si="49"/>
        <v>0.60009939339902385</v>
      </c>
      <c r="V305" s="6">
        <f t="shared" si="50"/>
        <v>-0.78556463154035128</v>
      </c>
      <c r="W305" s="6">
        <f t="shared" si="51"/>
        <v>0.47346784761780619</v>
      </c>
      <c r="X305" s="6">
        <f t="shared" si="52"/>
        <v>-0.41013171071157739</v>
      </c>
    </row>
    <row r="306" spans="1:24" x14ac:dyDescent="0.35">
      <c r="A306" s="2" t="s">
        <v>322</v>
      </c>
      <c r="B306" s="2" t="s">
        <v>335</v>
      </c>
      <c r="C306" s="2">
        <v>20.48</v>
      </c>
      <c r="D306" s="2">
        <v>7.61</v>
      </c>
      <c r="E306" s="2">
        <v>7133</v>
      </c>
      <c r="F306" s="2">
        <v>65.010000000000005</v>
      </c>
      <c r="G306" s="2">
        <v>67.11</v>
      </c>
      <c r="H306" s="2">
        <v>72.84</v>
      </c>
      <c r="I306" s="2">
        <v>91.68</v>
      </c>
      <c r="J306" s="2">
        <v>3.7</v>
      </c>
      <c r="K306" s="2">
        <v>77.599999999999994</v>
      </c>
      <c r="L306" s="2">
        <v>3025880</v>
      </c>
      <c r="M306" s="2">
        <v>1</v>
      </c>
      <c r="O306" s="6">
        <f t="shared" si="44"/>
        <v>1.1013768939888173</v>
      </c>
      <c r="P306" s="6">
        <f t="shared" si="44"/>
        <v>-0.50735764195410882</v>
      </c>
      <c r="Q306" s="6">
        <f t="shared" si="45"/>
        <v>-1.1758291460481429</v>
      </c>
      <c r="R306" s="6">
        <f t="shared" si="46"/>
        <v>-0.7575088771595111</v>
      </c>
      <c r="S306" s="6">
        <f t="shared" si="47"/>
        <v>-0.73946830152065901</v>
      </c>
      <c r="T306" s="6">
        <f t="shared" si="48"/>
        <v>-0.23496511089095434</v>
      </c>
      <c r="U306" s="6">
        <f t="shared" si="49"/>
        <v>0.41713808671709751</v>
      </c>
      <c r="V306" s="6">
        <f t="shared" si="50"/>
        <v>-0.51605389879645636</v>
      </c>
      <c r="W306" s="6">
        <f t="shared" si="51"/>
        <v>1.2731323389992963</v>
      </c>
      <c r="X306" s="6">
        <f t="shared" si="52"/>
        <v>-0.39571398099618771</v>
      </c>
    </row>
    <row r="307" spans="1:24" x14ac:dyDescent="0.35">
      <c r="A307" s="2" t="s">
        <v>322</v>
      </c>
      <c r="B307" s="2" t="s">
        <v>336</v>
      </c>
      <c r="C307" s="2">
        <v>28.08</v>
      </c>
      <c r="D307" s="2">
        <v>7.71</v>
      </c>
      <c r="E307" s="2">
        <v>6503</v>
      </c>
      <c r="F307" s="2">
        <v>62.6</v>
      </c>
      <c r="G307" s="2">
        <v>64.88</v>
      </c>
      <c r="H307" s="2">
        <v>87.53</v>
      </c>
      <c r="I307" s="2">
        <v>92.31</v>
      </c>
      <c r="J307" s="2">
        <v>3.67</v>
      </c>
      <c r="K307" s="2">
        <v>74.16</v>
      </c>
      <c r="L307" s="2">
        <v>1971699</v>
      </c>
      <c r="M307" s="2">
        <v>1</v>
      </c>
      <c r="O307" s="6">
        <f t="shared" si="44"/>
        <v>2.1213134323922374</v>
      </c>
      <c r="P307" s="6">
        <f t="shared" si="44"/>
        <v>-0.44597988165369196</v>
      </c>
      <c r="Q307" s="6">
        <f t="shared" si="45"/>
        <v>-1.4079161068548518</v>
      </c>
      <c r="R307" s="6">
        <f t="shared" si="46"/>
        <v>-1.1288087823884114</v>
      </c>
      <c r="S307" s="6">
        <f t="shared" si="47"/>
        <v>-1.386950736679488</v>
      </c>
      <c r="T307" s="6">
        <f t="shared" si="48"/>
        <v>0.55628882575130034</v>
      </c>
      <c r="U307" s="6">
        <f t="shared" si="49"/>
        <v>0.4573003247692275</v>
      </c>
      <c r="V307" s="6">
        <f t="shared" si="50"/>
        <v>-0.52744167623633942</v>
      </c>
      <c r="W307" s="6">
        <f t="shared" si="51"/>
        <v>0.73480634088729546</v>
      </c>
      <c r="X307" s="6">
        <f t="shared" si="52"/>
        <v>-0.41774111217307142</v>
      </c>
    </row>
    <row r="308" spans="1:24" x14ac:dyDescent="0.35">
      <c r="A308" s="2" t="s">
        <v>322</v>
      </c>
      <c r="B308" s="2" t="s">
        <v>337</v>
      </c>
      <c r="C308" s="2">
        <v>17.920000000000002</v>
      </c>
      <c r="D308" s="2">
        <v>7.56</v>
      </c>
      <c r="E308" s="2">
        <v>7410</v>
      </c>
      <c r="F308" s="2">
        <v>64.17</v>
      </c>
      <c r="G308" s="2">
        <v>67.459999999999994</v>
      </c>
      <c r="H308" s="2">
        <v>72.81</v>
      </c>
      <c r="I308" s="2">
        <v>90.63</v>
      </c>
      <c r="J308" s="2">
        <v>4.9400000000000004</v>
      </c>
      <c r="K308" s="2">
        <v>73.180000000000007</v>
      </c>
      <c r="L308" s="2">
        <v>2296768</v>
      </c>
      <c r="M308" s="2">
        <v>0</v>
      </c>
      <c r="O308" s="6">
        <f t="shared" si="44"/>
        <v>0.75781932315819156</v>
      </c>
      <c r="P308" s="6">
        <f t="shared" si="44"/>
        <v>-0.5380465221043178</v>
      </c>
      <c r="Q308" s="6">
        <f t="shared" si="45"/>
        <v>-1.0737845616934472</v>
      </c>
      <c r="R308" s="6">
        <f t="shared" si="46"/>
        <v>-0.88692461176211568</v>
      </c>
      <c r="S308" s="6">
        <f t="shared" si="47"/>
        <v>-0.63784549779618094</v>
      </c>
      <c r="T308" s="6">
        <f t="shared" si="48"/>
        <v>-0.23658101409716734</v>
      </c>
      <c r="U308" s="6">
        <f t="shared" si="49"/>
        <v>0.35020102329687958</v>
      </c>
      <c r="V308" s="6">
        <f t="shared" si="50"/>
        <v>-4.5359097947963757E-2</v>
      </c>
      <c r="W308" s="6">
        <f t="shared" si="51"/>
        <v>0.58144602747166874</v>
      </c>
      <c r="X308" s="6">
        <f t="shared" si="52"/>
        <v>-0.41094878950311398</v>
      </c>
    </row>
    <row r="309" spans="1:24" x14ac:dyDescent="0.35">
      <c r="A309" s="2" t="s">
        <v>322</v>
      </c>
      <c r="B309" s="2" t="s">
        <v>338</v>
      </c>
      <c r="C309" s="2">
        <v>34.270000000000003</v>
      </c>
      <c r="D309" s="2">
        <v>6.47</v>
      </c>
      <c r="E309" s="2">
        <v>6061</v>
      </c>
      <c r="F309" s="2">
        <v>61.8</v>
      </c>
      <c r="G309" s="2">
        <v>68.42</v>
      </c>
      <c r="H309" s="2">
        <v>50.54</v>
      </c>
      <c r="I309" s="2">
        <v>60.68</v>
      </c>
      <c r="J309" s="2">
        <v>1.45</v>
      </c>
      <c r="K309" s="2">
        <v>69.12</v>
      </c>
      <c r="L309" s="2">
        <v>767260</v>
      </c>
      <c r="M309" s="2">
        <v>1</v>
      </c>
      <c r="O309" s="6">
        <f t="shared" si="44"/>
        <v>2.952024902486603</v>
      </c>
      <c r="P309" s="6">
        <f t="shared" si="44"/>
        <v>-1.2070641093788641</v>
      </c>
      <c r="Q309" s="6">
        <f t="shared" si="45"/>
        <v>-1.5707453714208284</v>
      </c>
      <c r="R309" s="6">
        <f t="shared" si="46"/>
        <v>-1.2520618629623208</v>
      </c>
      <c r="S309" s="6">
        <f t="shared" si="47"/>
        <v>-0.35910866472332004</v>
      </c>
      <c r="T309" s="6">
        <f t="shared" si="48"/>
        <v>-1.4361198275092175</v>
      </c>
      <c r="U309" s="6">
        <f t="shared" si="49"/>
        <v>-1.5590990237845532</v>
      </c>
      <c r="V309" s="6">
        <f t="shared" si="50"/>
        <v>-1.3701372067876727</v>
      </c>
      <c r="W309" s="6">
        <f t="shared" si="51"/>
        <v>-5.3903842393077189E-2</v>
      </c>
      <c r="X309" s="6">
        <f t="shared" si="52"/>
        <v>-0.44290788699405059</v>
      </c>
    </row>
    <row r="310" spans="1:24" x14ac:dyDescent="0.35">
      <c r="A310" s="2" t="s">
        <v>322</v>
      </c>
      <c r="B310" s="2" t="s">
        <v>339</v>
      </c>
      <c r="C310" s="2">
        <v>28.18</v>
      </c>
      <c r="D310" s="2">
        <v>6.35</v>
      </c>
      <c r="E310" s="2">
        <v>6355</v>
      </c>
      <c r="F310" s="2">
        <v>62.29</v>
      </c>
      <c r="G310" s="2">
        <v>68.569999999999993</v>
      </c>
      <c r="H310" s="2">
        <v>42.15</v>
      </c>
      <c r="I310" s="2">
        <v>82.75</v>
      </c>
      <c r="J310" s="2">
        <v>2.04</v>
      </c>
      <c r="K310" s="2">
        <v>83.33</v>
      </c>
      <c r="L310" s="2">
        <v>2355164</v>
      </c>
      <c r="M310" s="2">
        <v>1</v>
      </c>
      <c r="O310" s="6">
        <f t="shared" si="44"/>
        <v>2.1347336500028091</v>
      </c>
      <c r="P310" s="6">
        <f t="shared" si="44"/>
        <v>-1.2807174217393646</v>
      </c>
      <c r="Q310" s="6">
        <f t="shared" si="45"/>
        <v>-1.4624381230443642</v>
      </c>
      <c r="R310" s="6">
        <f t="shared" si="46"/>
        <v>-1.1765693511108013</v>
      </c>
      <c r="S310" s="6">
        <f t="shared" si="47"/>
        <v>-0.31555603455568837</v>
      </c>
      <c r="T310" s="6">
        <f t="shared" si="48"/>
        <v>-1.8880340908467614</v>
      </c>
      <c r="U310" s="6">
        <f t="shared" si="49"/>
        <v>-0.15214570027579766</v>
      </c>
      <c r="V310" s="6">
        <f t="shared" si="50"/>
        <v>-1.1461775838033095</v>
      </c>
      <c r="W310" s="6">
        <f t="shared" si="51"/>
        <v>2.1698207021335314</v>
      </c>
      <c r="X310" s="6">
        <f t="shared" si="52"/>
        <v>-0.40972860402054001</v>
      </c>
    </row>
    <row r="311" spans="1:24" x14ac:dyDescent="0.35">
      <c r="A311" s="2" t="s">
        <v>322</v>
      </c>
      <c r="B311" s="2" t="s">
        <v>340</v>
      </c>
      <c r="C311" s="2">
        <v>12.91</v>
      </c>
      <c r="D311" s="2">
        <v>7.9</v>
      </c>
      <c r="E311" s="2">
        <v>8254</v>
      </c>
      <c r="F311" s="2">
        <v>65.819999999999993</v>
      </c>
      <c r="G311" s="2">
        <v>67.25</v>
      </c>
      <c r="H311" s="2">
        <v>89.07</v>
      </c>
      <c r="I311" s="2">
        <v>94.29</v>
      </c>
      <c r="J311" s="2">
        <v>0.97</v>
      </c>
      <c r="K311" s="2">
        <v>67.19</v>
      </c>
      <c r="L311" s="2">
        <v>1406360</v>
      </c>
      <c r="M311" s="2">
        <v>0</v>
      </c>
      <c r="O311" s="6">
        <f t="shared" si="44"/>
        <v>8.5466420868568094E-2</v>
      </c>
      <c r="P311" s="6">
        <f t="shared" si="44"/>
        <v>-0.32936213708289924</v>
      </c>
      <c r="Q311" s="6">
        <f t="shared" si="45"/>
        <v>-0.76286171261271329</v>
      </c>
      <c r="R311" s="6">
        <f t="shared" si="46"/>
        <v>-0.63271513307843041</v>
      </c>
      <c r="S311" s="6">
        <f t="shared" si="47"/>
        <v>-0.69881918003086696</v>
      </c>
      <c r="T311" s="6">
        <f t="shared" si="48"/>
        <v>0.63923852367022937</v>
      </c>
      <c r="U311" s="6">
        <f t="shared" si="49"/>
        <v>0.58352450150449442</v>
      </c>
      <c r="V311" s="6">
        <f t="shared" si="50"/>
        <v>-1.552341645825799</v>
      </c>
      <c r="W311" s="6">
        <f t="shared" si="51"/>
        <v>-0.35592976575242774</v>
      </c>
      <c r="X311" s="6">
        <f t="shared" si="52"/>
        <v>-0.42955388086498325</v>
      </c>
    </row>
    <row r="312" spans="1:24" x14ac:dyDescent="0.35">
      <c r="A312" s="2" t="s">
        <v>322</v>
      </c>
      <c r="B312" s="2" t="s">
        <v>341</v>
      </c>
      <c r="C312" s="2">
        <v>26.5</v>
      </c>
      <c r="D312" s="2">
        <v>7.35</v>
      </c>
      <c r="E312" s="2">
        <v>5780</v>
      </c>
      <c r="F312" s="2">
        <v>61.37</v>
      </c>
      <c r="G312" s="2">
        <v>68.069999999999993</v>
      </c>
      <c r="H312" s="2">
        <v>46.98</v>
      </c>
      <c r="I312" s="2">
        <v>75.63</v>
      </c>
      <c r="J312" s="2">
        <v>1.96</v>
      </c>
      <c r="K312" s="2">
        <v>81.95</v>
      </c>
      <c r="L312" s="2">
        <v>2086842</v>
      </c>
      <c r="M312" s="2">
        <v>1</v>
      </c>
      <c r="O312" s="6">
        <f t="shared" si="44"/>
        <v>1.9092739941452108</v>
      </c>
      <c r="P312" s="6">
        <f t="shared" si="44"/>
        <v>-0.6669398187351937</v>
      </c>
      <c r="Q312" s="6">
        <f t="shared" si="45"/>
        <v>-1.6742635237806462</v>
      </c>
      <c r="R312" s="6">
        <f t="shared" si="46"/>
        <v>-1.3183103937707965</v>
      </c>
      <c r="S312" s="6">
        <f t="shared" si="47"/>
        <v>-0.46073146844780222</v>
      </c>
      <c r="T312" s="6">
        <f t="shared" si="48"/>
        <v>-1.627873674646483</v>
      </c>
      <c r="U312" s="6">
        <f t="shared" si="49"/>
        <v>-0.60604273984908019</v>
      </c>
      <c r="V312" s="6">
        <f t="shared" si="50"/>
        <v>-1.1765449903096639</v>
      </c>
      <c r="W312" s="6">
        <f t="shared" si="51"/>
        <v>1.9538643424258106</v>
      </c>
      <c r="X312" s="6">
        <f t="shared" si="52"/>
        <v>-0.41533519709292871</v>
      </c>
    </row>
    <row r="313" spans="1:24" x14ac:dyDescent="0.35">
      <c r="A313" s="2" t="s">
        <v>322</v>
      </c>
      <c r="B313" s="2" t="s">
        <v>342</v>
      </c>
      <c r="C313" s="2">
        <v>30.13</v>
      </c>
      <c r="D313" s="2">
        <v>6.66</v>
      </c>
      <c r="E313" s="2">
        <v>5256</v>
      </c>
      <c r="F313" s="2">
        <v>57.03</v>
      </c>
      <c r="G313" s="2">
        <v>60.66</v>
      </c>
      <c r="H313" s="2">
        <v>81.28</v>
      </c>
      <c r="I313" s="2">
        <v>49.98</v>
      </c>
      <c r="J313" s="2">
        <v>1.25</v>
      </c>
      <c r="K313" s="2">
        <v>68.819999999999993</v>
      </c>
      <c r="L313" s="2">
        <v>785138</v>
      </c>
      <c r="M313" s="2">
        <v>1</v>
      </c>
      <c r="O313" s="6">
        <f t="shared" si="44"/>
        <v>2.3964278934089496</v>
      </c>
      <c r="P313" s="6">
        <f t="shared" si="44"/>
        <v>-1.0904463648080713</v>
      </c>
      <c r="Q313" s="6">
        <f t="shared" si="45"/>
        <v>-1.867300932451623</v>
      </c>
      <c r="R313" s="6">
        <f t="shared" si="46"/>
        <v>-1.9869583558842505</v>
      </c>
      <c r="S313" s="6">
        <f t="shared" si="47"/>
        <v>-2.6122313987289285</v>
      </c>
      <c r="T313" s="6">
        <f t="shared" si="48"/>
        <v>0.21964232445694415</v>
      </c>
      <c r="U313" s="6">
        <f t="shared" si="49"/>
        <v>-2.2412195748286714</v>
      </c>
      <c r="V313" s="6">
        <f t="shared" si="50"/>
        <v>-1.4460557230535587</v>
      </c>
      <c r="W313" s="6">
        <f t="shared" si="51"/>
        <v>-0.10085087711214884</v>
      </c>
      <c r="X313" s="6">
        <f t="shared" si="52"/>
        <v>-0.44253432585874242</v>
      </c>
    </row>
    <row r="314" spans="1:24" x14ac:dyDescent="0.35">
      <c r="A314" s="2" t="s">
        <v>322</v>
      </c>
      <c r="B314" s="2" t="s">
        <v>343</v>
      </c>
      <c r="C314" s="2">
        <v>16.329999999999998</v>
      </c>
      <c r="D314" s="2">
        <v>7.1</v>
      </c>
      <c r="E314" s="2">
        <v>5861</v>
      </c>
      <c r="F314" s="2">
        <v>60.42</v>
      </c>
      <c r="G314" s="2">
        <v>65.010000000000005</v>
      </c>
      <c r="H314" s="2">
        <v>71.08</v>
      </c>
      <c r="I314" s="2">
        <v>86.02</v>
      </c>
      <c r="J314" s="2">
        <v>3.43</v>
      </c>
      <c r="K314" s="2">
        <v>70.099999999999994</v>
      </c>
      <c r="L314" s="2">
        <v>1915540</v>
      </c>
      <c r="M314" s="2">
        <v>0</v>
      </c>
      <c r="O314" s="6">
        <f t="shared" si="44"/>
        <v>0.54443786315010712</v>
      </c>
      <c r="P314" s="6">
        <f t="shared" si="44"/>
        <v>-0.82038421948623641</v>
      </c>
      <c r="Q314" s="6">
        <f t="shared" si="45"/>
        <v>-1.6444237716769265</v>
      </c>
      <c r="R314" s="6">
        <f t="shared" si="46"/>
        <v>-1.4646734269523125</v>
      </c>
      <c r="S314" s="6">
        <f t="shared" si="47"/>
        <v>-1.3492051238675355</v>
      </c>
      <c r="T314" s="6">
        <f t="shared" si="48"/>
        <v>-0.32976476565544532</v>
      </c>
      <c r="U314" s="6">
        <f t="shared" si="49"/>
        <v>5.6315440090021318E-2</v>
      </c>
      <c r="V314" s="6">
        <f t="shared" si="50"/>
        <v>-0.61854389575540236</v>
      </c>
      <c r="W314" s="6">
        <f t="shared" si="51"/>
        <v>9.9456471022549467E-2</v>
      </c>
      <c r="X314" s="6">
        <f t="shared" si="52"/>
        <v>-0.41891455549994094</v>
      </c>
    </row>
    <row r="315" spans="1:24" x14ac:dyDescent="0.35">
      <c r="A315" s="2" t="s">
        <v>322</v>
      </c>
      <c r="B315" s="2" t="s">
        <v>344</v>
      </c>
      <c r="C315" s="2">
        <v>9.17</v>
      </c>
      <c r="D315" s="2">
        <v>11.6</v>
      </c>
      <c r="E315" s="2">
        <v>13218</v>
      </c>
      <c r="F315" s="2">
        <v>79.739999999999995</v>
      </c>
      <c r="G315" s="2">
        <v>69.73</v>
      </c>
      <c r="H315" s="2">
        <v>89.86</v>
      </c>
      <c r="I315" s="2">
        <v>96.59</v>
      </c>
      <c r="J315" s="2">
        <v>9.76</v>
      </c>
      <c r="K315" s="2">
        <v>62.34</v>
      </c>
      <c r="L315" s="2">
        <v>16530278</v>
      </c>
      <c r="M315" s="2">
        <v>0</v>
      </c>
      <c r="O315" s="6">
        <f t="shared" si="44"/>
        <v>-0.4164497177667994</v>
      </c>
      <c r="P315" s="6">
        <f t="shared" si="44"/>
        <v>1.9416149940325327</v>
      </c>
      <c r="Q315" s="6">
        <f t="shared" si="45"/>
        <v>1.0658361817436401</v>
      </c>
      <c r="R315" s="6">
        <f t="shared" si="46"/>
        <v>1.5118884689075804</v>
      </c>
      <c r="S315" s="6">
        <f t="shared" si="47"/>
        <v>2.1250972074018888E-2</v>
      </c>
      <c r="T315" s="6">
        <f t="shared" si="48"/>
        <v>0.68179064143383628</v>
      </c>
      <c r="U315" s="6">
        <f t="shared" si="49"/>
        <v>0.73014854518687478</v>
      </c>
      <c r="V315" s="6">
        <f t="shared" si="50"/>
        <v>1.7842771440598861</v>
      </c>
      <c r="W315" s="6">
        <f t="shared" si="51"/>
        <v>-1.1149068270440565</v>
      </c>
      <c r="X315" s="6">
        <f t="shared" si="52"/>
        <v>-0.11353933906008178</v>
      </c>
    </row>
    <row r="316" spans="1:24" x14ac:dyDescent="0.35">
      <c r="A316" s="2" t="s">
        <v>345</v>
      </c>
      <c r="B316" s="2" t="s">
        <v>346</v>
      </c>
      <c r="C316" s="2">
        <v>7.66</v>
      </c>
      <c r="D316" s="2">
        <v>6.72</v>
      </c>
      <c r="E316" s="2">
        <v>9828</v>
      </c>
      <c r="F316" s="2">
        <v>67.099999999999994</v>
      </c>
      <c r="G316" s="2">
        <v>69.08</v>
      </c>
      <c r="H316" s="2">
        <v>92.66</v>
      </c>
      <c r="I316" s="2">
        <v>95.6</v>
      </c>
      <c r="J316" s="2">
        <v>3.97</v>
      </c>
      <c r="K316" s="2">
        <v>72.84</v>
      </c>
      <c r="L316" s="2">
        <v>13948120</v>
      </c>
      <c r="M316" s="2">
        <v>0</v>
      </c>
      <c r="O316" s="6">
        <f t="shared" si="44"/>
        <v>-0.61909500368642634</v>
      </c>
      <c r="P316" s="6">
        <f t="shared" si="44"/>
        <v>-1.0536197086278214</v>
      </c>
      <c r="Q316" s="6">
        <f t="shared" si="45"/>
        <v>-0.18301270259722169</v>
      </c>
      <c r="R316" s="6">
        <f t="shared" si="46"/>
        <v>-0.43551020416017633</v>
      </c>
      <c r="S316" s="6">
        <f t="shared" si="47"/>
        <v>-0.16747709198573077</v>
      </c>
      <c r="T316" s="6">
        <f t="shared" si="48"/>
        <v>0.83260827401370774</v>
      </c>
      <c r="U316" s="6">
        <f t="shared" si="49"/>
        <v>0.66703645681924084</v>
      </c>
      <c r="V316" s="6">
        <f t="shared" si="50"/>
        <v>-0.41356390183751041</v>
      </c>
      <c r="W316" s="6">
        <f t="shared" si="51"/>
        <v>0.528239388123389</v>
      </c>
      <c r="X316" s="6">
        <f t="shared" si="52"/>
        <v>-0.16749357745504403</v>
      </c>
    </row>
    <row r="317" spans="1:24" x14ac:dyDescent="0.35">
      <c r="A317" s="2" t="s">
        <v>345</v>
      </c>
      <c r="B317" s="2" t="s">
        <v>347</v>
      </c>
      <c r="C317" s="2">
        <v>6.48</v>
      </c>
      <c r="D317" s="2">
        <v>6.8</v>
      </c>
      <c r="E317" s="2">
        <v>9193</v>
      </c>
      <c r="F317" s="2">
        <v>68.040000000000006</v>
      </c>
      <c r="G317" s="2">
        <v>73.84</v>
      </c>
      <c r="H317" s="2">
        <v>82.17</v>
      </c>
      <c r="I317" s="2">
        <v>74.510000000000005</v>
      </c>
      <c r="J317" s="2">
        <v>4.42</v>
      </c>
      <c r="K317" s="2">
        <v>70.16</v>
      </c>
      <c r="L317" s="2">
        <v>5842930</v>
      </c>
      <c r="M317" s="2">
        <v>0</v>
      </c>
      <c r="O317" s="6">
        <f t="shared" si="44"/>
        <v>-0.77745357149116789</v>
      </c>
      <c r="P317" s="6">
        <f t="shared" si="44"/>
        <v>-1.0045175003874875</v>
      </c>
      <c r="Q317" s="6">
        <f t="shared" si="45"/>
        <v>-0.41694162341033297</v>
      </c>
      <c r="R317" s="6">
        <f t="shared" si="46"/>
        <v>-0.29068783448583185</v>
      </c>
      <c r="S317" s="6">
        <f t="shared" si="47"/>
        <v>1.2145930386671946</v>
      </c>
      <c r="T317" s="6">
        <f t="shared" si="48"/>
        <v>0.26758078624126053</v>
      </c>
      <c r="U317" s="6">
        <f t="shared" si="49"/>
        <v>-0.67744227416397784</v>
      </c>
      <c r="V317" s="6">
        <f t="shared" si="50"/>
        <v>-0.24274724023926728</v>
      </c>
      <c r="W317" s="6">
        <f t="shared" si="51"/>
        <v>0.10884587796636379</v>
      </c>
      <c r="X317" s="6">
        <f t="shared" si="52"/>
        <v>-0.33685166998712923</v>
      </c>
    </row>
    <row r="318" spans="1:24" x14ac:dyDescent="0.35">
      <c r="A318" s="2" t="s">
        <v>345</v>
      </c>
      <c r="B318" s="2" t="s">
        <v>348</v>
      </c>
      <c r="C318" s="2">
        <v>10.99</v>
      </c>
      <c r="D318" s="2">
        <v>7.12</v>
      </c>
      <c r="E318" s="2">
        <v>7431</v>
      </c>
      <c r="F318" s="2">
        <v>66.209999999999994</v>
      </c>
      <c r="G318" s="2">
        <v>73.040000000000006</v>
      </c>
      <c r="H318" s="2">
        <v>62.85</v>
      </c>
      <c r="I318" s="2">
        <v>65.540000000000006</v>
      </c>
      <c r="J318" s="2">
        <v>3.22</v>
      </c>
      <c r="K318" s="2">
        <v>70.19</v>
      </c>
      <c r="L318" s="2">
        <v>7312662</v>
      </c>
      <c r="M318" s="2">
        <v>0</v>
      </c>
      <c r="O318" s="6">
        <f t="shared" si="44"/>
        <v>-0.17220175725440129</v>
      </c>
      <c r="P318" s="6">
        <f t="shared" si="44"/>
        <v>-0.80810866742615273</v>
      </c>
      <c r="Q318" s="6">
        <f t="shared" si="45"/>
        <v>-1.0660483296665568</v>
      </c>
      <c r="R318" s="6">
        <f t="shared" si="46"/>
        <v>-0.5726292562986498</v>
      </c>
      <c r="S318" s="6">
        <f t="shared" si="47"/>
        <v>0.98231234443981319</v>
      </c>
      <c r="T318" s="6">
        <f t="shared" si="48"/>
        <v>-0.77306087855985339</v>
      </c>
      <c r="U318" s="6">
        <f t="shared" si="49"/>
        <v>-1.2492760445252618</v>
      </c>
      <c r="V318" s="6">
        <f t="shared" si="50"/>
        <v>-0.69825833783458258</v>
      </c>
      <c r="W318" s="6">
        <f t="shared" si="51"/>
        <v>0.11354058143827095</v>
      </c>
      <c r="X318" s="6">
        <f t="shared" si="52"/>
        <v>-0.30614159310387706</v>
      </c>
    </row>
    <row r="319" spans="1:24" x14ac:dyDescent="0.35">
      <c r="A319" s="2" t="s">
        <v>345</v>
      </c>
      <c r="B319" s="2" t="s">
        <v>349</v>
      </c>
      <c r="C319" s="2">
        <v>5.18</v>
      </c>
      <c r="D319" s="2">
        <v>7.04</v>
      </c>
      <c r="E319" s="2">
        <v>7758</v>
      </c>
      <c r="F319" s="2">
        <v>66.03</v>
      </c>
      <c r="G319" s="2">
        <v>71.180000000000007</v>
      </c>
      <c r="H319" s="2">
        <v>83.95</v>
      </c>
      <c r="I319" s="2">
        <v>88.86</v>
      </c>
      <c r="J319" s="2">
        <v>7.71</v>
      </c>
      <c r="K319" s="2">
        <v>60.86</v>
      </c>
      <c r="L319" s="2">
        <v>5466323</v>
      </c>
      <c r="M319" s="2">
        <v>0</v>
      </c>
      <c r="O319" s="6">
        <f t="shared" si="44"/>
        <v>-0.95191640042859527</v>
      </c>
      <c r="P319" s="6">
        <f t="shared" si="44"/>
        <v>-0.85721087566648646</v>
      </c>
      <c r="Q319" s="6">
        <f t="shared" si="45"/>
        <v>-0.94558414524783652</v>
      </c>
      <c r="R319" s="6">
        <f t="shared" si="46"/>
        <v>-0.6003611994277781</v>
      </c>
      <c r="S319" s="6">
        <f t="shared" si="47"/>
        <v>0.44225973036114985</v>
      </c>
      <c r="T319" s="6">
        <f t="shared" si="48"/>
        <v>0.36345770980989323</v>
      </c>
      <c r="U319" s="6">
        <f t="shared" si="49"/>
        <v>0.2373642592456566</v>
      </c>
      <c r="V319" s="6">
        <f t="shared" si="50"/>
        <v>1.0061123523345556</v>
      </c>
      <c r="W319" s="6">
        <f t="shared" si="51"/>
        <v>-1.3465121983248018</v>
      </c>
      <c r="X319" s="6">
        <f t="shared" si="52"/>
        <v>-0.34472088010487245</v>
      </c>
    </row>
    <row r="320" spans="1:24" x14ac:dyDescent="0.35">
      <c r="A320" s="2" t="s">
        <v>345</v>
      </c>
      <c r="B320" s="2" t="s">
        <v>350</v>
      </c>
      <c r="C320" s="2">
        <v>4.55</v>
      </c>
      <c r="D320" s="2">
        <v>7.39</v>
      </c>
      <c r="E320" s="2">
        <v>8328</v>
      </c>
      <c r="F320" s="2">
        <v>66.2</v>
      </c>
      <c r="G320" s="2">
        <v>71.42</v>
      </c>
      <c r="H320" s="2">
        <v>70.34</v>
      </c>
      <c r="I320" s="2">
        <v>81.680000000000007</v>
      </c>
      <c r="J320" s="2">
        <v>3.45</v>
      </c>
      <c r="K320" s="2">
        <v>69.41</v>
      </c>
      <c r="L320" s="2">
        <v>13790449</v>
      </c>
      <c r="M320" s="2">
        <v>0</v>
      </c>
      <c r="O320" s="6">
        <f t="shared" si="44"/>
        <v>-1.0364637713751945</v>
      </c>
      <c r="P320" s="6">
        <f t="shared" si="44"/>
        <v>-0.64238871461502689</v>
      </c>
      <c r="Q320" s="6">
        <f t="shared" si="45"/>
        <v>-0.735600704517957</v>
      </c>
      <c r="R320" s="6">
        <f t="shared" si="46"/>
        <v>-0.57416991980582233</v>
      </c>
      <c r="S320" s="6">
        <f t="shared" si="47"/>
        <v>0.51194393862936305</v>
      </c>
      <c r="T320" s="6">
        <f t="shared" si="48"/>
        <v>-0.36962371140869682</v>
      </c>
      <c r="U320" s="6">
        <f t="shared" si="49"/>
        <v>-0.22035775538020902</v>
      </c>
      <c r="V320" s="6">
        <f t="shared" si="50"/>
        <v>-0.61095204412881376</v>
      </c>
      <c r="W320" s="6">
        <f t="shared" si="51"/>
        <v>-8.5217088313108893E-3</v>
      </c>
      <c r="X320" s="6">
        <f t="shared" si="52"/>
        <v>-0.17078811586902648</v>
      </c>
    </row>
    <row r="321" spans="1:24" x14ac:dyDescent="0.35">
      <c r="A321" s="2" t="s">
        <v>345</v>
      </c>
      <c r="B321" s="2" t="s">
        <v>351</v>
      </c>
      <c r="C321" s="2">
        <v>10.130000000000001</v>
      </c>
      <c r="D321" s="2">
        <v>7.46</v>
      </c>
      <c r="E321" s="2">
        <v>9209</v>
      </c>
      <c r="F321" s="2">
        <v>67.430000000000007</v>
      </c>
      <c r="G321" s="2">
        <v>71.11</v>
      </c>
      <c r="H321" s="2">
        <v>75.459999999999994</v>
      </c>
      <c r="I321" s="2">
        <v>57.25</v>
      </c>
      <c r="J321" s="2">
        <v>6.94</v>
      </c>
      <c r="K321" s="2">
        <v>64.44</v>
      </c>
      <c r="L321" s="2">
        <v>18848703</v>
      </c>
      <c r="M321" s="2">
        <v>0</v>
      </c>
      <c r="O321" s="6">
        <f t="shared" si="44"/>
        <v>-0.2876156287053146</v>
      </c>
      <c r="P321" s="6">
        <f t="shared" si="44"/>
        <v>-0.59942428240473467</v>
      </c>
      <c r="Q321" s="6">
        <f t="shared" si="45"/>
        <v>-0.41104735138984516</v>
      </c>
      <c r="R321" s="6">
        <f t="shared" si="46"/>
        <v>-0.38466830842343708</v>
      </c>
      <c r="S321" s="6">
        <f t="shared" si="47"/>
        <v>0.42193516961625177</v>
      </c>
      <c r="T321" s="6">
        <f t="shared" si="48"/>
        <v>-9.384289754836074E-2</v>
      </c>
      <c r="U321" s="6">
        <f t="shared" si="49"/>
        <v>-1.7777600976239292</v>
      </c>
      <c r="V321" s="6">
        <f t="shared" si="50"/>
        <v>0.71382606471089516</v>
      </c>
      <c r="W321" s="6">
        <f t="shared" si="51"/>
        <v>-0.78627758401056824</v>
      </c>
      <c r="X321" s="6">
        <f t="shared" si="52"/>
        <v>-6.5095806499006745E-2</v>
      </c>
    </row>
    <row r="322" spans="1:24" x14ac:dyDescent="0.35">
      <c r="A322" s="2" t="s">
        <v>345</v>
      </c>
      <c r="B322" s="2" t="s">
        <v>352</v>
      </c>
      <c r="C322" s="2">
        <v>9.2799999999999994</v>
      </c>
      <c r="D322" s="2">
        <v>7.08</v>
      </c>
      <c r="E322" s="2">
        <v>8708</v>
      </c>
      <c r="F322" s="2">
        <v>66.930000000000007</v>
      </c>
      <c r="G322" s="2">
        <v>71.84</v>
      </c>
      <c r="H322" s="2">
        <v>65.33</v>
      </c>
      <c r="I322" s="2">
        <v>52.13</v>
      </c>
      <c r="J322" s="2">
        <v>3.95</v>
      </c>
      <c r="K322" s="2">
        <v>77.78</v>
      </c>
      <c r="L322" s="2">
        <v>9731976</v>
      </c>
      <c r="M322" s="2">
        <v>0</v>
      </c>
      <c r="O322" s="6">
        <f t="shared" si="44"/>
        <v>-0.40168747839517105</v>
      </c>
      <c r="P322" s="6">
        <f t="shared" si="44"/>
        <v>-0.83265977154631954</v>
      </c>
      <c r="Q322" s="6">
        <f t="shared" si="45"/>
        <v>-0.59561174403137074</v>
      </c>
      <c r="R322" s="6">
        <f t="shared" si="46"/>
        <v>-0.46170148378213</v>
      </c>
      <c r="S322" s="6">
        <f t="shared" si="47"/>
        <v>0.6338913030987392</v>
      </c>
      <c r="T322" s="6">
        <f t="shared" si="48"/>
        <v>-0.63947954684625308</v>
      </c>
      <c r="U322" s="6">
        <f t="shared" si="49"/>
        <v>-2.1041579687777499</v>
      </c>
      <c r="V322" s="6">
        <f t="shared" si="50"/>
        <v>-0.421155753464099</v>
      </c>
      <c r="W322" s="6">
        <f t="shared" si="51"/>
        <v>1.3013005598307392</v>
      </c>
      <c r="X322" s="6">
        <f t="shared" si="52"/>
        <v>-0.25558998305202518</v>
      </c>
    </row>
    <row r="323" spans="1:24" x14ac:dyDescent="0.35">
      <c r="A323" s="2" t="s">
        <v>345</v>
      </c>
      <c r="B323" s="2" t="s">
        <v>353</v>
      </c>
      <c r="C323" s="2">
        <v>8.93</v>
      </c>
      <c r="D323" s="2">
        <v>7.53</v>
      </c>
      <c r="E323" s="2">
        <v>7168</v>
      </c>
      <c r="F323" s="2">
        <v>65.75</v>
      </c>
      <c r="G323" s="2">
        <v>72.53</v>
      </c>
      <c r="H323" s="2">
        <v>69.7</v>
      </c>
      <c r="I323" s="2">
        <v>77</v>
      </c>
      <c r="J323" s="2">
        <v>4.18</v>
      </c>
      <c r="K323" s="2">
        <v>72.349999999999994</v>
      </c>
      <c r="L323" s="2">
        <v>6510868</v>
      </c>
      <c r="M323" s="2">
        <v>0</v>
      </c>
      <c r="O323" s="6">
        <f t="shared" ref="O323:P386" si="53">(C323 - C$516) / C$517</f>
        <v>-0.44865824003217064</v>
      </c>
      <c r="P323" s="6">
        <f t="shared" si="53"/>
        <v>-0.55645985019444255</v>
      </c>
      <c r="Q323" s="6">
        <f t="shared" ref="Q323:Q386" si="54">(E323 - E$516) / E$517</f>
        <v>-1.1629354260033258</v>
      </c>
      <c r="R323" s="6">
        <f t="shared" ref="R323:R386" si="55">(F323 - F$516) / F$517</f>
        <v>-0.6434997776286463</v>
      </c>
      <c r="S323" s="6">
        <f t="shared" ref="S323:S386" si="56">(G323 - G$516) / G$517</f>
        <v>0.83423340186985562</v>
      </c>
      <c r="T323" s="6">
        <f t="shared" ref="T323:T386" si="57">(H323 - H$516) / H$517</f>
        <v>-0.40409631314123895</v>
      </c>
      <c r="U323" s="6">
        <f t="shared" ref="U323:U386" si="58">(I323 - I$516) / I$517</f>
        <v>-0.51870580948174894</v>
      </c>
      <c r="V323" s="6">
        <f t="shared" ref="V323:V386" si="59">(J323 - J$516) / J$517</f>
        <v>-0.33384945975833041</v>
      </c>
      <c r="W323" s="6">
        <f t="shared" ref="W323:W386" si="60">(K323 - K$516) / K$517</f>
        <v>0.45155923141557353</v>
      </c>
      <c r="X323" s="6">
        <f t="shared" ref="X323:X386" si="61">(L323 - L$516) / L$517</f>
        <v>-0.32289509332332544</v>
      </c>
    </row>
    <row r="324" spans="1:24" x14ac:dyDescent="0.35">
      <c r="A324" s="2" t="s">
        <v>345</v>
      </c>
      <c r="B324" s="2" t="s">
        <v>354</v>
      </c>
      <c r="C324" s="2">
        <v>6.26</v>
      </c>
      <c r="D324" s="2">
        <v>6.85</v>
      </c>
      <c r="E324" s="2">
        <v>7462</v>
      </c>
      <c r="F324" s="2">
        <v>64.930000000000007</v>
      </c>
      <c r="G324" s="2">
        <v>72.05</v>
      </c>
      <c r="H324" s="2">
        <v>69.63</v>
      </c>
      <c r="I324" s="2">
        <v>48.85</v>
      </c>
      <c r="J324" s="2">
        <v>2.92</v>
      </c>
      <c r="K324" s="2">
        <v>71.98</v>
      </c>
      <c r="L324" s="2">
        <v>4435321</v>
      </c>
      <c r="M324" s="2">
        <v>0</v>
      </c>
      <c r="O324" s="6">
        <f t="shared" si="53"/>
        <v>-0.80697805023442493</v>
      </c>
      <c r="P324" s="6">
        <f t="shared" si="53"/>
        <v>-0.97382862023727912</v>
      </c>
      <c r="Q324" s="6">
        <f t="shared" si="54"/>
        <v>-1.0546281776268616</v>
      </c>
      <c r="R324" s="6">
        <f t="shared" si="55"/>
        <v>-0.76983418521690161</v>
      </c>
      <c r="S324" s="6">
        <f t="shared" si="56"/>
        <v>0.69486498533342511</v>
      </c>
      <c r="T324" s="6">
        <f t="shared" si="57"/>
        <v>-0.40786675395573613</v>
      </c>
      <c r="U324" s="6">
        <f t="shared" si="58"/>
        <v>-2.3132566049856664</v>
      </c>
      <c r="V324" s="6">
        <f t="shared" si="59"/>
        <v>-0.81213611223341153</v>
      </c>
      <c r="W324" s="6">
        <f t="shared" si="60"/>
        <v>0.39365788859538886</v>
      </c>
      <c r="X324" s="6">
        <f t="shared" si="61"/>
        <v>-0.36626368565499096</v>
      </c>
    </row>
    <row r="325" spans="1:24" x14ac:dyDescent="0.35">
      <c r="A325" s="2" t="s">
        <v>345</v>
      </c>
      <c r="B325" s="2" t="s">
        <v>355</v>
      </c>
      <c r="C325" s="2">
        <v>12.01</v>
      </c>
      <c r="D325" s="2">
        <v>6.91</v>
      </c>
      <c r="E325" s="2">
        <v>8415</v>
      </c>
      <c r="F325" s="2">
        <v>65.87</v>
      </c>
      <c r="G325" s="2">
        <v>72.98</v>
      </c>
      <c r="H325" s="2">
        <v>71.62</v>
      </c>
      <c r="I325" s="2">
        <v>66.05</v>
      </c>
      <c r="J325" s="2">
        <v>2.66</v>
      </c>
      <c r="K325" s="2">
        <v>72.31</v>
      </c>
      <c r="L325" s="2">
        <v>3500136</v>
      </c>
      <c r="M325" s="2">
        <v>0</v>
      </c>
      <c r="O325" s="6">
        <f t="shared" si="53"/>
        <v>-3.5315537626573863E-2</v>
      </c>
      <c r="P325" s="6">
        <f t="shared" si="53"/>
        <v>-0.93700196405702862</v>
      </c>
      <c r="Q325" s="6">
        <f t="shared" si="54"/>
        <v>-0.70355060040655437</v>
      </c>
      <c r="R325" s="6">
        <f t="shared" si="55"/>
        <v>-0.62501181554255936</v>
      </c>
      <c r="S325" s="6">
        <f t="shared" si="56"/>
        <v>0.96489129237275895</v>
      </c>
      <c r="T325" s="6">
        <f t="shared" si="57"/>
        <v>-0.30067850794361262</v>
      </c>
      <c r="U325" s="6">
        <f t="shared" si="58"/>
        <v>-1.2167637565782996</v>
      </c>
      <c r="V325" s="6">
        <f t="shared" si="59"/>
        <v>-0.91083018337906307</v>
      </c>
      <c r="W325" s="6">
        <f t="shared" si="60"/>
        <v>0.44529962678636542</v>
      </c>
      <c r="X325" s="6">
        <f t="shared" si="61"/>
        <v>-0.38580439324662275</v>
      </c>
    </row>
    <row r="326" spans="1:24" x14ac:dyDescent="0.35">
      <c r="A326" s="2" t="s">
        <v>345</v>
      </c>
      <c r="B326" s="2" t="s">
        <v>356</v>
      </c>
      <c r="C326" s="2">
        <v>9.33</v>
      </c>
      <c r="D326" s="2">
        <v>6.02</v>
      </c>
      <c r="E326" s="2">
        <v>7920</v>
      </c>
      <c r="F326" s="2">
        <v>62.9</v>
      </c>
      <c r="G326" s="2">
        <v>68.48</v>
      </c>
      <c r="H326" s="2">
        <v>71.34</v>
      </c>
      <c r="I326" s="2">
        <v>98.84</v>
      </c>
      <c r="J326" s="2">
        <v>3.78</v>
      </c>
      <c r="K326" s="2">
        <v>65.53</v>
      </c>
      <c r="L326" s="2">
        <v>2632989</v>
      </c>
      <c r="M326" s="2">
        <v>0</v>
      </c>
      <c r="O326" s="6">
        <f t="shared" si="53"/>
        <v>-0.39497736958988527</v>
      </c>
      <c r="P326" s="6">
        <f t="shared" si="53"/>
        <v>-1.483264030730741</v>
      </c>
      <c r="Q326" s="6">
        <f t="shared" si="54"/>
        <v>-0.88590464104039701</v>
      </c>
      <c r="R326" s="6">
        <f t="shared" si="55"/>
        <v>-1.0825888771731962</v>
      </c>
      <c r="S326" s="6">
        <f t="shared" si="56"/>
        <v>-0.34168761265626574</v>
      </c>
      <c r="T326" s="6">
        <f t="shared" si="57"/>
        <v>-0.31576027120159983</v>
      </c>
      <c r="U326" s="6">
        <f t="shared" si="58"/>
        <v>0.87358510965876879</v>
      </c>
      <c r="V326" s="6">
        <f t="shared" si="59"/>
        <v>-0.48568649229010219</v>
      </c>
      <c r="W326" s="6">
        <f t="shared" si="60"/>
        <v>-0.61570335786461383</v>
      </c>
      <c r="X326" s="6">
        <f t="shared" si="61"/>
        <v>-0.40392344559023469</v>
      </c>
    </row>
    <row r="327" spans="1:24" x14ac:dyDescent="0.35">
      <c r="A327" s="2" t="s">
        <v>345</v>
      </c>
      <c r="B327" s="2" t="s">
        <v>357</v>
      </c>
      <c r="C327" s="2">
        <v>4.34</v>
      </c>
      <c r="D327" s="2">
        <v>7</v>
      </c>
      <c r="E327" s="2">
        <v>8630</v>
      </c>
      <c r="F327" s="2">
        <v>68.16</v>
      </c>
      <c r="G327" s="2">
        <v>70.69</v>
      </c>
      <c r="H327" s="2">
        <v>75.739999999999995</v>
      </c>
      <c r="I327" s="2">
        <v>96.76</v>
      </c>
      <c r="J327" s="2">
        <v>7.02</v>
      </c>
      <c r="K327" s="2">
        <v>67.47</v>
      </c>
      <c r="L327" s="2">
        <v>18754974</v>
      </c>
      <c r="M327" s="2">
        <v>0</v>
      </c>
      <c r="O327" s="6">
        <f t="shared" si="53"/>
        <v>-1.0646462283573943</v>
      </c>
      <c r="P327" s="6">
        <f t="shared" si="53"/>
        <v>-0.88176197978665327</v>
      </c>
      <c r="Q327" s="6">
        <f t="shared" si="54"/>
        <v>-0.62434632013124902</v>
      </c>
      <c r="R327" s="6">
        <f t="shared" si="55"/>
        <v>-0.27219987239974702</v>
      </c>
      <c r="S327" s="6">
        <f t="shared" si="56"/>
        <v>0.29998780514687567</v>
      </c>
      <c r="T327" s="6">
        <f t="shared" si="57"/>
        <v>-7.8761134290373527E-2</v>
      </c>
      <c r="U327" s="6">
        <f t="shared" si="58"/>
        <v>0.74098597450252912</v>
      </c>
      <c r="V327" s="6">
        <f t="shared" si="59"/>
        <v>0.74419347121724921</v>
      </c>
      <c r="W327" s="6">
        <f t="shared" si="60"/>
        <v>-0.31211253334796235</v>
      </c>
      <c r="X327" s="6">
        <f t="shared" si="61"/>
        <v>-6.7054275659500187E-2</v>
      </c>
    </row>
    <row r="328" spans="1:24" x14ac:dyDescent="0.35">
      <c r="A328" s="2" t="s">
        <v>345</v>
      </c>
      <c r="B328" s="2" t="s">
        <v>358</v>
      </c>
      <c r="C328" s="2">
        <v>4.58</v>
      </c>
      <c r="D328" s="2">
        <v>10.43</v>
      </c>
      <c r="E328" s="2">
        <v>14610</v>
      </c>
      <c r="F328" s="2">
        <v>79.930000000000007</v>
      </c>
      <c r="G328" s="2">
        <v>73.12</v>
      </c>
      <c r="H328" s="2">
        <v>96.48</v>
      </c>
      <c r="I328" s="2">
        <v>96.3</v>
      </c>
      <c r="J328" s="2">
        <v>12.38</v>
      </c>
      <c r="K328" s="2">
        <v>61.94</v>
      </c>
      <c r="L328" s="2">
        <v>24919417</v>
      </c>
      <c r="M328" s="2">
        <v>0</v>
      </c>
      <c r="O328" s="6">
        <f t="shared" si="53"/>
        <v>-1.0324377060920231</v>
      </c>
      <c r="P328" s="6">
        <f t="shared" si="53"/>
        <v>1.2234951985176528</v>
      </c>
      <c r="Q328" s="6">
        <f t="shared" si="54"/>
        <v>1.5786378475260825</v>
      </c>
      <c r="R328" s="6">
        <f t="shared" si="55"/>
        <v>1.5411610755438856</v>
      </c>
      <c r="S328" s="6">
        <f t="shared" si="56"/>
        <v>1.005540413862551</v>
      </c>
      <c r="T328" s="6">
        <f t="shared" si="57"/>
        <v>1.0383666156048186</v>
      </c>
      <c r="U328" s="6">
        <f t="shared" si="58"/>
        <v>0.71166116576605254</v>
      </c>
      <c r="V328" s="6">
        <f t="shared" si="59"/>
        <v>2.7788097071429916</v>
      </c>
      <c r="W328" s="6">
        <f t="shared" si="60"/>
        <v>-1.1775028733361506</v>
      </c>
      <c r="X328" s="6">
        <f t="shared" si="61"/>
        <v>6.1751872993741137E-2</v>
      </c>
    </row>
    <row r="329" spans="1:24" x14ac:dyDescent="0.35">
      <c r="A329" s="2" t="s">
        <v>345</v>
      </c>
      <c r="B329" s="2" t="s">
        <v>359</v>
      </c>
      <c r="C329" s="2">
        <v>4.83</v>
      </c>
      <c r="D329" s="2">
        <v>7.9</v>
      </c>
      <c r="E329" s="2">
        <v>11767</v>
      </c>
      <c r="F329" s="2">
        <v>72.11</v>
      </c>
      <c r="G329" s="2">
        <v>72.180000000000007</v>
      </c>
      <c r="H329" s="2">
        <v>92.21</v>
      </c>
      <c r="I329" s="2">
        <v>89.96</v>
      </c>
      <c r="J329" s="2">
        <v>9.16</v>
      </c>
      <c r="K329" s="2">
        <v>64.31</v>
      </c>
      <c r="L329" s="2">
        <v>6977774</v>
      </c>
      <c r="M329" s="2">
        <v>0</v>
      </c>
      <c r="O329" s="6">
        <f t="shared" si="53"/>
        <v>-0.9988871620655948</v>
      </c>
      <c r="P329" s="6">
        <f t="shared" si="53"/>
        <v>-0.32936213708289924</v>
      </c>
      <c r="Q329" s="6">
        <f t="shared" si="54"/>
        <v>0.5312993878856489</v>
      </c>
      <c r="R329" s="6">
        <f t="shared" si="55"/>
        <v>0.33636221293392737</v>
      </c>
      <c r="S329" s="6">
        <f t="shared" si="56"/>
        <v>0.73261059814537755</v>
      </c>
      <c r="T329" s="6">
        <f t="shared" si="57"/>
        <v>0.80836972592051393</v>
      </c>
      <c r="U329" s="6">
        <f t="shared" si="58"/>
        <v>0.30748880187635996</v>
      </c>
      <c r="V329" s="6">
        <f t="shared" si="59"/>
        <v>1.5565215952622287</v>
      </c>
      <c r="W329" s="6">
        <f t="shared" si="60"/>
        <v>-0.80662129905549784</v>
      </c>
      <c r="X329" s="6">
        <f t="shared" si="61"/>
        <v>-0.31313908395750112</v>
      </c>
    </row>
    <row r="330" spans="1:24" x14ac:dyDescent="0.35">
      <c r="A330" s="2" t="s">
        <v>360</v>
      </c>
      <c r="B330" s="2" t="s">
        <v>361</v>
      </c>
      <c r="C330" s="2">
        <v>3.95</v>
      </c>
      <c r="D330" s="2">
        <v>8.5299999999999994</v>
      </c>
      <c r="E330" s="2">
        <v>13117</v>
      </c>
      <c r="F330" s="2">
        <v>73.069999999999993</v>
      </c>
      <c r="G330" s="2">
        <v>70.680000000000007</v>
      </c>
      <c r="H330" s="2">
        <v>90.73</v>
      </c>
      <c r="I330" s="2">
        <v>86.62</v>
      </c>
      <c r="J330" s="2">
        <v>4.7</v>
      </c>
      <c r="K330" s="2">
        <v>70.010000000000005</v>
      </c>
      <c r="L330" s="2">
        <v>13733984</v>
      </c>
      <c r="M330" s="2">
        <v>0</v>
      </c>
      <c r="O330" s="6">
        <f t="shared" si="53"/>
        <v>-1.1169850770386225</v>
      </c>
      <c r="P330" s="6">
        <f t="shared" si="53"/>
        <v>5.7317752809727819E-2</v>
      </c>
      <c r="Q330" s="6">
        <f t="shared" si="54"/>
        <v>1.0286285896143106</v>
      </c>
      <c r="R330" s="6">
        <f t="shared" si="55"/>
        <v>0.48426590962261684</v>
      </c>
      <c r="S330" s="6">
        <f t="shared" si="56"/>
        <v>0.297084296469036</v>
      </c>
      <c r="T330" s="6">
        <f t="shared" si="57"/>
        <v>0.72865183441401093</v>
      </c>
      <c r="U330" s="6">
        <f t="shared" si="58"/>
        <v>9.4565190615860259E-2</v>
      </c>
      <c r="V330" s="6">
        <f t="shared" si="59"/>
        <v>-0.13646131746702692</v>
      </c>
      <c r="W330" s="6">
        <f t="shared" si="60"/>
        <v>8.5372360606830192E-2</v>
      </c>
      <c r="X330" s="6">
        <f t="shared" si="61"/>
        <v>-0.17196795307146395</v>
      </c>
    </row>
    <row r="331" spans="1:24" x14ac:dyDescent="0.35">
      <c r="A331" s="2" t="s">
        <v>360</v>
      </c>
      <c r="B331" s="2" t="s">
        <v>362</v>
      </c>
      <c r="C331" s="2">
        <v>5.91</v>
      </c>
      <c r="D331" s="2">
        <v>8.15</v>
      </c>
      <c r="E331" s="2">
        <v>11866</v>
      </c>
      <c r="F331" s="2">
        <v>71.38</v>
      </c>
      <c r="G331" s="2">
        <v>69.900000000000006</v>
      </c>
      <c r="H331" s="2">
        <v>72.62</v>
      </c>
      <c r="I331" s="2">
        <v>85.37</v>
      </c>
      <c r="J331" s="2">
        <v>5.15</v>
      </c>
      <c r="K331" s="2">
        <v>66.569999999999993</v>
      </c>
      <c r="L331" s="2">
        <v>18269734</v>
      </c>
      <c r="M331" s="2">
        <v>0</v>
      </c>
      <c r="O331" s="6">
        <f t="shared" si="53"/>
        <v>-0.85394881187142446</v>
      </c>
      <c r="P331" s="6">
        <f t="shared" si="53"/>
        <v>-0.17591773633185653</v>
      </c>
      <c r="Q331" s="6">
        <f t="shared" si="54"/>
        <v>0.56777019601241741</v>
      </c>
      <c r="R331" s="6">
        <f t="shared" si="55"/>
        <v>0.22389377691023513</v>
      </c>
      <c r="S331" s="6">
        <f t="shared" si="56"/>
        <v>7.0610619597338095E-2</v>
      </c>
      <c r="T331" s="6">
        <f t="shared" si="57"/>
        <v>-0.24681506773651563</v>
      </c>
      <c r="U331" s="6">
        <f t="shared" si="58"/>
        <v>1.4878210353696941E-2</v>
      </c>
      <c r="V331" s="6">
        <f t="shared" si="59"/>
        <v>3.4355344131216416E-2</v>
      </c>
      <c r="W331" s="6">
        <f t="shared" si="60"/>
        <v>-0.45295363750517287</v>
      </c>
      <c r="X331" s="6">
        <f t="shared" si="61"/>
        <v>-7.7193374288930097E-2</v>
      </c>
    </row>
    <row r="332" spans="1:24" x14ac:dyDescent="0.35">
      <c r="A332" s="2" t="s">
        <v>360</v>
      </c>
      <c r="B332" s="2" t="s">
        <v>363</v>
      </c>
      <c r="C332" s="2">
        <v>5.35</v>
      </c>
      <c r="D332" s="2">
        <v>7.6</v>
      </c>
      <c r="E332" s="2">
        <v>11148</v>
      </c>
      <c r="F332" s="2">
        <v>69.63</v>
      </c>
      <c r="G332" s="2">
        <v>68.78</v>
      </c>
      <c r="H332" s="2">
        <v>49.23</v>
      </c>
      <c r="I332" s="2">
        <v>71.11</v>
      </c>
      <c r="J332" s="2">
        <v>4.91</v>
      </c>
      <c r="K332" s="2">
        <v>70.23</v>
      </c>
      <c r="L332" s="2">
        <v>11306032</v>
      </c>
      <c r="M332" s="2">
        <v>0</v>
      </c>
      <c r="O332" s="6">
        <f t="shared" si="53"/>
        <v>-0.92910203049062401</v>
      </c>
      <c r="P332" s="6">
        <f t="shared" si="53"/>
        <v>-0.51349541798415099</v>
      </c>
      <c r="Q332" s="6">
        <f t="shared" si="54"/>
        <v>0.30326473909302543</v>
      </c>
      <c r="R332" s="6">
        <f t="shared" si="55"/>
        <v>-4.5722336845190045E-2</v>
      </c>
      <c r="S332" s="6">
        <f t="shared" si="56"/>
        <v>-0.25458235232099824</v>
      </c>
      <c r="T332" s="6">
        <f t="shared" si="57"/>
        <v>-1.5066809341805147</v>
      </c>
      <c r="U332" s="6">
        <f t="shared" si="58"/>
        <v>-0.89419086047706242</v>
      </c>
      <c r="V332" s="6">
        <f t="shared" si="59"/>
        <v>-5.6746875387846736E-2</v>
      </c>
      <c r="W332" s="6">
        <f t="shared" si="60"/>
        <v>0.11980018606748125</v>
      </c>
      <c r="X332" s="6">
        <f t="shared" si="61"/>
        <v>-0.22270005429049292</v>
      </c>
    </row>
    <row r="333" spans="1:24" x14ac:dyDescent="0.35">
      <c r="A333" s="2" t="s">
        <v>360</v>
      </c>
      <c r="B333" s="2" t="s">
        <v>364</v>
      </c>
      <c r="C333" s="2">
        <v>4.62</v>
      </c>
      <c r="D333" s="2">
        <v>8.9499999999999993</v>
      </c>
      <c r="E333" s="2">
        <v>11492</v>
      </c>
      <c r="F333" s="2">
        <v>70.540000000000006</v>
      </c>
      <c r="G333" s="2">
        <v>67.19</v>
      </c>
      <c r="H333" s="2">
        <v>63.66</v>
      </c>
      <c r="I333" s="2">
        <v>54.41</v>
      </c>
      <c r="J333" s="2">
        <v>4.16</v>
      </c>
      <c r="K333" s="2">
        <v>63.48</v>
      </c>
      <c r="L333" s="2">
        <v>4326702</v>
      </c>
      <c r="M333" s="2">
        <v>0</v>
      </c>
      <c r="O333" s="6">
        <f t="shared" si="53"/>
        <v>-1.0270696190477946</v>
      </c>
      <c r="P333" s="6">
        <f t="shared" si="53"/>
        <v>0.31510434607147958</v>
      </c>
      <c r="Q333" s="6">
        <f t="shared" si="54"/>
        <v>0.42999158753351407</v>
      </c>
      <c r="R333" s="6">
        <f t="shared" si="55"/>
        <v>9.4478042307632709E-2</v>
      </c>
      <c r="S333" s="6">
        <f t="shared" si="56"/>
        <v>-0.71624023209792131</v>
      </c>
      <c r="T333" s="6">
        <f t="shared" si="57"/>
        <v>-0.72943149199210511</v>
      </c>
      <c r="U333" s="6">
        <f t="shared" si="58"/>
        <v>-1.9588089167795646</v>
      </c>
      <c r="V333" s="6">
        <f t="shared" si="59"/>
        <v>-0.34144131138491884</v>
      </c>
      <c r="W333" s="6">
        <f t="shared" si="60"/>
        <v>-0.93650809511159194</v>
      </c>
      <c r="X333" s="6">
        <f t="shared" si="61"/>
        <v>-0.3685332816364229</v>
      </c>
    </row>
    <row r="334" spans="1:24" x14ac:dyDescent="0.35">
      <c r="A334" s="2" t="s">
        <v>360</v>
      </c>
      <c r="B334" s="2" t="s">
        <v>365</v>
      </c>
      <c r="C334" s="2">
        <v>5.61</v>
      </c>
      <c r="D334" s="2">
        <v>8.85</v>
      </c>
      <c r="E334" s="2">
        <v>9951</v>
      </c>
      <c r="F334" s="2">
        <v>70.790000000000006</v>
      </c>
      <c r="G334" s="2">
        <v>71.3</v>
      </c>
      <c r="H334" s="2">
        <v>72.23</v>
      </c>
      <c r="I334" s="2">
        <v>60</v>
      </c>
      <c r="J334" s="2">
        <v>5.14</v>
      </c>
      <c r="K334" s="2">
        <v>70.45</v>
      </c>
      <c r="L334" s="2">
        <v>7151778</v>
      </c>
      <c r="M334" s="2">
        <v>0</v>
      </c>
      <c r="O334" s="6">
        <f t="shared" si="53"/>
        <v>-0.89420946470313845</v>
      </c>
      <c r="P334" s="6">
        <f t="shared" si="53"/>
        <v>0.25372658577106266</v>
      </c>
      <c r="Q334" s="6">
        <f t="shared" si="54"/>
        <v>-0.13770048643972138</v>
      </c>
      <c r="R334" s="6">
        <f t="shared" si="55"/>
        <v>0.13299462998697917</v>
      </c>
      <c r="S334" s="6">
        <f t="shared" si="56"/>
        <v>0.4771018344952544</v>
      </c>
      <c r="T334" s="6">
        <f t="shared" si="57"/>
        <v>-0.26782180941728351</v>
      </c>
      <c r="U334" s="6">
        <f t="shared" si="58"/>
        <v>-1.6024487410471699</v>
      </c>
      <c r="V334" s="6">
        <f t="shared" si="59"/>
        <v>3.0559418317921867E-2</v>
      </c>
      <c r="W334" s="6">
        <f t="shared" si="60"/>
        <v>0.15422801152813231</v>
      </c>
      <c r="X334" s="6">
        <f t="shared" si="61"/>
        <v>-0.30950326721132332</v>
      </c>
    </row>
    <row r="335" spans="1:24" x14ac:dyDescent="0.35">
      <c r="A335" s="2" t="s">
        <v>360</v>
      </c>
      <c r="B335" s="2" t="s">
        <v>366</v>
      </c>
      <c r="C335" s="2">
        <v>3.66</v>
      </c>
      <c r="D335" s="2">
        <v>8.09</v>
      </c>
      <c r="E335" s="2">
        <v>8773</v>
      </c>
      <c r="F335" s="2">
        <v>68.27</v>
      </c>
      <c r="G335" s="2">
        <v>71.56</v>
      </c>
      <c r="H335" s="2">
        <v>81.37</v>
      </c>
      <c r="I335" s="2">
        <v>86.1</v>
      </c>
      <c r="J335" s="2">
        <v>4.6500000000000004</v>
      </c>
      <c r="K335" s="2">
        <v>71.819999999999993</v>
      </c>
      <c r="L335" s="2">
        <v>3043322</v>
      </c>
      <c r="M335" s="2">
        <v>0</v>
      </c>
      <c r="O335" s="6">
        <f t="shared" si="53"/>
        <v>-1.1559037081092793</v>
      </c>
      <c r="P335" s="6">
        <f t="shared" si="53"/>
        <v>-0.21274439251210708</v>
      </c>
      <c r="Q335" s="6">
        <f t="shared" si="54"/>
        <v>-0.57166626394813891</v>
      </c>
      <c r="R335" s="6">
        <f t="shared" si="55"/>
        <v>-0.25525257382083466</v>
      </c>
      <c r="S335" s="6">
        <f t="shared" si="56"/>
        <v>0.5525930601191551</v>
      </c>
      <c r="T335" s="6">
        <f t="shared" si="57"/>
        <v>0.22449003407558307</v>
      </c>
      <c r="U335" s="6">
        <f t="shared" si="58"/>
        <v>6.1415406826799662E-2</v>
      </c>
      <c r="V335" s="6">
        <f t="shared" si="59"/>
        <v>-0.15544094653349833</v>
      </c>
      <c r="W335" s="6">
        <f t="shared" si="60"/>
        <v>0.36861947007854989</v>
      </c>
      <c r="X335" s="6">
        <f t="shared" si="61"/>
        <v>-0.39534953008881302</v>
      </c>
    </row>
    <row r="336" spans="1:24" x14ac:dyDescent="0.35">
      <c r="A336" s="2" t="s">
        <v>360</v>
      </c>
      <c r="B336" s="2" t="s">
        <v>367</v>
      </c>
      <c r="C336" s="2">
        <v>3.56</v>
      </c>
      <c r="D336" s="2">
        <v>8.43</v>
      </c>
      <c r="E336" s="2">
        <v>11234</v>
      </c>
      <c r="F336" s="2">
        <v>70.58</v>
      </c>
      <c r="G336" s="2">
        <v>69.39</v>
      </c>
      <c r="H336" s="2">
        <v>81.89</v>
      </c>
      <c r="I336" s="2">
        <v>67.260000000000005</v>
      </c>
      <c r="J336" s="2">
        <v>2.2999999999999998</v>
      </c>
      <c r="K336" s="2">
        <v>70.44</v>
      </c>
      <c r="L336" s="2">
        <v>3968760</v>
      </c>
      <c r="M336" s="2">
        <v>0</v>
      </c>
      <c r="O336" s="6">
        <f t="shared" si="53"/>
        <v>-1.1693239257198504</v>
      </c>
      <c r="P336" s="6">
        <f t="shared" si="53"/>
        <v>-4.0600074906890537E-3</v>
      </c>
      <c r="Q336" s="6">
        <f t="shared" si="54"/>
        <v>0.33494645120314759</v>
      </c>
      <c r="R336" s="6">
        <f t="shared" si="55"/>
        <v>0.10064069633632691</v>
      </c>
      <c r="S336" s="6">
        <f t="shared" si="56"/>
        <v>-7.7468322972619519E-2</v>
      </c>
      <c r="T336" s="6">
        <f t="shared" si="57"/>
        <v>0.25249902298327331</v>
      </c>
      <c r="U336" s="6">
        <f t="shared" si="58"/>
        <v>-1.1396267596845251</v>
      </c>
      <c r="V336" s="6">
        <f t="shared" si="59"/>
        <v>-1.0474835126576578</v>
      </c>
      <c r="W336" s="6">
        <f t="shared" si="60"/>
        <v>0.15266311037082919</v>
      </c>
      <c r="X336" s="6">
        <f t="shared" si="61"/>
        <v>-0.37601248623953765</v>
      </c>
    </row>
    <row r="337" spans="1:24" x14ac:dyDescent="0.35">
      <c r="A337" s="2" t="s">
        <v>360</v>
      </c>
      <c r="B337" s="2" t="s">
        <v>368</v>
      </c>
      <c r="C337" s="2">
        <v>7.22</v>
      </c>
      <c r="D337" s="2">
        <v>7.96</v>
      </c>
      <c r="E337" s="2">
        <v>9420</v>
      </c>
      <c r="F337" s="2">
        <v>67.67</v>
      </c>
      <c r="G337" s="2">
        <v>69.260000000000005</v>
      </c>
      <c r="H337" s="2">
        <v>75.650000000000006</v>
      </c>
      <c r="I337" s="2">
        <v>61.04</v>
      </c>
      <c r="J337" s="2">
        <v>4.25</v>
      </c>
      <c r="K337" s="2">
        <v>71.459999999999994</v>
      </c>
      <c r="L337" s="2">
        <v>6033556</v>
      </c>
      <c r="M337" s="2">
        <v>0</v>
      </c>
      <c r="O337" s="6">
        <f t="shared" si="53"/>
        <v>-0.67814396117294018</v>
      </c>
      <c r="P337" s="6">
        <f t="shared" si="53"/>
        <v>-0.29253548090264925</v>
      </c>
      <c r="Q337" s="6">
        <f t="shared" si="54"/>
        <v>-0.3333166391196617</v>
      </c>
      <c r="R337" s="6">
        <f t="shared" si="55"/>
        <v>-0.34769238425126531</v>
      </c>
      <c r="S337" s="6">
        <f t="shared" si="56"/>
        <v>-0.1152139357845678</v>
      </c>
      <c r="T337" s="6">
        <f t="shared" si="57"/>
        <v>-8.3608843909011674E-2</v>
      </c>
      <c r="U337" s="6">
        <f t="shared" si="58"/>
        <v>-1.5361491734690502</v>
      </c>
      <c r="V337" s="6">
        <f t="shared" si="59"/>
        <v>-0.30727797906527027</v>
      </c>
      <c r="W337" s="6">
        <f t="shared" si="60"/>
        <v>0.31228302841566613</v>
      </c>
      <c r="X337" s="6">
        <f t="shared" si="61"/>
        <v>-0.33286853624849744</v>
      </c>
    </row>
    <row r="338" spans="1:24" x14ac:dyDescent="0.35">
      <c r="A338" s="2" t="s">
        <v>360</v>
      </c>
      <c r="B338" s="2" t="s">
        <v>369</v>
      </c>
      <c r="C338" s="2">
        <v>5.25</v>
      </c>
      <c r="D338" s="2">
        <v>8.68</v>
      </c>
      <c r="E338" s="2">
        <v>10568</v>
      </c>
      <c r="F338" s="2">
        <v>68.89</v>
      </c>
      <c r="G338" s="2">
        <v>65.87</v>
      </c>
      <c r="H338" s="2">
        <v>73.650000000000006</v>
      </c>
      <c r="I338" s="2">
        <v>83.35</v>
      </c>
      <c r="J338" s="2">
        <v>5.5</v>
      </c>
      <c r="K338" s="2">
        <v>64.38</v>
      </c>
      <c r="L338" s="2">
        <v>5087479</v>
      </c>
      <c r="M338" s="2">
        <v>0</v>
      </c>
      <c r="O338" s="6">
        <f t="shared" si="53"/>
        <v>-0.94252224810119523</v>
      </c>
      <c r="P338" s="6">
        <f t="shared" si="53"/>
        <v>0.14938439326035369</v>
      </c>
      <c r="Q338" s="6">
        <f t="shared" si="54"/>
        <v>8.9597378350341081E-2</v>
      </c>
      <c r="R338" s="6">
        <f t="shared" si="55"/>
        <v>-0.15973143637605478</v>
      </c>
      <c r="S338" s="6">
        <f t="shared" si="56"/>
        <v>-1.0995033775730998</v>
      </c>
      <c r="T338" s="6">
        <f t="shared" si="57"/>
        <v>-0.19133572432320567</v>
      </c>
      <c r="U338" s="6">
        <f t="shared" si="58"/>
        <v>-0.11389594974995963</v>
      </c>
      <c r="V338" s="6">
        <f t="shared" si="59"/>
        <v>0.16721274759651661</v>
      </c>
      <c r="W338" s="6">
        <f t="shared" si="60"/>
        <v>-0.79566699095438254</v>
      </c>
      <c r="X338" s="6">
        <f t="shared" si="61"/>
        <v>-0.35263683237832011</v>
      </c>
    </row>
    <row r="339" spans="1:24" x14ac:dyDescent="0.35">
      <c r="A339" s="2" t="s">
        <v>360</v>
      </c>
      <c r="B339" s="2" t="s">
        <v>370</v>
      </c>
      <c r="C339" s="2">
        <v>4.24</v>
      </c>
      <c r="D339" s="2">
        <v>8.19</v>
      </c>
      <c r="E339" s="2">
        <v>10082</v>
      </c>
      <c r="F339" s="2">
        <v>68.53</v>
      </c>
      <c r="G339" s="2">
        <v>68.099999999999994</v>
      </c>
      <c r="H339" s="2">
        <v>63.1</v>
      </c>
      <c r="I339" s="2">
        <v>87.5</v>
      </c>
      <c r="J339" s="2">
        <v>2.6</v>
      </c>
      <c r="K339" s="2">
        <v>73.45</v>
      </c>
      <c r="L339" s="2">
        <v>3596824</v>
      </c>
      <c r="M339" s="2">
        <v>0</v>
      </c>
      <c r="O339" s="6">
        <f t="shared" si="53"/>
        <v>-1.0780664459679656</v>
      </c>
      <c r="P339" s="6">
        <f t="shared" si="53"/>
        <v>-0.15136663221169019</v>
      </c>
      <c r="Q339" s="6">
        <f t="shared" si="54"/>
        <v>-8.9441134271977168E-2</v>
      </c>
      <c r="R339" s="6">
        <f t="shared" si="55"/>
        <v>-0.21519532263431357</v>
      </c>
      <c r="S339" s="6">
        <f t="shared" si="56"/>
        <v>-0.45202094241427504</v>
      </c>
      <c r="T339" s="6">
        <f t="shared" si="57"/>
        <v>-0.7595950185080792</v>
      </c>
      <c r="U339" s="6">
        <f t="shared" si="58"/>
        <v>0.15066482472042295</v>
      </c>
      <c r="V339" s="6">
        <f t="shared" si="59"/>
        <v>-0.93360573825882887</v>
      </c>
      <c r="W339" s="6">
        <f t="shared" si="60"/>
        <v>0.62369835871883106</v>
      </c>
      <c r="X339" s="6">
        <f t="shared" si="61"/>
        <v>-0.38378409572728733</v>
      </c>
    </row>
    <row r="340" spans="1:24" x14ac:dyDescent="0.35">
      <c r="A340" s="2" t="s">
        <v>360</v>
      </c>
      <c r="B340" s="2" t="s">
        <v>371</v>
      </c>
      <c r="C340" s="2">
        <v>5.35</v>
      </c>
      <c r="D340" s="2">
        <v>9.18</v>
      </c>
      <c r="E340" s="2">
        <v>10809</v>
      </c>
      <c r="F340" s="2">
        <v>71.03</v>
      </c>
      <c r="G340" s="2">
        <v>70.459999999999994</v>
      </c>
      <c r="H340" s="2">
        <v>84.88</v>
      </c>
      <c r="I340" s="2">
        <v>62.89</v>
      </c>
      <c r="J340" s="2">
        <v>3.11</v>
      </c>
      <c r="K340" s="2">
        <v>69.7</v>
      </c>
      <c r="L340" s="2">
        <v>3804709</v>
      </c>
      <c r="M340" s="2">
        <v>0</v>
      </c>
      <c r="O340" s="6">
        <f t="shared" si="53"/>
        <v>-0.92910203049062401</v>
      </c>
      <c r="P340" s="6">
        <f t="shared" si="53"/>
        <v>0.45627319476243916</v>
      </c>
      <c r="Q340" s="6">
        <f t="shared" si="54"/>
        <v>0.17837985065893922</v>
      </c>
      <c r="R340" s="6">
        <f t="shared" si="55"/>
        <v>0.16997055415915097</v>
      </c>
      <c r="S340" s="6">
        <f t="shared" si="56"/>
        <v>0.23320710555650215</v>
      </c>
      <c r="T340" s="6">
        <f t="shared" si="57"/>
        <v>0.41355070920249304</v>
      </c>
      <c r="U340" s="6">
        <f t="shared" si="58"/>
        <v>-1.4182124426810483</v>
      </c>
      <c r="V340" s="6">
        <f t="shared" si="59"/>
        <v>-0.74001352178081992</v>
      </c>
      <c r="W340" s="6">
        <f t="shared" si="60"/>
        <v>3.6860424730457635E-2</v>
      </c>
      <c r="X340" s="6">
        <f t="shared" si="61"/>
        <v>-0.37944033486961065</v>
      </c>
    </row>
    <row r="341" spans="1:24" x14ac:dyDescent="0.35">
      <c r="A341" s="2" t="s">
        <v>360</v>
      </c>
      <c r="B341" s="2" t="s">
        <v>372</v>
      </c>
      <c r="C341" s="2">
        <v>6.38</v>
      </c>
      <c r="D341" s="2">
        <v>9.23</v>
      </c>
      <c r="E341" s="2">
        <v>11322</v>
      </c>
      <c r="F341" s="2">
        <v>71.47</v>
      </c>
      <c r="G341" s="2">
        <v>68.31</v>
      </c>
      <c r="H341" s="2">
        <v>77.92</v>
      </c>
      <c r="I341" s="2">
        <v>67.209999999999994</v>
      </c>
      <c r="J341" s="2">
        <v>3.22</v>
      </c>
      <c r="K341" s="2">
        <v>78.400000000000006</v>
      </c>
      <c r="L341" s="2">
        <v>5336339</v>
      </c>
      <c r="M341" s="2">
        <v>0</v>
      </c>
      <c r="O341" s="6">
        <f t="shared" si="53"/>
        <v>-0.79087378910173933</v>
      </c>
      <c r="P341" s="6">
        <f t="shared" si="53"/>
        <v>0.48696207491264815</v>
      </c>
      <c r="Q341" s="6">
        <f t="shared" si="54"/>
        <v>0.36736494731583069</v>
      </c>
      <c r="R341" s="6">
        <f t="shared" si="55"/>
        <v>0.23775974847480039</v>
      </c>
      <c r="S341" s="6">
        <f t="shared" si="56"/>
        <v>-0.39104726017958491</v>
      </c>
      <c r="T341" s="6">
        <f t="shared" si="57"/>
        <v>3.8661165361098287E-2</v>
      </c>
      <c r="U341" s="6">
        <f t="shared" si="58"/>
        <v>-1.1428142388950124</v>
      </c>
      <c r="V341" s="6">
        <f t="shared" si="59"/>
        <v>-0.69825833783458258</v>
      </c>
      <c r="W341" s="6">
        <f t="shared" si="60"/>
        <v>1.3983244315834844</v>
      </c>
      <c r="X341" s="6">
        <f t="shared" si="61"/>
        <v>-0.34743689815006207</v>
      </c>
    </row>
    <row r="342" spans="1:24" x14ac:dyDescent="0.35">
      <c r="A342" s="2" t="s">
        <v>360</v>
      </c>
      <c r="B342" s="2" t="s">
        <v>373</v>
      </c>
      <c r="C342" s="2">
        <v>6.15</v>
      </c>
      <c r="D342" s="2">
        <v>7.61</v>
      </c>
      <c r="E342" s="2">
        <v>10449</v>
      </c>
      <c r="F342" s="2">
        <v>68.12</v>
      </c>
      <c r="G342" s="2">
        <v>69.53</v>
      </c>
      <c r="H342" s="2">
        <v>59.18</v>
      </c>
      <c r="I342" s="2">
        <v>61.05</v>
      </c>
      <c r="J342" s="2">
        <v>3.03</v>
      </c>
      <c r="K342" s="2">
        <v>67.62</v>
      </c>
      <c r="L342" s="2">
        <v>5975994</v>
      </c>
      <c r="M342" s="2">
        <v>0</v>
      </c>
      <c r="O342" s="6">
        <f t="shared" si="53"/>
        <v>-0.82174028960605328</v>
      </c>
      <c r="P342" s="6">
        <f t="shared" si="53"/>
        <v>-0.50735764195410882</v>
      </c>
      <c r="Q342" s="6">
        <f t="shared" si="54"/>
        <v>4.5758730197962741E-2</v>
      </c>
      <c r="R342" s="6">
        <f t="shared" si="55"/>
        <v>-0.27836252642844123</v>
      </c>
      <c r="S342" s="6">
        <f t="shared" si="56"/>
        <v>-3.6819201482827475E-2</v>
      </c>
      <c r="T342" s="6">
        <f t="shared" si="57"/>
        <v>-0.97073970411989952</v>
      </c>
      <c r="U342" s="6">
        <f t="shared" si="58"/>
        <v>-1.5355116776269531</v>
      </c>
      <c r="V342" s="6">
        <f t="shared" si="59"/>
        <v>-0.7703809282871743</v>
      </c>
      <c r="W342" s="6">
        <f t="shared" si="60"/>
        <v>-0.28863901598842656</v>
      </c>
      <c r="X342" s="6">
        <f t="shared" si="61"/>
        <v>-0.33407129528589591</v>
      </c>
    </row>
    <row r="343" spans="1:24" x14ac:dyDescent="0.35">
      <c r="A343" s="2" t="s">
        <v>360</v>
      </c>
      <c r="B343" s="2" t="s">
        <v>374</v>
      </c>
      <c r="C343" s="2">
        <v>3.75</v>
      </c>
      <c r="D343" s="2">
        <v>11.53</v>
      </c>
      <c r="E343" s="2">
        <v>14070</v>
      </c>
      <c r="F343" s="2">
        <v>80.819999999999993</v>
      </c>
      <c r="G343" s="2">
        <v>73.239999999999995</v>
      </c>
      <c r="H343" s="2">
        <v>92.38</v>
      </c>
      <c r="I343" s="2">
        <v>99.92</v>
      </c>
      <c r="J343" s="2">
        <v>5.86</v>
      </c>
      <c r="K343" s="2">
        <v>63.3</v>
      </c>
      <c r="L343" s="2">
        <v>11031469</v>
      </c>
      <c r="M343" s="2">
        <v>0</v>
      </c>
      <c r="O343" s="6">
        <f t="shared" si="53"/>
        <v>-1.1438255122597651</v>
      </c>
      <c r="P343" s="6">
        <f t="shared" si="53"/>
        <v>1.8986505618222407</v>
      </c>
      <c r="Q343" s="6">
        <f t="shared" si="54"/>
        <v>1.3797061668346178</v>
      </c>
      <c r="R343" s="6">
        <f t="shared" si="55"/>
        <v>1.6782801276823569</v>
      </c>
      <c r="S343" s="6">
        <f t="shared" si="56"/>
        <v>1.0403825179966555</v>
      </c>
      <c r="T343" s="6">
        <f t="shared" si="57"/>
        <v>0.81752651075572047</v>
      </c>
      <c r="U343" s="6">
        <f t="shared" si="58"/>
        <v>0.9424346606052777</v>
      </c>
      <c r="V343" s="6">
        <f t="shared" si="59"/>
        <v>0.30386607687511136</v>
      </c>
      <c r="W343" s="6">
        <f t="shared" si="60"/>
        <v>-0.96467631594303382</v>
      </c>
      <c r="X343" s="6">
        <f t="shared" si="61"/>
        <v>-0.22843705317144289</v>
      </c>
    </row>
    <row r="344" spans="1:24" x14ac:dyDescent="0.35">
      <c r="A344" s="2" t="s">
        <v>375</v>
      </c>
      <c r="B344" s="2" t="s">
        <v>376</v>
      </c>
      <c r="C344" s="2">
        <v>4.57</v>
      </c>
      <c r="D344" s="2">
        <v>7.89</v>
      </c>
      <c r="E344" s="2">
        <v>11310</v>
      </c>
      <c r="F344" s="2">
        <v>69.87</v>
      </c>
      <c r="G344" s="2">
        <v>69.59</v>
      </c>
      <c r="H344" s="2">
        <v>66.42</v>
      </c>
      <c r="I344" s="2">
        <v>63.52</v>
      </c>
      <c r="J344" s="2">
        <v>3.52</v>
      </c>
      <c r="K344" s="2">
        <v>72.27</v>
      </c>
      <c r="L344" s="2">
        <v>10516399</v>
      </c>
      <c r="M344" s="2">
        <v>0</v>
      </c>
      <c r="O344" s="6">
        <f t="shared" si="53"/>
        <v>-1.0337797278530803</v>
      </c>
      <c r="P344" s="6">
        <f t="shared" si="53"/>
        <v>-0.33549991311294136</v>
      </c>
      <c r="Q344" s="6">
        <f t="shared" si="54"/>
        <v>0.36294424330046482</v>
      </c>
      <c r="R344" s="6">
        <f t="shared" si="55"/>
        <v>-8.7464126730160494E-3</v>
      </c>
      <c r="S344" s="6">
        <f t="shared" si="56"/>
        <v>-1.9398149415773152E-2</v>
      </c>
      <c r="T344" s="6">
        <f t="shared" si="57"/>
        <v>-0.58076839702051719</v>
      </c>
      <c r="U344" s="6">
        <f t="shared" si="58"/>
        <v>-1.3780502046289178</v>
      </c>
      <c r="V344" s="6">
        <f t="shared" si="59"/>
        <v>-0.58438056343575373</v>
      </c>
      <c r="W344" s="6">
        <f t="shared" si="60"/>
        <v>0.43904002215715515</v>
      </c>
      <c r="X344" s="6">
        <f t="shared" si="61"/>
        <v>-0.23919945019365965</v>
      </c>
    </row>
    <row r="345" spans="1:24" x14ac:dyDescent="0.35">
      <c r="A345" s="2" t="s">
        <v>375</v>
      </c>
      <c r="B345" s="2" t="s">
        <v>377</v>
      </c>
      <c r="C345" s="2">
        <v>4.8600000000000003</v>
      </c>
      <c r="D345" s="2">
        <v>7.46</v>
      </c>
      <c r="E345" s="2">
        <v>11720</v>
      </c>
      <c r="F345" s="2">
        <v>69.13</v>
      </c>
      <c r="G345" s="2">
        <v>69.319999999999993</v>
      </c>
      <c r="H345" s="2">
        <v>70.959999999999994</v>
      </c>
      <c r="I345" s="2">
        <v>64.08</v>
      </c>
      <c r="J345" s="2">
        <v>5.57</v>
      </c>
      <c r="K345" s="2">
        <v>67.5</v>
      </c>
      <c r="L345" s="2">
        <v>17887219</v>
      </c>
      <c r="M345" s="2">
        <v>0</v>
      </c>
      <c r="O345" s="6">
        <f t="shared" si="53"/>
        <v>-0.9948610967824234</v>
      </c>
      <c r="P345" s="6">
        <f t="shared" si="53"/>
        <v>-0.59942428240473467</v>
      </c>
      <c r="Q345" s="6">
        <f t="shared" si="54"/>
        <v>0.51398496382546588</v>
      </c>
      <c r="R345" s="6">
        <f t="shared" si="55"/>
        <v>-0.12275551220388296</v>
      </c>
      <c r="S345" s="6">
        <f t="shared" si="56"/>
        <v>-9.7792883717517598E-2</v>
      </c>
      <c r="T345" s="6">
        <f t="shared" si="57"/>
        <v>-0.33622837848029724</v>
      </c>
      <c r="U345" s="6">
        <f t="shared" si="58"/>
        <v>-1.342350437471469</v>
      </c>
      <c r="V345" s="6">
        <f t="shared" si="59"/>
        <v>0.19378422828957678</v>
      </c>
      <c r="W345" s="6">
        <f t="shared" si="60"/>
        <v>-0.3074178298760552</v>
      </c>
      <c r="X345" s="6">
        <f t="shared" si="61"/>
        <v>-8.5186032174175308E-2</v>
      </c>
    </row>
    <row r="346" spans="1:24" x14ac:dyDescent="0.35">
      <c r="A346" s="2" t="s">
        <v>375</v>
      </c>
      <c r="B346" s="2" t="s">
        <v>378</v>
      </c>
      <c r="C346" s="2">
        <v>3.04</v>
      </c>
      <c r="D346" s="2">
        <v>7.52</v>
      </c>
      <c r="E346" s="2">
        <v>12707</v>
      </c>
      <c r="F346" s="2">
        <v>69.89</v>
      </c>
      <c r="G346" s="2">
        <v>67.41</v>
      </c>
      <c r="H346" s="2">
        <v>77.19</v>
      </c>
      <c r="I346" s="2">
        <v>65.72</v>
      </c>
      <c r="J346" s="2">
        <v>3.98</v>
      </c>
      <c r="K346" s="2">
        <v>70.84</v>
      </c>
      <c r="L346" s="2">
        <v>12108903</v>
      </c>
      <c r="M346" s="2">
        <v>0</v>
      </c>
      <c r="O346" s="6">
        <f t="shared" si="53"/>
        <v>-1.2391090572948216</v>
      </c>
      <c r="P346" s="6">
        <f t="shared" si="53"/>
        <v>-0.56259762622448473</v>
      </c>
      <c r="Q346" s="6">
        <f t="shared" si="54"/>
        <v>0.87758786908930964</v>
      </c>
      <c r="R346" s="6">
        <f t="shared" si="55"/>
        <v>-5.6650856586689469E-3</v>
      </c>
      <c r="S346" s="6">
        <f t="shared" si="56"/>
        <v>-0.65236304118539146</v>
      </c>
      <c r="T346" s="6">
        <f t="shared" si="57"/>
        <v>-6.5914599008273019E-4</v>
      </c>
      <c r="U346" s="6">
        <f t="shared" si="58"/>
        <v>-1.2378011193675107</v>
      </c>
      <c r="V346" s="6">
        <f t="shared" si="59"/>
        <v>-0.40976797602421622</v>
      </c>
      <c r="W346" s="6">
        <f t="shared" si="60"/>
        <v>0.21525915666292322</v>
      </c>
      <c r="X346" s="6">
        <f t="shared" si="61"/>
        <v>-0.20592405013644743</v>
      </c>
    </row>
    <row r="347" spans="1:24" x14ac:dyDescent="0.35">
      <c r="A347" s="2" t="s">
        <v>375</v>
      </c>
      <c r="B347" s="2" t="s">
        <v>379</v>
      </c>
      <c r="C347" s="2">
        <v>5.1100000000000003</v>
      </c>
      <c r="D347" s="2">
        <v>7.55</v>
      </c>
      <c r="E347" s="2">
        <v>9868</v>
      </c>
      <c r="F347" s="2">
        <v>66.64</v>
      </c>
      <c r="G347" s="2">
        <v>66.27</v>
      </c>
      <c r="H347" s="2">
        <v>55.29</v>
      </c>
      <c r="I347" s="2">
        <v>65.150000000000006</v>
      </c>
      <c r="J347" s="2">
        <v>3.22</v>
      </c>
      <c r="K347" s="2">
        <v>75.48</v>
      </c>
      <c r="L347" s="2">
        <v>5942832</v>
      </c>
      <c r="M347" s="2">
        <v>0</v>
      </c>
      <c r="O347" s="6">
        <f t="shared" si="53"/>
        <v>-0.96131055275599508</v>
      </c>
      <c r="P347" s="6">
        <f t="shared" si="53"/>
        <v>-0.54418429813435942</v>
      </c>
      <c r="Q347" s="6">
        <f t="shared" si="54"/>
        <v>-0.16827702254600208</v>
      </c>
      <c r="R347" s="6">
        <f t="shared" si="55"/>
        <v>-0.50638072549017288</v>
      </c>
      <c r="S347" s="6">
        <f t="shared" si="56"/>
        <v>-0.9833630304594112</v>
      </c>
      <c r="T347" s="6">
        <f t="shared" si="57"/>
        <v>-1.1802684865255069</v>
      </c>
      <c r="U347" s="6">
        <f t="shared" si="58"/>
        <v>-1.2741383823670567</v>
      </c>
      <c r="V347" s="6">
        <f t="shared" si="59"/>
        <v>-0.69825833783458258</v>
      </c>
      <c r="W347" s="6">
        <f t="shared" si="60"/>
        <v>0.94137329365120404</v>
      </c>
      <c r="X347" s="6">
        <f t="shared" si="61"/>
        <v>-0.33476421587931188</v>
      </c>
    </row>
    <row r="348" spans="1:24" x14ac:dyDescent="0.35">
      <c r="A348" s="2" t="s">
        <v>375</v>
      </c>
      <c r="B348" s="2" t="s">
        <v>380</v>
      </c>
      <c r="C348" s="2">
        <v>3.6</v>
      </c>
      <c r="D348" s="2">
        <v>7.77</v>
      </c>
      <c r="E348" s="2">
        <v>11952</v>
      </c>
      <c r="F348" s="2">
        <v>70.31</v>
      </c>
      <c r="G348" s="2">
        <v>70.569999999999993</v>
      </c>
      <c r="H348" s="2">
        <v>79.28</v>
      </c>
      <c r="I348" s="2">
        <v>78.59</v>
      </c>
      <c r="J348" s="2">
        <v>4.96</v>
      </c>
      <c r="K348" s="2">
        <v>70.31</v>
      </c>
      <c r="L348" s="2">
        <v>6575521</v>
      </c>
      <c r="M348" s="2">
        <v>0</v>
      </c>
      <c r="O348" s="6">
        <f t="shared" si="53"/>
        <v>-1.1639558386756221</v>
      </c>
      <c r="P348" s="6">
        <f t="shared" si="53"/>
        <v>-0.40915322547344196</v>
      </c>
      <c r="Q348" s="6">
        <f t="shared" si="54"/>
        <v>0.59945190812253957</v>
      </c>
      <c r="R348" s="6">
        <f t="shared" si="55"/>
        <v>5.9042781642633359E-2</v>
      </c>
      <c r="S348" s="6">
        <f t="shared" si="56"/>
        <v>0.26514570101276702</v>
      </c>
      <c r="T348" s="6">
        <f t="shared" si="57"/>
        <v>0.11191544404275017</v>
      </c>
      <c r="U348" s="6">
        <f t="shared" si="58"/>
        <v>-0.41734397058827694</v>
      </c>
      <c r="V348" s="6">
        <f t="shared" si="59"/>
        <v>-3.7767246321375333E-2</v>
      </c>
      <c r="W348" s="6">
        <f t="shared" si="60"/>
        <v>0.13231939532589962</v>
      </c>
      <c r="X348" s="6">
        <f t="shared" si="61"/>
        <v>-0.32154416771189909</v>
      </c>
    </row>
    <row r="349" spans="1:24" x14ac:dyDescent="0.35">
      <c r="A349" s="2" t="s">
        <v>375</v>
      </c>
      <c r="B349" s="2" t="s">
        <v>381</v>
      </c>
      <c r="C349" s="2">
        <v>4.84</v>
      </c>
      <c r="D349" s="2">
        <v>7.76</v>
      </c>
      <c r="E349" s="2">
        <v>12736</v>
      </c>
      <c r="F349" s="2">
        <v>69.209999999999994</v>
      </c>
      <c r="G349" s="2">
        <v>66.12</v>
      </c>
      <c r="H349" s="2">
        <v>83.69</v>
      </c>
      <c r="I349" s="2">
        <v>72.319999999999993</v>
      </c>
      <c r="J349" s="2">
        <v>2.44</v>
      </c>
      <c r="K349" s="2">
        <v>69.25</v>
      </c>
      <c r="L349" s="2">
        <v>4844532</v>
      </c>
      <c r="M349" s="2">
        <v>0</v>
      </c>
      <c r="O349" s="6">
        <f t="shared" si="53"/>
        <v>-0.99754514030453767</v>
      </c>
      <c r="P349" s="6">
        <f t="shared" si="53"/>
        <v>-0.41529100150348353</v>
      </c>
      <c r="Q349" s="6">
        <f t="shared" si="54"/>
        <v>0.88827123712644385</v>
      </c>
      <c r="R349" s="6">
        <f t="shared" si="55"/>
        <v>-0.11043020414649235</v>
      </c>
      <c r="S349" s="6">
        <f t="shared" si="56"/>
        <v>-1.0269156606270429</v>
      </c>
      <c r="T349" s="6">
        <f t="shared" si="57"/>
        <v>0.34945321535604773</v>
      </c>
      <c r="U349" s="6">
        <f t="shared" si="58"/>
        <v>-0.8170538635832888</v>
      </c>
      <c r="V349" s="6">
        <f t="shared" si="59"/>
        <v>-0.99434055127153764</v>
      </c>
      <c r="W349" s="6">
        <f t="shared" si="60"/>
        <v>-3.3560127348147624E-2</v>
      </c>
      <c r="X349" s="6">
        <f t="shared" si="61"/>
        <v>-0.35771321436398518</v>
      </c>
    </row>
    <row r="350" spans="1:24" x14ac:dyDescent="0.35">
      <c r="A350" s="2" t="s">
        <v>375</v>
      </c>
      <c r="B350" s="2" t="s">
        <v>382</v>
      </c>
      <c r="C350" s="2">
        <v>6.18</v>
      </c>
      <c r="D350" s="2">
        <v>8.01</v>
      </c>
      <c r="E350" s="2">
        <v>12280</v>
      </c>
      <c r="F350" s="2">
        <v>69.05</v>
      </c>
      <c r="G350" s="2">
        <v>66.2</v>
      </c>
      <c r="H350" s="2">
        <v>87.62</v>
      </c>
      <c r="I350" s="2">
        <v>90.76</v>
      </c>
      <c r="J350" s="2">
        <v>3.76</v>
      </c>
      <c r="K350" s="2">
        <v>70.2</v>
      </c>
      <c r="L350" s="2">
        <v>4978193</v>
      </c>
      <c r="M350" s="2">
        <v>0</v>
      </c>
      <c r="O350" s="6">
        <f t="shared" si="53"/>
        <v>-0.81771422432288199</v>
      </c>
      <c r="P350" s="6">
        <f t="shared" si="53"/>
        <v>-0.26184660075244082</v>
      </c>
      <c r="Q350" s="6">
        <f t="shared" si="54"/>
        <v>0.72028448454254035</v>
      </c>
      <c r="R350" s="6">
        <f t="shared" si="55"/>
        <v>-0.13508082026127355</v>
      </c>
      <c r="S350" s="6">
        <f t="shared" si="56"/>
        <v>-1.0036875912043053</v>
      </c>
      <c r="T350" s="6">
        <f t="shared" si="57"/>
        <v>0.56113653536993924</v>
      </c>
      <c r="U350" s="6">
        <f t="shared" si="58"/>
        <v>0.35848846924414518</v>
      </c>
      <c r="V350" s="6">
        <f t="shared" si="59"/>
        <v>-0.49327834391669079</v>
      </c>
      <c r="W350" s="6">
        <f t="shared" si="60"/>
        <v>0.11510548259557409</v>
      </c>
      <c r="X350" s="6">
        <f t="shared" si="61"/>
        <v>-0.35492036533688881</v>
      </c>
    </row>
    <row r="351" spans="1:24" x14ac:dyDescent="0.35">
      <c r="A351" s="2" t="s">
        <v>375</v>
      </c>
      <c r="B351" s="2" t="s">
        <v>383</v>
      </c>
      <c r="C351" s="2">
        <v>6.83</v>
      </c>
      <c r="D351" s="2">
        <v>7.75</v>
      </c>
      <c r="E351" s="2">
        <v>9644</v>
      </c>
      <c r="F351" s="2">
        <v>66.12</v>
      </c>
      <c r="G351" s="2">
        <v>64.099999999999994</v>
      </c>
      <c r="H351" s="2">
        <v>88.09</v>
      </c>
      <c r="I351" s="2">
        <v>88.01</v>
      </c>
      <c r="J351" s="2">
        <v>4.8</v>
      </c>
      <c r="K351" s="2">
        <v>71.41</v>
      </c>
      <c r="L351" s="2">
        <v>3409822</v>
      </c>
      <c r="M351" s="2">
        <v>0</v>
      </c>
      <c r="O351" s="6">
        <f t="shared" si="53"/>
        <v>-0.73048280985416836</v>
      </c>
      <c r="P351" s="6">
        <f t="shared" si="53"/>
        <v>-0.42142877753352509</v>
      </c>
      <c r="Q351" s="6">
        <f t="shared" si="54"/>
        <v>-0.25079683083283189</v>
      </c>
      <c r="R351" s="6">
        <f t="shared" si="55"/>
        <v>-0.58649522786321284</v>
      </c>
      <c r="S351" s="6">
        <f t="shared" si="56"/>
        <v>-1.6134244135511859</v>
      </c>
      <c r="T351" s="6">
        <f t="shared" si="57"/>
        <v>0.58645235226727477</v>
      </c>
      <c r="U351" s="6">
        <f t="shared" si="58"/>
        <v>0.1831771126673859</v>
      </c>
      <c r="V351" s="6">
        <f t="shared" si="59"/>
        <v>-9.8502059334084097E-2</v>
      </c>
      <c r="W351" s="6">
        <f t="shared" si="60"/>
        <v>0.3044585226291549</v>
      </c>
      <c r="X351" s="6">
        <f t="shared" si="61"/>
        <v>-0.38769150591997681</v>
      </c>
    </row>
    <row r="352" spans="1:24" x14ac:dyDescent="0.35">
      <c r="A352" s="2" t="s">
        <v>375</v>
      </c>
      <c r="B352" s="2" t="s">
        <v>384</v>
      </c>
      <c r="C352" s="2">
        <v>6.27</v>
      </c>
      <c r="D352" s="2">
        <v>9.11</v>
      </c>
      <c r="E352" s="2">
        <v>11470</v>
      </c>
      <c r="F352" s="2">
        <v>72.599999999999994</v>
      </c>
      <c r="G352" s="2">
        <v>70.569999999999993</v>
      </c>
      <c r="H352" s="2">
        <v>96.54</v>
      </c>
      <c r="I352" s="2">
        <v>72.5</v>
      </c>
      <c r="J352" s="2">
        <v>3.43</v>
      </c>
      <c r="K352" s="2">
        <v>71.489999999999995</v>
      </c>
      <c r="L352" s="2">
        <v>14957253</v>
      </c>
      <c r="M352" s="2">
        <v>0</v>
      </c>
      <c r="O352" s="6">
        <f t="shared" si="53"/>
        <v>-0.80563602847336779</v>
      </c>
      <c r="P352" s="6">
        <f t="shared" si="53"/>
        <v>0.41330876255214699</v>
      </c>
      <c r="Q352" s="6">
        <f t="shared" si="54"/>
        <v>0.42188696350534327</v>
      </c>
      <c r="R352" s="6">
        <f t="shared" si="55"/>
        <v>0.41185472478544566</v>
      </c>
      <c r="S352" s="6">
        <f t="shared" si="56"/>
        <v>0.26514570101276702</v>
      </c>
      <c r="T352" s="6">
        <f t="shared" si="57"/>
        <v>1.0415984220172445</v>
      </c>
      <c r="U352" s="6">
        <f t="shared" si="58"/>
        <v>-0.80557893842553685</v>
      </c>
      <c r="V352" s="6">
        <f t="shared" si="59"/>
        <v>-0.61854389575540236</v>
      </c>
      <c r="W352" s="6">
        <f t="shared" si="60"/>
        <v>0.31697773188757328</v>
      </c>
      <c r="X352" s="6">
        <f t="shared" si="61"/>
        <v>-0.14640772505785399</v>
      </c>
    </row>
    <row r="353" spans="1:24" x14ac:dyDescent="0.35">
      <c r="A353" s="2" t="s">
        <v>375</v>
      </c>
      <c r="B353" s="2" t="s">
        <v>385</v>
      </c>
      <c r="C353" s="2">
        <v>4.82</v>
      </c>
      <c r="D353" s="2">
        <v>7.97</v>
      </c>
      <c r="E353" s="2">
        <v>11844</v>
      </c>
      <c r="F353" s="2">
        <v>71</v>
      </c>
      <c r="G353" s="2">
        <v>70.45</v>
      </c>
      <c r="H353" s="2">
        <v>86.7</v>
      </c>
      <c r="I353" s="2">
        <v>62.41</v>
      </c>
      <c r="J353" s="2">
        <v>6.83</v>
      </c>
      <c r="K353" s="2">
        <v>68.290000000000006</v>
      </c>
      <c r="L353" s="2">
        <v>16047002</v>
      </c>
      <c r="M353" s="2">
        <v>0</v>
      </c>
      <c r="O353" s="6">
        <f t="shared" si="53"/>
        <v>-1.0002291838266519</v>
      </c>
      <c r="P353" s="6">
        <f t="shared" si="53"/>
        <v>-0.28639770487260768</v>
      </c>
      <c r="Q353" s="6">
        <f t="shared" si="54"/>
        <v>0.5596655719842466</v>
      </c>
      <c r="R353" s="6">
        <f t="shared" si="55"/>
        <v>0.16534856363762923</v>
      </c>
      <c r="S353" s="6">
        <f t="shared" si="56"/>
        <v>0.2303035968786625</v>
      </c>
      <c r="T353" s="6">
        <f t="shared" si="57"/>
        <v>0.51158217037941001</v>
      </c>
      <c r="U353" s="6">
        <f t="shared" si="58"/>
        <v>-1.4488122431017194</v>
      </c>
      <c r="V353" s="6">
        <f t="shared" si="59"/>
        <v>0.67207088076465782</v>
      </c>
      <c r="W353" s="6">
        <f t="shared" si="60"/>
        <v>-0.18379063844917023</v>
      </c>
      <c r="X353" s="6">
        <f t="shared" si="61"/>
        <v>-0.12363739987377473</v>
      </c>
    </row>
    <row r="354" spans="1:24" x14ac:dyDescent="0.35">
      <c r="A354" s="2" t="s">
        <v>375</v>
      </c>
      <c r="B354" s="2" t="s">
        <v>386</v>
      </c>
      <c r="C354" s="2">
        <v>6.07</v>
      </c>
      <c r="D354" s="2">
        <v>7.69</v>
      </c>
      <c r="E354" s="2">
        <v>11500</v>
      </c>
      <c r="F354" s="2">
        <v>69.11</v>
      </c>
      <c r="G354" s="2">
        <v>67.849999999999994</v>
      </c>
      <c r="H354" s="2">
        <v>89.42</v>
      </c>
      <c r="I354" s="2">
        <v>76.08</v>
      </c>
      <c r="J354" s="2">
        <v>2.44</v>
      </c>
      <c r="K354" s="2">
        <v>75.38</v>
      </c>
      <c r="L354" s="2">
        <v>9477288</v>
      </c>
      <c r="M354" s="2">
        <v>0</v>
      </c>
      <c r="O354" s="6">
        <f t="shared" si="53"/>
        <v>-0.83247646369451034</v>
      </c>
      <c r="P354" s="6">
        <f t="shared" si="53"/>
        <v>-0.45825543371377514</v>
      </c>
      <c r="Q354" s="6">
        <f t="shared" si="54"/>
        <v>0.43293872354375795</v>
      </c>
      <c r="R354" s="6">
        <f t="shared" si="55"/>
        <v>-0.12583683921823005</v>
      </c>
      <c r="S354" s="6">
        <f t="shared" si="56"/>
        <v>-0.52460865936033196</v>
      </c>
      <c r="T354" s="6">
        <f t="shared" si="57"/>
        <v>0.65809072774271371</v>
      </c>
      <c r="U354" s="6">
        <f t="shared" si="58"/>
        <v>-0.57735542695470121</v>
      </c>
      <c r="V354" s="6">
        <f t="shared" si="59"/>
        <v>-0.99434055127153764</v>
      </c>
      <c r="W354" s="6">
        <f t="shared" si="60"/>
        <v>0.92572428207817936</v>
      </c>
      <c r="X354" s="6">
        <f t="shared" si="61"/>
        <v>-0.26091169344632958</v>
      </c>
    </row>
    <row r="355" spans="1:24" x14ac:dyDescent="0.35">
      <c r="A355" s="2" t="s">
        <v>375</v>
      </c>
      <c r="B355" s="2" t="s">
        <v>387</v>
      </c>
      <c r="C355" s="2">
        <v>4.8899999999999997</v>
      </c>
      <c r="D355" s="2">
        <v>10.199999999999999</v>
      </c>
      <c r="E355" s="2">
        <v>14432</v>
      </c>
      <c r="F355" s="2">
        <v>77.569999999999993</v>
      </c>
      <c r="G355" s="2">
        <v>71.290000000000006</v>
      </c>
      <c r="H355" s="2">
        <v>91.48</v>
      </c>
      <c r="I355" s="2">
        <v>99.67</v>
      </c>
      <c r="J355" s="2">
        <v>8.4700000000000006</v>
      </c>
      <c r="K355" s="2">
        <v>63.19</v>
      </c>
      <c r="L355" s="2">
        <v>22672492</v>
      </c>
      <c r="M355" s="2">
        <v>0</v>
      </c>
      <c r="O355" s="6">
        <f t="shared" si="53"/>
        <v>-0.99083503149925212</v>
      </c>
      <c r="P355" s="6">
        <f t="shared" si="53"/>
        <v>1.0823263498266933</v>
      </c>
      <c r="Q355" s="6">
        <f t="shared" si="54"/>
        <v>1.5130640712981553</v>
      </c>
      <c r="R355" s="6">
        <f t="shared" si="55"/>
        <v>1.1775644878508531</v>
      </c>
      <c r="S355" s="6">
        <f t="shared" si="56"/>
        <v>0.47419832581741478</v>
      </c>
      <c r="T355" s="6">
        <f t="shared" si="57"/>
        <v>0.76904941456933362</v>
      </c>
      <c r="U355" s="6">
        <f t="shared" si="58"/>
        <v>0.92649726455284509</v>
      </c>
      <c r="V355" s="6">
        <f t="shared" si="59"/>
        <v>1.2946027141449223</v>
      </c>
      <c r="W355" s="6">
        <f t="shared" si="60"/>
        <v>-0.9818902286733594</v>
      </c>
      <c r="X355" s="6">
        <f t="shared" si="61"/>
        <v>1.4802334233680535E-2</v>
      </c>
    </row>
    <row r="356" spans="1:24" x14ac:dyDescent="0.35">
      <c r="A356" s="2" t="s">
        <v>375</v>
      </c>
      <c r="B356" s="2" t="s">
        <v>388</v>
      </c>
      <c r="C356" s="2">
        <v>4.4000000000000004</v>
      </c>
      <c r="D356" s="2">
        <v>10.96</v>
      </c>
      <c r="E356" s="2">
        <v>13789</v>
      </c>
      <c r="F356" s="2">
        <v>79.260000000000005</v>
      </c>
      <c r="G356" s="2">
        <v>72.099999999999994</v>
      </c>
      <c r="H356" s="2">
        <v>89.11</v>
      </c>
      <c r="I356" s="2">
        <v>84.78</v>
      </c>
      <c r="J356" s="2">
        <v>5.7</v>
      </c>
      <c r="K356" s="2">
        <v>65.95</v>
      </c>
      <c r="L356" s="2">
        <v>6321365</v>
      </c>
      <c r="M356" s="2">
        <v>0</v>
      </c>
      <c r="O356" s="6">
        <f t="shared" si="53"/>
        <v>-1.0565940977910515</v>
      </c>
      <c r="P356" s="6">
        <f t="shared" si="53"/>
        <v>1.5487973281098641</v>
      </c>
      <c r="Q356" s="6">
        <f t="shared" si="54"/>
        <v>1.2761880144748001</v>
      </c>
      <c r="R356" s="6">
        <f t="shared" si="55"/>
        <v>1.4379366205632369</v>
      </c>
      <c r="S356" s="6">
        <f t="shared" si="56"/>
        <v>0.70938252872263574</v>
      </c>
      <c r="T356" s="6">
        <f t="shared" si="57"/>
        <v>0.64139306127851359</v>
      </c>
      <c r="U356" s="6">
        <f t="shared" si="58"/>
        <v>-2.2734044330044362E-2</v>
      </c>
      <c r="V356" s="6">
        <f t="shared" si="59"/>
        <v>0.24313126386240255</v>
      </c>
      <c r="W356" s="6">
        <f t="shared" si="60"/>
        <v>-0.54997750925791578</v>
      </c>
      <c r="X356" s="6">
        <f t="shared" si="61"/>
        <v>-0.32685476195652313</v>
      </c>
    </row>
    <row r="357" spans="1:24" x14ac:dyDescent="0.35">
      <c r="A357" s="2" t="s">
        <v>389</v>
      </c>
      <c r="B357" s="2" t="s">
        <v>390</v>
      </c>
      <c r="C357" s="2">
        <v>9.73</v>
      </c>
      <c r="D357" s="2">
        <v>8.7899999999999991</v>
      </c>
      <c r="E357" s="2">
        <v>10673</v>
      </c>
      <c r="F357" s="2">
        <v>72.930000000000007</v>
      </c>
      <c r="G357" s="2">
        <v>72.88</v>
      </c>
      <c r="H357" s="2">
        <v>81.31</v>
      </c>
      <c r="I357" s="2">
        <v>62.79</v>
      </c>
      <c r="J357" s="2">
        <v>5.7</v>
      </c>
      <c r="K357" s="2">
        <v>65.34</v>
      </c>
      <c r="L357" s="2">
        <v>36588972</v>
      </c>
      <c r="M357" s="2">
        <v>0</v>
      </c>
      <c r="O357" s="6">
        <f t="shared" si="53"/>
        <v>-0.34129649914759991</v>
      </c>
      <c r="P357" s="6">
        <f t="shared" si="53"/>
        <v>0.21689992959081214</v>
      </c>
      <c r="Q357" s="6">
        <f t="shared" si="54"/>
        <v>0.12827853848479256</v>
      </c>
      <c r="R357" s="6">
        <f t="shared" si="55"/>
        <v>0.46269662052218491</v>
      </c>
      <c r="S357" s="6">
        <f t="shared" si="56"/>
        <v>0.93585620559433369</v>
      </c>
      <c r="T357" s="6">
        <f t="shared" si="57"/>
        <v>0.22125822766315714</v>
      </c>
      <c r="U357" s="6">
        <f t="shared" si="58"/>
        <v>-1.4245874011020214</v>
      </c>
      <c r="V357" s="6">
        <f t="shared" si="59"/>
        <v>0.24313126386240255</v>
      </c>
      <c r="W357" s="6">
        <f t="shared" si="60"/>
        <v>-0.64543647985335773</v>
      </c>
      <c r="X357" s="6">
        <f t="shared" si="61"/>
        <v>0.30558743705803298</v>
      </c>
    </row>
    <row r="358" spans="1:24" x14ac:dyDescent="0.35">
      <c r="A358" s="2" t="s">
        <v>389</v>
      </c>
      <c r="B358" s="2" t="s">
        <v>391</v>
      </c>
      <c r="C358" s="2">
        <v>10.24</v>
      </c>
      <c r="D358" s="2">
        <v>8.6999999999999993</v>
      </c>
      <c r="E358" s="2">
        <v>10062</v>
      </c>
      <c r="F358" s="2">
        <v>72.069999999999993</v>
      </c>
      <c r="G358" s="2">
        <v>73.099999999999994</v>
      </c>
      <c r="H358" s="2">
        <v>87.81</v>
      </c>
      <c r="I358" s="2">
        <v>67.08</v>
      </c>
      <c r="J358" s="2">
        <v>5.14</v>
      </c>
      <c r="K358" s="2">
        <v>72.53</v>
      </c>
      <c r="L358" s="2">
        <v>21509219</v>
      </c>
      <c r="M358" s="2">
        <v>0</v>
      </c>
      <c r="O358" s="6">
        <f t="shared" si="53"/>
        <v>-0.27285338933368619</v>
      </c>
      <c r="P358" s="6">
        <f t="shared" si="53"/>
        <v>0.16165994532043684</v>
      </c>
      <c r="Q358" s="6">
        <f t="shared" si="54"/>
        <v>-9.6808974297586975E-2</v>
      </c>
      <c r="R358" s="6">
        <f t="shared" si="55"/>
        <v>0.33019955890523101</v>
      </c>
      <c r="S358" s="6">
        <f t="shared" si="56"/>
        <v>0.99973339650686344</v>
      </c>
      <c r="T358" s="6">
        <f t="shared" si="57"/>
        <v>0.57137058900928761</v>
      </c>
      <c r="U358" s="6">
        <f t="shared" si="58"/>
        <v>-1.151101684842277</v>
      </c>
      <c r="V358" s="6">
        <f t="shared" si="59"/>
        <v>3.0559418317921867E-2</v>
      </c>
      <c r="W358" s="6">
        <f t="shared" si="60"/>
        <v>0.47972745224701652</v>
      </c>
      <c r="X358" s="6">
        <f t="shared" si="61"/>
        <v>-9.50427626824186E-3</v>
      </c>
    </row>
    <row r="359" spans="1:24" x14ac:dyDescent="0.35">
      <c r="A359" s="2" t="s">
        <v>389</v>
      </c>
      <c r="B359" s="2" t="s">
        <v>392</v>
      </c>
      <c r="C359" s="2">
        <v>7.99</v>
      </c>
      <c r="D359" s="2">
        <v>9.23</v>
      </c>
      <c r="E359" s="2">
        <v>11048</v>
      </c>
      <c r="F359" s="2">
        <v>74.06</v>
      </c>
      <c r="G359" s="2">
        <v>72.64</v>
      </c>
      <c r="H359" s="2">
        <v>84.22</v>
      </c>
      <c r="I359" s="2">
        <v>76.8</v>
      </c>
      <c r="J359" s="2">
        <v>5.66</v>
      </c>
      <c r="K359" s="2">
        <v>64.459999999999994</v>
      </c>
      <c r="L359" s="2">
        <v>124178505</v>
      </c>
      <c r="M359" s="2">
        <v>0</v>
      </c>
      <c r="O359" s="6">
        <f t="shared" si="53"/>
        <v>-0.57480828557154096</v>
      </c>
      <c r="P359" s="6">
        <f t="shared" si="53"/>
        <v>0.48696207491264815</v>
      </c>
      <c r="Q359" s="6">
        <f t="shared" si="54"/>
        <v>0.26642553896497639</v>
      </c>
      <c r="R359" s="6">
        <f t="shared" si="55"/>
        <v>0.63679159683283015</v>
      </c>
      <c r="S359" s="6">
        <f t="shared" si="56"/>
        <v>0.86617199732612049</v>
      </c>
      <c r="T359" s="6">
        <f t="shared" si="57"/>
        <v>0.37800083866580919</v>
      </c>
      <c r="U359" s="6">
        <f t="shared" si="58"/>
        <v>-0.5314557263236952</v>
      </c>
      <c r="V359" s="6">
        <f t="shared" si="59"/>
        <v>0.22794756060922539</v>
      </c>
      <c r="W359" s="6">
        <f t="shared" si="60"/>
        <v>-0.78314778169596422</v>
      </c>
      <c r="X359" s="6">
        <f t="shared" si="61"/>
        <v>2.1357723228726941</v>
      </c>
    </row>
    <row r="360" spans="1:24" x14ac:dyDescent="0.35">
      <c r="A360" s="2" t="s">
        <v>389</v>
      </c>
      <c r="B360" s="2" t="s">
        <v>393</v>
      </c>
      <c r="C360" s="2">
        <v>9.81</v>
      </c>
      <c r="D360" s="2">
        <v>9.43</v>
      </c>
      <c r="E360" s="2">
        <v>10868</v>
      </c>
      <c r="F360" s="2">
        <v>73.81</v>
      </c>
      <c r="G360" s="2">
        <v>73.459999999999994</v>
      </c>
      <c r="H360" s="2">
        <v>86.52</v>
      </c>
      <c r="I360" s="2">
        <v>78.97</v>
      </c>
      <c r="J360" s="2">
        <v>5.35</v>
      </c>
      <c r="K360" s="2">
        <v>67.97</v>
      </c>
      <c r="L360" s="2">
        <v>91906125</v>
      </c>
      <c r="M360" s="2">
        <v>0</v>
      </c>
      <c r="O360" s="6">
        <f t="shared" si="53"/>
        <v>-0.33056032505914285</v>
      </c>
      <c r="P360" s="6">
        <f t="shared" si="53"/>
        <v>0.60971759551348181</v>
      </c>
      <c r="Q360" s="6">
        <f t="shared" si="54"/>
        <v>0.20011497873448814</v>
      </c>
      <c r="R360" s="6">
        <f t="shared" si="55"/>
        <v>0.59827500915348375</v>
      </c>
      <c r="S360" s="6">
        <f t="shared" si="56"/>
        <v>1.1042597089091852</v>
      </c>
      <c r="T360" s="6">
        <f t="shared" si="57"/>
        <v>0.5018867511421321</v>
      </c>
      <c r="U360" s="6">
        <f t="shared" si="58"/>
        <v>-0.39311912858857961</v>
      </c>
      <c r="V360" s="6">
        <f t="shared" si="59"/>
        <v>0.11027386039710205</v>
      </c>
      <c r="W360" s="6">
        <f t="shared" si="60"/>
        <v>-0.23386747548284592</v>
      </c>
      <c r="X360" s="6">
        <f t="shared" si="61"/>
        <v>1.4614403555442765</v>
      </c>
    </row>
    <row r="361" spans="1:24" x14ac:dyDescent="0.35">
      <c r="A361" s="2" t="s">
        <v>389</v>
      </c>
      <c r="B361" s="2" t="s">
        <v>394</v>
      </c>
      <c r="C361" s="2">
        <v>5.88</v>
      </c>
      <c r="D361" s="2">
        <v>9.5299999999999994</v>
      </c>
      <c r="E361" s="2">
        <v>12435</v>
      </c>
      <c r="F361" s="2">
        <v>75.2</v>
      </c>
      <c r="G361" s="2">
        <v>72.319999999999993</v>
      </c>
      <c r="H361" s="2">
        <v>88.4</v>
      </c>
      <c r="I361" s="2">
        <v>87.34</v>
      </c>
      <c r="J361" s="2">
        <v>5.82</v>
      </c>
      <c r="K361" s="2">
        <v>65.55</v>
      </c>
      <c r="L361" s="2">
        <v>28802736</v>
      </c>
      <c r="M361" s="2">
        <v>0</v>
      </c>
      <c r="O361" s="6">
        <f t="shared" si="53"/>
        <v>-0.85797487715459597</v>
      </c>
      <c r="P361" s="6">
        <f t="shared" si="53"/>
        <v>0.67109535581389879</v>
      </c>
      <c r="Q361" s="6">
        <f t="shared" si="54"/>
        <v>0.77738524474101633</v>
      </c>
      <c r="R361" s="6">
        <f t="shared" si="55"/>
        <v>0.81242723665065009</v>
      </c>
      <c r="S361" s="6">
        <f t="shared" si="56"/>
        <v>0.77325971963516549</v>
      </c>
      <c r="T361" s="6">
        <f t="shared" si="57"/>
        <v>0.603150018731475</v>
      </c>
      <c r="U361" s="6">
        <f t="shared" si="58"/>
        <v>0.14046489124686626</v>
      </c>
      <c r="V361" s="6">
        <f t="shared" si="59"/>
        <v>0.28868237362193416</v>
      </c>
      <c r="W361" s="6">
        <f t="shared" si="60"/>
        <v>-0.61257355555000981</v>
      </c>
      <c r="X361" s="6">
        <f t="shared" si="61"/>
        <v>0.14289389415963666</v>
      </c>
    </row>
    <row r="362" spans="1:24" x14ac:dyDescent="0.35">
      <c r="A362" s="2" t="s">
        <v>389</v>
      </c>
      <c r="B362" s="2" t="s">
        <v>395</v>
      </c>
      <c r="C362" s="2">
        <v>7.61</v>
      </c>
      <c r="D362" s="2">
        <v>8.36</v>
      </c>
      <c r="E362" s="2">
        <v>11651</v>
      </c>
      <c r="F362" s="2">
        <v>72.010000000000005</v>
      </c>
      <c r="G362" s="2">
        <v>71.680000000000007</v>
      </c>
      <c r="H362" s="2">
        <v>84.53</v>
      </c>
      <c r="I362" s="2">
        <v>78.760000000000005</v>
      </c>
      <c r="J362" s="2">
        <v>2.95</v>
      </c>
      <c r="K362" s="2">
        <v>66.849999999999994</v>
      </c>
      <c r="L362" s="2">
        <v>6492343</v>
      </c>
      <c r="M362" s="2">
        <v>0</v>
      </c>
      <c r="O362" s="6">
        <f t="shared" si="53"/>
        <v>-0.625805112491712</v>
      </c>
      <c r="P362" s="6">
        <f t="shared" si="53"/>
        <v>-4.7024439700981191E-2</v>
      </c>
      <c r="Q362" s="6">
        <f t="shared" si="54"/>
        <v>0.488565915737112</v>
      </c>
      <c r="R362" s="6">
        <f t="shared" si="55"/>
        <v>0.3209555778621897</v>
      </c>
      <c r="S362" s="6">
        <f t="shared" si="56"/>
        <v>0.5874351642532637</v>
      </c>
      <c r="T362" s="6">
        <f t="shared" si="57"/>
        <v>0.39469850513000937</v>
      </c>
      <c r="U362" s="6">
        <f t="shared" si="58"/>
        <v>-0.40650654127262265</v>
      </c>
      <c r="V362" s="6">
        <f t="shared" si="59"/>
        <v>-0.80074833479352847</v>
      </c>
      <c r="W362" s="6">
        <f t="shared" si="60"/>
        <v>-0.40913640510070748</v>
      </c>
      <c r="X362" s="6">
        <f t="shared" si="61"/>
        <v>-0.32328217353540645</v>
      </c>
    </row>
    <row r="363" spans="1:24" x14ac:dyDescent="0.35">
      <c r="A363" s="2" t="s">
        <v>389</v>
      </c>
      <c r="B363" s="2" t="s">
        <v>396</v>
      </c>
      <c r="C363" s="2">
        <v>11.9</v>
      </c>
      <c r="D363" s="2">
        <v>8.18</v>
      </c>
      <c r="E363" s="2">
        <v>7802</v>
      </c>
      <c r="F363" s="2">
        <v>67.95</v>
      </c>
      <c r="G363" s="2">
        <v>72.33</v>
      </c>
      <c r="H363" s="2">
        <v>91.67</v>
      </c>
      <c r="I363" s="2">
        <v>49.45</v>
      </c>
      <c r="J363" s="2">
        <v>3.14</v>
      </c>
      <c r="K363" s="2">
        <v>74.83</v>
      </c>
      <c r="L363" s="2">
        <v>1786101</v>
      </c>
      <c r="M363" s="2">
        <v>0</v>
      </c>
      <c r="O363" s="6">
        <f t="shared" si="53"/>
        <v>-5.0077776998202241E-2</v>
      </c>
      <c r="P363" s="6">
        <f t="shared" si="53"/>
        <v>-0.15750440824173179</v>
      </c>
      <c r="Q363" s="6">
        <f t="shared" si="54"/>
        <v>-0.92937489719149491</v>
      </c>
      <c r="R363" s="6">
        <f t="shared" si="55"/>
        <v>-0.30455380605039711</v>
      </c>
      <c r="S363" s="6">
        <f t="shared" si="56"/>
        <v>0.77616322831300921</v>
      </c>
      <c r="T363" s="6">
        <f t="shared" si="57"/>
        <v>0.779283468208682</v>
      </c>
      <c r="U363" s="6">
        <f t="shared" si="58"/>
        <v>-2.2750068544598281</v>
      </c>
      <c r="V363" s="6">
        <f t="shared" si="59"/>
        <v>-0.72862574434093696</v>
      </c>
      <c r="W363" s="6">
        <f t="shared" si="60"/>
        <v>0.8396547184265517</v>
      </c>
      <c r="X363" s="6">
        <f t="shared" si="61"/>
        <v>-0.42161918576021373</v>
      </c>
    </row>
    <row r="364" spans="1:24" x14ac:dyDescent="0.35">
      <c r="A364" s="2" t="s">
        <v>389</v>
      </c>
      <c r="B364" s="2" t="s">
        <v>397</v>
      </c>
      <c r="C364" s="2">
        <v>2.89</v>
      </c>
      <c r="D364" s="2">
        <v>10.91</v>
      </c>
      <c r="E364" s="2">
        <v>14862</v>
      </c>
      <c r="F364" s="2">
        <v>80.709999999999994</v>
      </c>
      <c r="G364" s="2">
        <v>74.760000000000005</v>
      </c>
      <c r="H364" s="2">
        <v>93.25</v>
      </c>
      <c r="I364" s="2">
        <v>99.72</v>
      </c>
      <c r="J364" s="2">
        <v>8.94</v>
      </c>
      <c r="K364" s="2">
        <v>64.290000000000006</v>
      </c>
      <c r="L364" s="2">
        <v>86796991</v>
      </c>
      <c r="M364" s="2">
        <v>0</v>
      </c>
      <c r="O364" s="6">
        <f t="shared" si="53"/>
        <v>-1.2592393837106783</v>
      </c>
      <c r="P364" s="6">
        <f t="shared" si="53"/>
        <v>1.5181084479596552</v>
      </c>
      <c r="Q364" s="6">
        <f t="shared" si="54"/>
        <v>1.671472631848766</v>
      </c>
      <c r="R364" s="6">
        <f t="shared" si="55"/>
        <v>1.6613328291034446</v>
      </c>
      <c r="S364" s="6">
        <f t="shared" si="56"/>
        <v>1.4817158370286845</v>
      </c>
      <c r="T364" s="6">
        <f t="shared" si="57"/>
        <v>0.86438770373589513</v>
      </c>
      <c r="U364" s="6">
        <f t="shared" si="58"/>
        <v>0.92968474376333143</v>
      </c>
      <c r="V364" s="6">
        <f t="shared" si="59"/>
        <v>1.4730112273697538</v>
      </c>
      <c r="W364" s="6">
        <f t="shared" si="60"/>
        <v>-0.80975110137010187</v>
      </c>
      <c r="X364" s="6">
        <f t="shared" si="61"/>
        <v>1.354684907648444</v>
      </c>
    </row>
    <row r="365" spans="1:24" x14ac:dyDescent="0.35">
      <c r="A365" s="2" t="s">
        <v>389</v>
      </c>
      <c r="B365" s="2" t="s">
        <v>398</v>
      </c>
      <c r="C365" s="2">
        <v>4.99</v>
      </c>
      <c r="D365" s="2">
        <v>10.49</v>
      </c>
      <c r="E365" s="2">
        <v>14582</v>
      </c>
      <c r="F365" s="2">
        <v>80.760000000000005</v>
      </c>
      <c r="G365" s="2">
        <v>74.540000000000006</v>
      </c>
      <c r="H365" s="2">
        <v>97.17</v>
      </c>
      <c r="I365" s="2">
        <v>96.53</v>
      </c>
      <c r="J365" s="2">
        <v>8.16</v>
      </c>
      <c r="K365" s="2">
        <v>64.290000000000006</v>
      </c>
      <c r="L365" s="2">
        <v>46282119</v>
      </c>
      <c r="M365" s="2">
        <v>0</v>
      </c>
      <c r="O365" s="6">
        <f t="shared" si="53"/>
        <v>-0.97741481388868068</v>
      </c>
      <c r="P365" s="6">
        <f t="shared" si="53"/>
        <v>1.2603218546979034</v>
      </c>
      <c r="Q365" s="6">
        <f t="shared" si="54"/>
        <v>1.5683228714902289</v>
      </c>
      <c r="R365" s="6">
        <f t="shared" si="55"/>
        <v>1.6690361466393155</v>
      </c>
      <c r="S365" s="6">
        <f t="shared" si="56"/>
        <v>1.4178386461161547</v>
      </c>
      <c r="T365" s="6">
        <f t="shared" si="57"/>
        <v>1.0755323893477153</v>
      </c>
      <c r="U365" s="6">
        <f t="shared" si="58"/>
        <v>0.72632357013429083</v>
      </c>
      <c r="V365" s="6">
        <f t="shared" si="59"/>
        <v>1.176929013932799</v>
      </c>
      <c r="W365" s="6">
        <f t="shared" si="60"/>
        <v>-0.80975110137010187</v>
      </c>
      <c r="X365" s="6">
        <f t="shared" si="61"/>
        <v>0.50812591999959322</v>
      </c>
    </row>
    <row r="366" spans="1:24" x14ac:dyDescent="0.35">
      <c r="A366" s="2" t="s">
        <v>389</v>
      </c>
      <c r="B366" s="2" t="s">
        <v>399</v>
      </c>
      <c r="C366" s="2">
        <v>4.62</v>
      </c>
      <c r="D366" s="2">
        <v>10.8</v>
      </c>
      <c r="E366" s="2">
        <v>16765</v>
      </c>
      <c r="F366" s="2">
        <v>80.59</v>
      </c>
      <c r="G366" s="2">
        <v>74.55</v>
      </c>
      <c r="H366" s="2">
        <v>93.95</v>
      </c>
      <c r="I366" s="2">
        <v>99.85</v>
      </c>
      <c r="J366" s="2">
        <v>9.92</v>
      </c>
      <c r="K366" s="2">
        <v>66.63</v>
      </c>
      <c r="L366" s="2">
        <v>39949434</v>
      </c>
      <c r="M366" s="2">
        <v>0</v>
      </c>
      <c r="O366" s="6">
        <f t="shared" si="53"/>
        <v>-1.0270696190477946</v>
      </c>
      <c r="P366" s="6">
        <f t="shared" si="53"/>
        <v>1.4505929116291967</v>
      </c>
      <c r="Q366" s="6">
        <f t="shared" si="54"/>
        <v>2.372522610285539</v>
      </c>
      <c r="R366" s="6">
        <f t="shared" si="55"/>
        <v>1.6428448670173597</v>
      </c>
      <c r="S366" s="6">
        <f t="shared" si="56"/>
        <v>1.4207421547939945</v>
      </c>
      <c r="T366" s="6">
        <f t="shared" si="57"/>
        <v>0.90209211188086313</v>
      </c>
      <c r="U366" s="6">
        <f t="shared" si="58"/>
        <v>0.93797218971059615</v>
      </c>
      <c r="V366" s="6">
        <f t="shared" si="59"/>
        <v>1.8450119570725949</v>
      </c>
      <c r="W366" s="6">
        <f t="shared" si="60"/>
        <v>-0.44356423056135857</v>
      </c>
      <c r="X366" s="6">
        <f t="shared" si="61"/>
        <v>0.37580435169501947</v>
      </c>
    </row>
    <row r="367" spans="1:24" x14ac:dyDescent="0.35">
      <c r="A367" s="2" t="s">
        <v>400</v>
      </c>
      <c r="B367" s="2" t="s">
        <v>401</v>
      </c>
      <c r="C367" s="2">
        <v>7.3</v>
      </c>
      <c r="D367" s="2">
        <v>9.4</v>
      </c>
      <c r="E367" s="2">
        <v>9928</v>
      </c>
      <c r="F367" s="2">
        <v>72.319999999999993</v>
      </c>
      <c r="G367" s="2">
        <v>71.489999999999995</v>
      </c>
      <c r="H367" s="2">
        <v>67.88</v>
      </c>
      <c r="I367" s="2">
        <v>70.849999999999994</v>
      </c>
      <c r="J367" s="2">
        <v>4.1399999999999997</v>
      </c>
      <c r="K367" s="2">
        <v>71.489999999999995</v>
      </c>
      <c r="L367" s="2">
        <v>8190168</v>
      </c>
      <c r="M367" s="2">
        <v>0</v>
      </c>
      <c r="O367" s="6">
        <f t="shared" si="53"/>
        <v>-0.66740778708448312</v>
      </c>
      <c r="P367" s="6">
        <f t="shared" si="53"/>
        <v>0.59130426742335718</v>
      </c>
      <c r="Q367" s="6">
        <f t="shared" si="54"/>
        <v>-0.14617350246917266</v>
      </c>
      <c r="R367" s="6">
        <f t="shared" si="55"/>
        <v>0.36871614658457746</v>
      </c>
      <c r="S367" s="6">
        <f t="shared" si="56"/>
        <v>0.53226849937425702</v>
      </c>
      <c r="T367" s="6">
        <f t="shared" si="57"/>
        <v>-0.50212777431815592</v>
      </c>
      <c r="U367" s="6">
        <f t="shared" si="58"/>
        <v>-0.91076575237159274</v>
      </c>
      <c r="V367" s="6">
        <f t="shared" si="59"/>
        <v>-0.34903316301150761</v>
      </c>
      <c r="W367" s="6">
        <f t="shared" si="60"/>
        <v>0.31697773188757328</v>
      </c>
      <c r="X367" s="6">
        <f t="shared" si="61"/>
        <v>-0.2878060892667727</v>
      </c>
    </row>
    <row r="368" spans="1:24" x14ac:dyDescent="0.35">
      <c r="A368" s="2" t="s">
        <v>400</v>
      </c>
      <c r="B368" s="2" t="s">
        <v>402</v>
      </c>
      <c r="C368" s="2">
        <v>10.029999999999999</v>
      </c>
      <c r="D368" s="2">
        <v>9.19</v>
      </c>
      <c r="E368" s="2">
        <v>9423</v>
      </c>
      <c r="F368" s="2">
        <v>71.8</v>
      </c>
      <c r="G368" s="2">
        <v>72.739999999999995</v>
      </c>
      <c r="H368" s="2">
        <v>93.04</v>
      </c>
      <c r="I368" s="2">
        <v>75.44</v>
      </c>
      <c r="J368" s="2">
        <v>4.54</v>
      </c>
      <c r="K368" s="2">
        <v>68.62</v>
      </c>
      <c r="L368" s="2">
        <v>12014801</v>
      </c>
      <c r="M368" s="2">
        <v>0</v>
      </c>
      <c r="O368" s="6">
        <f t="shared" si="53"/>
        <v>-0.30103584631588609</v>
      </c>
      <c r="P368" s="6">
        <f t="shared" si="53"/>
        <v>0.46241097079248072</v>
      </c>
      <c r="Q368" s="6">
        <f t="shared" si="54"/>
        <v>-0.33221146311582023</v>
      </c>
      <c r="R368" s="6">
        <f t="shared" si="55"/>
        <v>0.28860164421153744</v>
      </c>
      <c r="S368" s="6">
        <f t="shared" si="56"/>
        <v>0.89520708410454164</v>
      </c>
      <c r="T368" s="6">
        <f t="shared" si="57"/>
        <v>0.85307638129240515</v>
      </c>
      <c r="U368" s="6">
        <f t="shared" si="58"/>
        <v>-0.61815516084892885</v>
      </c>
      <c r="V368" s="6">
        <f t="shared" si="59"/>
        <v>-0.19719613047973569</v>
      </c>
      <c r="W368" s="6">
        <f t="shared" si="60"/>
        <v>-0.13214890025819365</v>
      </c>
      <c r="X368" s="6">
        <f t="shared" si="61"/>
        <v>-0.20789031313872799</v>
      </c>
    </row>
    <row r="369" spans="1:24" x14ac:dyDescent="0.35">
      <c r="A369" s="2" t="s">
        <v>400</v>
      </c>
      <c r="B369" s="2" t="s">
        <v>403</v>
      </c>
      <c r="C369" s="2">
        <v>5.15</v>
      </c>
      <c r="D369" s="2">
        <v>8.8000000000000007</v>
      </c>
      <c r="E369" s="2">
        <v>7676</v>
      </c>
      <c r="F369" s="2">
        <v>67.760000000000005</v>
      </c>
      <c r="G369" s="2">
        <v>71.489999999999995</v>
      </c>
      <c r="H369" s="2">
        <v>83.29</v>
      </c>
      <c r="I369" s="2">
        <v>85.88</v>
      </c>
      <c r="J369" s="2">
        <v>5.26</v>
      </c>
      <c r="K369" s="2">
        <v>67.349999999999994</v>
      </c>
      <c r="L369" s="2">
        <v>3818805</v>
      </c>
      <c r="M369" s="2">
        <v>0</v>
      </c>
      <c r="O369" s="6">
        <f t="shared" si="53"/>
        <v>-0.95594246571176655</v>
      </c>
      <c r="P369" s="6">
        <f t="shared" si="53"/>
        <v>0.22303770562085479</v>
      </c>
      <c r="Q369" s="6">
        <f t="shared" si="54"/>
        <v>-0.97579228935283668</v>
      </c>
      <c r="R369" s="6">
        <f t="shared" si="55"/>
        <v>-0.33382641268670005</v>
      </c>
      <c r="S369" s="6">
        <f t="shared" si="56"/>
        <v>0.53226849937425702</v>
      </c>
      <c r="T369" s="6">
        <f t="shared" si="57"/>
        <v>0.32790783927320938</v>
      </c>
      <c r="U369" s="6">
        <f t="shared" si="58"/>
        <v>4.7390498300658994E-2</v>
      </c>
      <c r="V369" s="6">
        <f t="shared" si="59"/>
        <v>7.6110528077453443E-2</v>
      </c>
      <c r="W369" s="6">
        <f t="shared" si="60"/>
        <v>-0.33089134723559105</v>
      </c>
      <c r="X369" s="6">
        <f t="shared" si="61"/>
        <v>-0.37914579869311971</v>
      </c>
    </row>
    <row r="370" spans="1:24" x14ac:dyDescent="0.35">
      <c r="A370" s="2" t="s">
        <v>400</v>
      </c>
      <c r="B370" s="2" t="s">
        <v>404</v>
      </c>
      <c r="C370" s="2">
        <v>6.79</v>
      </c>
      <c r="D370" s="2">
        <v>8.17</v>
      </c>
      <c r="E370" s="2">
        <v>7064</v>
      </c>
      <c r="F370" s="2">
        <v>66.459999999999994</v>
      </c>
      <c r="G370" s="2">
        <v>71.400000000000006</v>
      </c>
      <c r="H370" s="2">
        <v>78.489999999999995</v>
      </c>
      <c r="I370" s="2">
        <v>85.46</v>
      </c>
      <c r="J370" s="2">
        <v>4.24</v>
      </c>
      <c r="K370" s="2">
        <v>66.11</v>
      </c>
      <c r="L370" s="2">
        <v>16353329</v>
      </c>
      <c r="M370" s="2">
        <v>0</v>
      </c>
      <c r="O370" s="6">
        <f t="shared" si="53"/>
        <v>-0.73585089689839689</v>
      </c>
      <c r="P370" s="6">
        <f t="shared" si="53"/>
        <v>-0.16364218427177335</v>
      </c>
      <c r="Q370" s="6">
        <f t="shared" si="54"/>
        <v>-1.2012481941364967</v>
      </c>
      <c r="R370" s="6">
        <f t="shared" si="55"/>
        <v>-0.5341126686193034</v>
      </c>
      <c r="S370" s="6">
        <f t="shared" si="56"/>
        <v>0.5061369212736796</v>
      </c>
      <c r="T370" s="6">
        <f t="shared" si="57"/>
        <v>6.9363326279143211E-2</v>
      </c>
      <c r="U370" s="6">
        <f t="shared" si="58"/>
        <v>2.0615672932572011E-2</v>
      </c>
      <c r="V370" s="6">
        <f t="shared" si="59"/>
        <v>-0.31107390487856446</v>
      </c>
      <c r="W370" s="6">
        <f t="shared" si="60"/>
        <v>-0.52493909074107903</v>
      </c>
      <c r="X370" s="6">
        <f t="shared" si="61"/>
        <v>-0.11723669163484682</v>
      </c>
    </row>
    <row r="371" spans="1:24" x14ac:dyDescent="0.35">
      <c r="A371" s="2" t="s">
        <v>400</v>
      </c>
      <c r="B371" s="2" t="s">
        <v>405</v>
      </c>
      <c r="C371" s="2">
        <v>6.71</v>
      </c>
      <c r="D371" s="2">
        <v>9.98</v>
      </c>
      <c r="E371" s="2">
        <v>11261</v>
      </c>
      <c r="F371" s="2">
        <v>76.23</v>
      </c>
      <c r="G371" s="2">
        <v>74.040000000000006</v>
      </c>
      <c r="H371" s="2">
        <v>77.58</v>
      </c>
      <c r="I371" s="2">
        <v>98.73</v>
      </c>
      <c r="J371" s="2">
        <v>4.9400000000000004</v>
      </c>
      <c r="K371" s="2">
        <v>63.34</v>
      </c>
      <c r="L371" s="2">
        <v>22965209</v>
      </c>
      <c r="M371" s="2">
        <v>0</v>
      </c>
      <c r="O371" s="6">
        <f t="shared" si="53"/>
        <v>-0.74658707098685395</v>
      </c>
      <c r="P371" s="6">
        <f t="shared" si="53"/>
        <v>0.94729527716577633</v>
      </c>
      <c r="Q371" s="6">
        <f t="shared" si="54"/>
        <v>0.3448930352377208</v>
      </c>
      <c r="R371" s="6">
        <f t="shared" si="55"/>
        <v>0.97111557788955771</v>
      </c>
      <c r="S371" s="6">
        <f t="shared" si="56"/>
        <v>1.2726632122240409</v>
      </c>
      <c r="T371" s="6">
        <f t="shared" si="57"/>
        <v>2.0347595690685127E-2</v>
      </c>
      <c r="U371" s="6">
        <f t="shared" si="58"/>
        <v>0.86657265539569839</v>
      </c>
      <c r="V371" s="6">
        <f t="shared" si="59"/>
        <v>-4.5359097947963757E-2</v>
      </c>
      <c r="W371" s="6">
        <f t="shared" si="60"/>
        <v>-0.95841671131382355</v>
      </c>
      <c r="X371" s="6">
        <f t="shared" si="61"/>
        <v>2.0918661274960799E-2</v>
      </c>
    </row>
    <row r="372" spans="1:24" x14ac:dyDescent="0.35">
      <c r="A372" s="2" t="s">
        <v>406</v>
      </c>
      <c r="B372" s="2" t="s">
        <v>407</v>
      </c>
      <c r="C372" s="2">
        <v>7.58</v>
      </c>
      <c r="D372" s="2">
        <v>8.0299999999999994</v>
      </c>
      <c r="E372" s="2">
        <v>10220</v>
      </c>
      <c r="F372" s="2">
        <v>68.16</v>
      </c>
      <c r="G372" s="2">
        <v>69.45</v>
      </c>
      <c r="H372" s="2">
        <v>73.7</v>
      </c>
      <c r="I372" s="2">
        <v>88.23</v>
      </c>
      <c r="J372" s="2">
        <v>4.8499999999999996</v>
      </c>
      <c r="K372" s="2">
        <v>62.06</v>
      </c>
      <c r="L372" s="2">
        <v>5726207</v>
      </c>
      <c r="M372" s="2">
        <v>0</v>
      </c>
      <c r="O372" s="6">
        <f t="shared" si="53"/>
        <v>-0.6298311777748834</v>
      </c>
      <c r="P372" s="6">
        <f t="shared" si="53"/>
        <v>-0.24957104869235763</v>
      </c>
      <c r="Q372" s="6">
        <f t="shared" si="54"/>
        <v>-3.8603038095269521E-2</v>
      </c>
      <c r="R372" s="6">
        <f t="shared" si="55"/>
        <v>-0.27219987239974702</v>
      </c>
      <c r="S372" s="6">
        <f t="shared" si="56"/>
        <v>-6.0047270905565199E-2</v>
      </c>
      <c r="T372" s="6">
        <f t="shared" si="57"/>
        <v>-0.18864255231285096</v>
      </c>
      <c r="U372" s="6">
        <f t="shared" si="58"/>
        <v>0.19720202119352656</v>
      </c>
      <c r="V372" s="6">
        <f t="shared" si="59"/>
        <v>-7.9522430267612701E-2</v>
      </c>
      <c r="W372" s="6">
        <f t="shared" si="60"/>
        <v>-1.158724059448522</v>
      </c>
      <c r="X372" s="6">
        <f t="shared" si="61"/>
        <v>-0.33929059919602167</v>
      </c>
    </row>
    <row r="373" spans="1:24" x14ac:dyDescent="0.35">
      <c r="A373" s="2" t="s">
        <v>406</v>
      </c>
      <c r="B373" s="2" t="s">
        <v>408</v>
      </c>
      <c r="C373" s="2">
        <v>7.67</v>
      </c>
      <c r="D373" s="2">
        <v>9.73</v>
      </c>
      <c r="E373" s="2">
        <v>12481</v>
      </c>
      <c r="F373" s="2">
        <v>75.73</v>
      </c>
      <c r="G373" s="2">
        <v>71.16</v>
      </c>
      <c r="H373" s="2">
        <v>88.32</v>
      </c>
      <c r="I373" s="2">
        <v>88.01</v>
      </c>
      <c r="J373" s="2">
        <v>6.14</v>
      </c>
      <c r="K373" s="2">
        <v>59.41</v>
      </c>
      <c r="L373" s="2">
        <v>12095806</v>
      </c>
      <c r="M373" s="2">
        <v>0</v>
      </c>
      <c r="O373" s="6">
        <f t="shared" si="53"/>
        <v>-0.6177529819253692</v>
      </c>
      <c r="P373" s="6">
        <f t="shared" si="53"/>
        <v>0.79385087641473362</v>
      </c>
      <c r="Q373" s="6">
        <f t="shared" si="54"/>
        <v>0.79433127679991888</v>
      </c>
      <c r="R373" s="6">
        <f t="shared" si="55"/>
        <v>0.89408240253086479</v>
      </c>
      <c r="S373" s="6">
        <f t="shared" si="56"/>
        <v>0.43645271300546234</v>
      </c>
      <c r="T373" s="6">
        <f t="shared" si="57"/>
        <v>0.59884094351490658</v>
      </c>
      <c r="U373" s="6">
        <f t="shared" si="58"/>
        <v>0.1831771126673859</v>
      </c>
      <c r="V373" s="6">
        <f t="shared" si="59"/>
        <v>0.41015199964735133</v>
      </c>
      <c r="W373" s="6">
        <f t="shared" si="60"/>
        <v>-1.57342286613364</v>
      </c>
      <c r="X373" s="6">
        <f t="shared" si="61"/>
        <v>-0.20619771218976055</v>
      </c>
    </row>
    <row r="374" spans="1:24" x14ac:dyDescent="0.35">
      <c r="A374" s="2" t="s">
        <v>406</v>
      </c>
      <c r="B374" s="2" t="s">
        <v>409</v>
      </c>
      <c r="C374" s="2">
        <v>11.02</v>
      </c>
      <c r="D374" s="2">
        <v>8.34</v>
      </c>
      <c r="E374" s="2">
        <v>11524</v>
      </c>
      <c r="F374" s="2">
        <v>71.069999999999993</v>
      </c>
      <c r="G374" s="2">
        <v>70.180000000000007</v>
      </c>
      <c r="H374" s="2">
        <v>84.73</v>
      </c>
      <c r="I374" s="2">
        <v>93.51</v>
      </c>
      <c r="J374" s="2">
        <v>4.72</v>
      </c>
      <c r="K374" s="2">
        <v>63.6</v>
      </c>
      <c r="L374" s="2">
        <v>3204803</v>
      </c>
      <c r="M374" s="2">
        <v>0</v>
      </c>
      <c r="O374" s="6">
        <f t="shared" si="53"/>
        <v>-0.16817569197122997</v>
      </c>
      <c r="P374" s="6">
        <f t="shared" si="53"/>
        <v>-5.9299991761064347E-2</v>
      </c>
      <c r="Q374" s="6">
        <f t="shared" si="54"/>
        <v>0.44178013157448975</v>
      </c>
      <c r="R374" s="6">
        <f t="shared" si="55"/>
        <v>0.17613320818784517</v>
      </c>
      <c r="S374" s="6">
        <f t="shared" si="56"/>
        <v>0.15190886257692218</v>
      </c>
      <c r="T374" s="6">
        <f t="shared" si="57"/>
        <v>0.40547119317142893</v>
      </c>
      <c r="U374" s="6">
        <f t="shared" si="58"/>
        <v>0.53379982582090446</v>
      </c>
      <c r="V374" s="6">
        <f t="shared" si="59"/>
        <v>-0.12886946584043849</v>
      </c>
      <c r="W374" s="6">
        <f t="shared" si="60"/>
        <v>-0.91772928122396336</v>
      </c>
      <c r="X374" s="6">
        <f t="shared" si="61"/>
        <v>-0.39197538165550377</v>
      </c>
    </row>
    <row r="375" spans="1:24" x14ac:dyDescent="0.35">
      <c r="A375" s="2" t="s">
        <v>406</v>
      </c>
      <c r="B375" s="2" t="s">
        <v>410</v>
      </c>
      <c r="C375" s="2">
        <v>9</v>
      </c>
      <c r="D375" s="2">
        <v>9.7200000000000006</v>
      </c>
      <c r="E375" s="2">
        <v>8558</v>
      </c>
      <c r="F375" s="2">
        <v>69.83</v>
      </c>
      <c r="G375" s="2">
        <v>70.239999999999995</v>
      </c>
      <c r="H375" s="2">
        <v>86.83</v>
      </c>
      <c r="I375" s="2">
        <v>84.61</v>
      </c>
      <c r="J375" s="2">
        <v>2.2999999999999998</v>
      </c>
      <c r="K375" s="2">
        <v>79.19</v>
      </c>
      <c r="L375" s="2">
        <v>1665598</v>
      </c>
      <c r="M375" s="2">
        <v>0</v>
      </c>
      <c r="O375" s="6">
        <f t="shared" si="53"/>
        <v>-0.43926408770477066</v>
      </c>
      <c r="P375" s="6">
        <f t="shared" si="53"/>
        <v>0.787713100384692</v>
      </c>
      <c r="Q375" s="6">
        <f t="shared" si="54"/>
        <v>-0.65087054422344426</v>
      </c>
      <c r="R375" s="6">
        <f t="shared" si="55"/>
        <v>-1.4909066701712445E-2</v>
      </c>
      <c r="S375" s="6">
        <f t="shared" si="56"/>
        <v>0.16932991464397237</v>
      </c>
      <c r="T375" s="6">
        <f t="shared" si="57"/>
        <v>0.51858441760633234</v>
      </c>
      <c r="U375" s="6">
        <f t="shared" si="58"/>
        <v>-3.357147364569868E-2</v>
      </c>
      <c r="V375" s="6">
        <f t="shared" si="59"/>
        <v>-1.0474835126576578</v>
      </c>
      <c r="W375" s="6">
        <f t="shared" si="60"/>
        <v>1.5219516230103671</v>
      </c>
      <c r="X375" s="6">
        <f t="shared" si="61"/>
        <v>-0.42413709813788703</v>
      </c>
    </row>
    <row r="376" spans="1:24" x14ac:dyDescent="0.35">
      <c r="A376" s="2" t="s">
        <v>406</v>
      </c>
      <c r="B376" s="2" t="s">
        <v>411</v>
      </c>
      <c r="C376" s="2">
        <v>9.3699999999999992</v>
      </c>
      <c r="D376" s="2">
        <v>9.09</v>
      </c>
      <c r="E376" s="2">
        <v>11554</v>
      </c>
      <c r="F376" s="2">
        <v>72.319999999999993</v>
      </c>
      <c r="G376" s="2">
        <v>70.010000000000005</v>
      </c>
      <c r="H376" s="2">
        <v>87.66</v>
      </c>
      <c r="I376" s="2">
        <v>90.78</v>
      </c>
      <c r="J376" s="2">
        <v>4.9000000000000004</v>
      </c>
      <c r="K376" s="2">
        <v>63.04</v>
      </c>
      <c r="L376" s="2">
        <v>6371366</v>
      </c>
      <c r="M376" s="2">
        <v>0</v>
      </c>
      <c r="O376" s="6">
        <f t="shared" si="53"/>
        <v>-0.38960928254565685</v>
      </c>
      <c r="P376" s="6">
        <f t="shared" si="53"/>
        <v>0.40103321049206386</v>
      </c>
      <c r="Q376" s="6">
        <f t="shared" si="54"/>
        <v>0.45283189161290444</v>
      </c>
      <c r="R376" s="6">
        <f t="shared" si="55"/>
        <v>0.36871614658457746</v>
      </c>
      <c r="S376" s="6">
        <f t="shared" si="56"/>
        <v>0.10254921505360297</v>
      </c>
      <c r="T376" s="6">
        <f t="shared" si="57"/>
        <v>0.56329107297822278</v>
      </c>
      <c r="U376" s="6">
        <f t="shared" si="58"/>
        <v>0.35976346092833955</v>
      </c>
      <c r="V376" s="6">
        <f t="shared" si="59"/>
        <v>-6.0542801201140951E-2</v>
      </c>
      <c r="W376" s="6">
        <f t="shared" si="60"/>
        <v>-1.0053637460328941</v>
      </c>
      <c r="X376" s="6">
        <f t="shared" si="61"/>
        <v>-0.32580999015170464</v>
      </c>
    </row>
    <row r="377" spans="1:24" x14ac:dyDescent="0.35">
      <c r="A377" s="2" t="s">
        <v>406</v>
      </c>
      <c r="B377" s="2" t="s">
        <v>412</v>
      </c>
      <c r="C377" s="2">
        <v>7.11</v>
      </c>
      <c r="D377" s="2">
        <v>10</v>
      </c>
      <c r="E377" s="2">
        <v>11481</v>
      </c>
      <c r="F377" s="2">
        <v>74.11</v>
      </c>
      <c r="G377" s="2">
        <v>71.400000000000006</v>
      </c>
      <c r="H377" s="2">
        <v>90.75</v>
      </c>
      <c r="I377" s="2">
        <v>88.2</v>
      </c>
      <c r="J377" s="2">
        <v>8.1199999999999992</v>
      </c>
      <c r="K377" s="2">
        <v>61.99</v>
      </c>
      <c r="L377" s="2">
        <v>9884318</v>
      </c>
      <c r="M377" s="2">
        <v>0</v>
      </c>
      <c r="O377" s="6">
        <f t="shared" si="53"/>
        <v>-0.69290620054456864</v>
      </c>
      <c r="P377" s="6">
        <f t="shared" si="53"/>
        <v>0.95957082922585946</v>
      </c>
      <c r="Q377" s="6">
        <f t="shared" si="54"/>
        <v>0.42593927551942867</v>
      </c>
      <c r="R377" s="6">
        <f t="shared" si="55"/>
        <v>0.64449491436869899</v>
      </c>
      <c r="S377" s="6">
        <f t="shared" si="56"/>
        <v>0.5061369212736796</v>
      </c>
      <c r="T377" s="6">
        <f t="shared" si="57"/>
        <v>0.72972910321815265</v>
      </c>
      <c r="U377" s="6">
        <f t="shared" si="58"/>
        <v>0.19528953366723459</v>
      </c>
      <c r="V377" s="6">
        <f t="shared" si="59"/>
        <v>1.1617453106796216</v>
      </c>
      <c r="W377" s="6">
        <f t="shared" si="60"/>
        <v>-1.1696783675496383</v>
      </c>
      <c r="X377" s="6">
        <f t="shared" si="61"/>
        <v>-0.25240679419000928</v>
      </c>
    </row>
    <row r="378" spans="1:24" x14ac:dyDescent="0.35">
      <c r="A378" s="2" t="s">
        <v>406</v>
      </c>
      <c r="B378" s="2" t="s">
        <v>413</v>
      </c>
      <c r="C378" s="2">
        <v>8.0299999999999994</v>
      </c>
      <c r="D378" s="2">
        <v>8.41</v>
      </c>
      <c r="E378" s="2">
        <v>9143</v>
      </c>
      <c r="F378" s="2">
        <v>67.39</v>
      </c>
      <c r="G378" s="2">
        <v>67.73</v>
      </c>
      <c r="H378" s="2">
        <v>73.45</v>
      </c>
      <c r="I378" s="2">
        <v>79.62</v>
      </c>
      <c r="J378" s="2">
        <v>5.23</v>
      </c>
      <c r="K378" s="2">
        <v>64.430000000000007</v>
      </c>
      <c r="L378" s="2">
        <v>1749563</v>
      </c>
      <c r="M378" s="2">
        <v>0</v>
      </c>
      <c r="O378" s="6">
        <f t="shared" si="53"/>
        <v>-0.56944019852731254</v>
      </c>
      <c r="P378" s="6">
        <f t="shared" si="53"/>
        <v>-1.6335559550772212E-2</v>
      </c>
      <c r="Q378" s="6">
        <f t="shared" si="54"/>
        <v>-0.43536122347435752</v>
      </c>
      <c r="R378" s="6">
        <f t="shared" si="55"/>
        <v>-0.3908309624521335</v>
      </c>
      <c r="S378" s="6">
        <f t="shared" si="56"/>
        <v>-0.55945076349443645</v>
      </c>
      <c r="T378" s="6">
        <f t="shared" si="57"/>
        <v>-0.20210841236462521</v>
      </c>
      <c r="U378" s="6">
        <f t="shared" si="58"/>
        <v>-0.35168189885225432</v>
      </c>
      <c r="V378" s="6">
        <f t="shared" si="59"/>
        <v>6.4722750637570811E-2</v>
      </c>
      <c r="W378" s="6">
        <f t="shared" si="60"/>
        <v>-0.78784248516786914</v>
      </c>
      <c r="X378" s="6">
        <f t="shared" si="61"/>
        <v>-0.42238264793505942</v>
      </c>
    </row>
    <row r="379" spans="1:24" x14ac:dyDescent="0.35">
      <c r="A379" s="2" t="s">
        <v>406</v>
      </c>
      <c r="B379" s="2" t="s">
        <v>414</v>
      </c>
      <c r="C379" s="2">
        <v>8.94</v>
      </c>
      <c r="D379" s="2">
        <v>9.0299999999999994</v>
      </c>
      <c r="E379" s="2">
        <v>8145</v>
      </c>
      <c r="F379" s="2">
        <v>68.05</v>
      </c>
      <c r="G379" s="2">
        <v>70.87</v>
      </c>
      <c r="H379" s="2">
        <v>93.94</v>
      </c>
      <c r="I379" s="2">
        <v>96.71</v>
      </c>
      <c r="J379" s="2">
        <v>3.39</v>
      </c>
      <c r="K379" s="2">
        <v>63.09</v>
      </c>
      <c r="L379" s="2">
        <v>1681881</v>
      </c>
      <c r="M379" s="2">
        <v>0</v>
      </c>
      <c r="O379" s="6">
        <f t="shared" si="53"/>
        <v>-0.44731621827111351</v>
      </c>
      <c r="P379" s="6">
        <f t="shared" si="53"/>
        <v>0.36420655431181326</v>
      </c>
      <c r="Q379" s="6">
        <f t="shared" si="54"/>
        <v>-0.80301644075228673</v>
      </c>
      <c r="R379" s="6">
        <f t="shared" si="55"/>
        <v>-0.28914717097865938</v>
      </c>
      <c r="S379" s="6">
        <f t="shared" si="56"/>
        <v>0.35225096134803863</v>
      </c>
      <c r="T379" s="6">
        <f t="shared" si="57"/>
        <v>0.90155347747879189</v>
      </c>
      <c r="U379" s="6">
        <f t="shared" si="58"/>
        <v>0.73779849529204189</v>
      </c>
      <c r="V379" s="6">
        <f t="shared" si="59"/>
        <v>-0.63372759900857956</v>
      </c>
      <c r="W379" s="6">
        <f t="shared" si="60"/>
        <v>-0.99753924024638174</v>
      </c>
      <c r="X379" s="6">
        <f t="shared" si="61"/>
        <v>-0.42379686455660148</v>
      </c>
    </row>
    <row r="380" spans="1:24" x14ac:dyDescent="0.35">
      <c r="A380" s="2" t="s">
        <v>406</v>
      </c>
      <c r="B380" s="2" t="s">
        <v>415</v>
      </c>
      <c r="C380" s="2">
        <v>12.47</v>
      </c>
      <c r="D380" s="2">
        <v>9.11</v>
      </c>
      <c r="E380" s="2">
        <v>10479</v>
      </c>
      <c r="F380" s="2">
        <v>71.06</v>
      </c>
      <c r="G380" s="2">
        <v>70.209999999999994</v>
      </c>
      <c r="H380" s="2">
        <v>87.91</v>
      </c>
      <c r="I380" s="2">
        <v>92.98</v>
      </c>
      <c r="J380" s="2">
        <v>3.39</v>
      </c>
      <c r="K380" s="2">
        <v>64.87</v>
      </c>
      <c r="L380" s="2">
        <v>3769488</v>
      </c>
      <c r="M380" s="2">
        <v>0</v>
      </c>
      <c r="O380" s="6">
        <f t="shared" si="53"/>
        <v>2.6417463382054338E-2</v>
      </c>
      <c r="P380" s="6">
        <f t="shared" si="53"/>
        <v>0.41330876255214699</v>
      </c>
      <c r="Q380" s="6">
        <f t="shared" si="54"/>
        <v>5.6810490236377451E-2</v>
      </c>
      <c r="R380" s="6">
        <f t="shared" si="55"/>
        <v>0.17459254468067273</v>
      </c>
      <c r="S380" s="6">
        <f t="shared" si="56"/>
        <v>0.16061938861044522</v>
      </c>
      <c r="T380" s="6">
        <f t="shared" si="57"/>
        <v>0.57675693302999698</v>
      </c>
      <c r="U380" s="6">
        <f t="shared" si="58"/>
        <v>0.50001254618974711</v>
      </c>
      <c r="V380" s="6">
        <f t="shared" si="59"/>
        <v>-0.63372759900857956</v>
      </c>
      <c r="W380" s="6">
        <f t="shared" si="60"/>
        <v>-0.71898683424656706</v>
      </c>
      <c r="X380" s="6">
        <f t="shared" si="61"/>
        <v>-0.38017627830549217</v>
      </c>
    </row>
    <row r="381" spans="1:24" x14ac:dyDescent="0.35">
      <c r="A381" s="2" t="s">
        <v>406</v>
      </c>
      <c r="B381" s="2" t="s">
        <v>416</v>
      </c>
      <c r="C381" s="2">
        <v>12.85</v>
      </c>
      <c r="D381" s="2">
        <v>8.15</v>
      </c>
      <c r="E381" s="2">
        <v>8939</v>
      </c>
      <c r="F381" s="2">
        <v>65.42</v>
      </c>
      <c r="G381" s="2">
        <v>64.489999999999995</v>
      </c>
      <c r="H381" s="2">
        <v>70.180000000000007</v>
      </c>
      <c r="I381" s="2">
        <v>86.1</v>
      </c>
      <c r="J381" s="2">
        <v>4.5999999999999996</v>
      </c>
      <c r="K381" s="2">
        <v>59.05</v>
      </c>
      <c r="L381" s="2">
        <v>1386962</v>
      </c>
      <c r="M381" s="2">
        <v>0</v>
      </c>
      <c r="O381" s="6">
        <f t="shared" si="53"/>
        <v>7.7414290302225228E-2</v>
      </c>
      <c r="P381" s="6">
        <f t="shared" si="53"/>
        <v>-0.17591773633185653</v>
      </c>
      <c r="Q381" s="6">
        <f t="shared" si="54"/>
        <v>-0.51051319173557752</v>
      </c>
      <c r="R381" s="6">
        <f t="shared" si="55"/>
        <v>-0.69434167336538344</v>
      </c>
      <c r="S381" s="6">
        <f t="shared" si="56"/>
        <v>-1.5001875751153368</v>
      </c>
      <c r="T381" s="6">
        <f t="shared" si="57"/>
        <v>-0.37824186184183217</v>
      </c>
      <c r="U381" s="6">
        <f t="shared" si="58"/>
        <v>6.1415406826799662E-2</v>
      </c>
      <c r="V381" s="6">
        <f t="shared" si="59"/>
        <v>-0.17442057559997007</v>
      </c>
      <c r="W381" s="6">
        <f t="shared" si="60"/>
        <v>-1.6297593077965238</v>
      </c>
      <c r="X381" s="6">
        <f t="shared" si="61"/>
        <v>-0.42995920242794938</v>
      </c>
    </row>
    <row r="382" spans="1:24" x14ac:dyDescent="0.35">
      <c r="A382" s="2" t="s">
        <v>406</v>
      </c>
      <c r="B382" s="2" t="s">
        <v>417</v>
      </c>
      <c r="C382" s="2">
        <v>6.1</v>
      </c>
      <c r="D382" s="2">
        <v>7.93</v>
      </c>
      <c r="E382" s="2">
        <v>9115</v>
      </c>
      <c r="F382" s="2">
        <v>66.55</v>
      </c>
      <c r="G382" s="2">
        <v>67.94</v>
      </c>
      <c r="H382" s="2">
        <v>62.93</v>
      </c>
      <c r="I382" s="2">
        <v>91.61</v>
      </c>
      <c r="J382" s="2">
        <v>5.99</v>
      </c>
      <c r="K382" s="2">
        <v>65.069999999999993</v>
      </c>
      <c r="L382" s="2">
        <v>1938799</v>
      </c>
      <c r="M382" s="2">
        <v>0</v>
      </c>
      <c r="O382" s="6">
        <f t="shared" si="53"/>
        <v>-0.82845039841133905</v>
      </c>
      <c r="P382" s="6">
        <f t="shared" si="53"/>
        <v>-0.31094880899277449</v>
      </c>
      <c r="Q382" s="6">
        <f t="shared" si="54"/>
        <v>-0.4456761995102112</v>
      </c>
      <c r="R382" s="6">
        <f t="shared" si="55"/>
        <v>-0.52024669705473814</v>
      </c>
      <c r="S382" s="6">
        <f t="shared" si="56"/>
        <v>-0.49847708125975049</v>
      </c>
      <c r="T382" s="6">
        <f t="shared" si="57"/>
        <v>-0.76875180334328574</v>
      </c>
      <c r="U382" s="6">
        <f t="shared" si="58"/>
        <v>0.41267561582241585</v>
      </c>
      <c r="V382" s="6">
        <f t="shared" si="59"/>
        <v>0.35321311244793713</v>
      </c>
      <c r="W382" s="6">
        <f t="shared" si="60"/>
        <v>-0.68768881110052227</v>
      </c>
      <c r="X382" s="6">
        <f t="shared" si="61"/>
        <v>-0.41842855827172004</v>
      </c>
    </row>
    <row r="383" spans="1:24" x14ac:dyDescent="0.35">
      <c r="A383" s="2" t="s">
        <v>406</v>
      </c>
      <c r="B383" s="2" t="s">
        <v>418</v>
      </c>
      <c r="C383" s="2">
        <v>6.19</v>
      </c>
      <c r="D383" s="2">
        <v>11.42</v>
      </c>
      <c r="E383" s="2">
        <v>13991</v>
      </c>
      <c r="F383" s="2">
        <v>79.2</v>
      </c>
      <c r="G383" s="2">
        <v>71.900000000000006</v>
      </c>
      <c r="H383" s="2">
        <v>87.76</v>
      </c>
      <c r="I383" s="2">
        <v>95.89</v>
      </c>
      <c r="J383" s="2">
        <v>12.17</v>
      </c>
      <c r="K383" s="2">
        <v>59.08</v>
      </c>
      <c r="L383" s="2">
        <v>26056517</v>
      </c>
      <c r="M383" s="2">
        <v>0</v>
      </c>
      <c r="O383" s="6">
        <f t="shared" si="53"/>
        <v>-0.81637220256182474</v>
      </c>
      <c r="P383" s="6">
        <f t="shared" si="53"/>
        <v>1.8311350254917822</v>
      </c>
      <c r="Q383" s="6">
        <f t="shared" si="54"/>
        <v>1.3506031987334592</v>
      </c>
      <c r="R383" s="6">
        <f t="shared" si="55"/>
        <v>1.4286926395201933</v>
      </c>
      <c r="S383" s="6">
        <f t="shared" si="56"/>
        <v>0.65131235516579344</v>
      </c>
      <c r="T383" s="6">
        <f t="shared" si="57"/>
        <v>0.56867741699893293</v>
      </c>
      <c r="U383" s="6">
        <f t="shared" si="58"/>
        <v>0.68552383624006319</v>
      </c>
      <c r="V383" s="6">
        <f t="shared" si="59"/>
        <v>2.6990952650638111</v>
      </c>
      <c r="W383" s="6">
        <f t="shared" si="60"/>
        <v>-1.6250646043246166</v>
      </c>
      <c r="X383" s="6">
        <f t="shared" si="61"/>
        <v>8.5511598184419474E-2</v>
      </c>
    </row>
    <row r="384" spans="1:24" x14ac:dyDescent="0.35">
      <c r="A384" s="2" t="s">
        <v>406</v>
      </c>
      <c r="B384" s="2" t="s">
        <v>419</v>
      </c>
      <c r="C384" s="2">
        <v>6.43</v>
      </c>
      <c r="D384" s="2">
        <v>9.89</v>
      </c>
      <c r="E384" s="2">
        <v>12271</v>
      </c>
      <c r="F384" s="2">
        <v>74.2</v>
      </c>
      <c r="G384" s="2">
        <v>71.099999999999994</v>
      </c>
      <c r="H384" s="2">
        <v>89.35</v>
      </c>
      <c r="I384" s="2">
        <v>96.68</v>
      </c>
      <c r="J384" s="2">
        <v>9.9600000000000009</v>
      </c>
      <c r="K384" s="2">
        <v>62.22</v>
      </c>
      <c r="L384" s="2">
        <v>11846006</v>
      </c>
      <c r="M384" s="2">
        <v>0</v>
      </c>
      <c r="O384" s="6">
        <f t="shared" si="53"/>
        <v>-0.78416368029645367</v>
      </c>
      <c r="P384" s="6">
        <f t="shared" si="53"/>
        <v>0.89205529289540098</v>
      </c>
      <c r="Q384" s="6">
        <f t="shared" si="54"/>
        <v>0.71696895653101589</v>
      </c>
      <c r="R384" s="6">
        <f t="shared" si="55"/>
        <v>0.65836088593326425</v>
      </c>
      <c r="S384" s="6">
        <f t="shared" si="56"/>
        <v>0.41903166093840805</v>
      </c>
      <c r="T384" s="6">
        <f t="shared" si="57"/>
        <v>0.65432028692821653</v>
      </c>
      <c r="U384" s="6">
        <f t="shared" si="58"/>
        <v>0.73588600776575075</v>
      </c>
      <c r="V384" s="6">
        <f t="shared" si="59"/>
        <v>1.8601956603257723</v>
      </c>
      <c r="W384" s="6">
        <f t="shared" si="60"/>
        <v>-1.1336856409316851</v>
      </c>
      <c r="X384" s="6">
        <f t="shared" si="61"/>
        <v>-0.21141728773512281</v>
      </c>
    </row>
    <row r="385" spans="1:24" x14ac:dyDescent="0.35">
      <c r="A385" s="2" t="s">
        <v>406</v>
      </c>
      <c r="B385" s="2" t="s">
        <v>420</v>
      </c>
      <c r="C385" s="2">
        <v>5.69</v>
      </c>
      <c r="D385" s="2">
        <v>10.74</v>
      </c>
      <c r="E385" s="2">
        <v>11851</v>
      </c>
      <c r="F385" s="2">
        <v>76.86</v>
      </c>
      <c r="G385" s="2">
        <v>72.06</v>
      </c>
      <c r="H385" s="2">
        <v>96.42</v>
      </c>
      <c r="I385" s="2">
        <v>96.34</v>
      </c>
      <c r="J385" s="2">
        <v>8.84</v>
      </c>
      <c r="K385" s="2">
        <v>57.9</v>
      </c>
      <c r="L385" s="2">
        <v>3215178</v>
      </c>
      <c r="M385" s="2">
        <v>0</v>
      </c>
      <c r="O385" s="6">
        <f t="shared" si="53"/>
        <v>-0.88347329061468138</v>
      </c>
      <c r="P385" s="6">
        <f t="shared" si="53"/>
        <v>1.4137662554489461</v>
      </c>
      <c r="Q385" s="6">
        <f t="shared" si="54"/>
        <v>0.56224431599321001</v>
      </c>
      <c r="R385" s="6">
        <f t="shared" si="55"/>
        <v>1.0681773788415101</v>
      </c>
      <c r="S385" s="6">
        <f t="shared" si="56"/>
        <v>0.69776849401126895</v>
      </c>
      <c r="T385" s="6">
        <f t="shared" si="57"/>
        <v>1.0351348091923926</v>
      </c>
      <c r="U385" s="6">
        <f t="shared" si="58"/>
        <v>0.71421114913444217</v>
      </c>
      <c r="V385" s="6">
        <f t="shared" si="59"/>
        <v>1.4350519692368111</v>
      </c>
      <c r="W385" s="6">
        <f t="shared" si="60"/>
        <v>-1.8097229408862914</v>
      </c>
      <c r="X385" s="6">
        <f t="shared" si="61"/>
        <v>-0.39175859584172018</v>
      </c>
    </row>
    <row r="386" spans="1:24" x14ac:dyDescent="0.35">
      <c r="A386" s="2" t="s">
        <v>406</v>
      </c>
      <c r="B386" s="2" t="s">
        <v>421</v>
      </c>
      <c r="C386" s="2">
        <v>5.74</v>
      </c>
      <c r="D386" s="2">
        <v>10.31</v>
      </c>
      <c r="E386" s="2">
        <v>10848</v>
      </c>
      <c r="F386" s="2">
        <v>73.47</v>
      </c>
      <c r="G386" s="2">
        <v>70.599999999999994</v>
      </c>
      <c r="H386" s="2">
        <v>71.569999999999993</v>
      </c>
      <c r="I386" s="2">
        <v>98.06</v>
      </c>
      <c r="J386" s="2">
        <v>7.32</v>
      </c>
      <c r="K386" s="2">
        <v>64.77</v>
      </c>
      <c r="L386" s="2">
        <v>2497919</v>
      </c>
      <c r="M386" s="2">
        <v>0</v>
      </c>
      <c r="O386" s="6">
        <f t="shared" si="53"/>
        <v>-0.87676318180939572</v>
      </c>
      <c r="P386" s="6">
        <f t="shared" si="53"/>
        <v>1.1498418861571527</v>
      </c>
      <c r="Q386" s="6">
        <f t="shared" si="54"/>
        <v>0.19274713870887836</v>
      </c>
      <c r="R386" s="6">
        <f t="shared" si="55"/>
        <v>0.54589244990957198</v>
      </c>
      <c r="S386" s="6">
        <f t="shared" si="56"/>
        <v>0.2738562270462942</v>
      </c>
      <c r="T386" s="6">
        <f t="shared" si="57"/>
        <v>-0.30337167995396808</v>
      </c>
      <c r="U386" s="6">
        <f t="shared" si="58"/>
        <v>0.82386043397517872</v>
      </c>
      <c r="V386" s="6">
        <f t="shared" si="59"/>
        <v>0.85807124561607839</v>
      </c>
      <c r="W386" s="6">
        <f t="shared" si="60"/>
        <v>-0.73463584581959163</v>
      </c>
      <c r="X386" s="6">
        <f t="shared" si="61"/>
        <v>-0.40674573569796918</v>
      </c>
    </row>
    <row r="387" spans="1:24" x14ac:dyDescent="0.35">
      <c r="A387" s="2" t="s">
        <v>422</v>
      </c>
      <c r="B387" s="2" t="s">
        <v>423</v>
      </c>
      <c r="C387" s="2">
        <v>13.72</v>
      </c>
      <c r="D387" s="2">
        <v>8.44</v>
      </c>
      <c r="E387" s="2">
        <v>7453</v>
      </c>
      <c r="F387" s="2">
        <v>65.61</v>
      </c>
      <c r="G387" s="2">
        <v>66.59</v>
      </c>
      <c r="H387" s="2">
        <v>75.349999999999994</v>
      </c>
      <c r="I387" s="2">
        <v>96.89</v>
      </c>
      <c r="J387" s="2">
        <v>2.95</v>
      </c>
      <c r="K387" s="2">
        <v>71.98</v>
      </c>
      <c r="L387" s="2">
        <v>2735237</v>
      </c>
      <c r="M387" s="2">
        <v>0</v>
      </c>
      <c r="O387" s="6">
        <f t="shared" ref="O387:P450" si="62">(C387 - C$516) / C$517</f>
        <v>0.19417018351419588</v>
      </c>
      <c r="P387" s="6">
        <f t="shared" si="62"/>
        <v>2.0777685393525243E-3</v>
      </c>
      <c r="Q387" s="6">
        <f t="shared" ref="Q387:Q450" si="63">(E387 - E$516) / E$517</f>
        <v>-1.057943705638386</v>
      </c>
      <c r="R387" s="6">
        <f t="shared" ref="R387:R450" si="64">(F387 - F$516) / F$517</f>
        <v>-0.66506906672908039</v>
      </c>
      <c r="S387" s="6">
        <f t="shared" ref="S387:S450" si="65">(G387 - G$516) / G$517</f>
        <v>-0.8904507527684562</v>
      </c>
      <c r="T387" s="6">
        <f t="shared" ref="T387:T450" si="66">(H387 - H$516) / H$517</f>
        <v>-9.9767875971141382E-2</v>
      </c>
      <c r="U387" s="6">
        <f t="shared" ref="U387:U450" si="67">(I387 - I$516) / I$517</f>
        <v>0.74927342044979384</v>
      </c>
      <c r="V387" s="6">
        <f t="shared" ref="V387:V450" si="68">(J387 - J$516) / J$517</f>
        <v>-0.80074833479352847</v>
      </c>
      <c r="W387" s="6">
        <f t="shared" ref="W387:W450" si="69">(K387 - K$516) / K$517</f>
        <v>0.39365788859538886</v>
      </c>
      <c r="X387" s="6">
        <f t="shared" ref="X387:X450" si="70">(L387 - L$516) / L$517</f>
        <v>-0.4017869717697295</v>
      </c>
    </row>
    <row r="388" spans="1:24" x14ac:dyDescent="0.35">
      <c r="A388" s="2" t="s">
        <v>422</v>
      </c>
      <c r="B388" s="2" t="s">
        <v>424</v>
      </c>
      <c r="C388" s="2">
        <v>7.83</v>
      </c>
      <c r="D388" s="2">
        <v>8.5299999999999994</v>
      </c>
      <c r="E388" s="2">
        <v>9603</v>
      </c>
      <c r="F388" s="2">
        <v>70.599999999999994</v>
      </c>
      <c r="G388" s="2">
        <v>70.88</v>
      </c>
      <c r="H388" s="2">
        <v>82.46</v>
      </c>
      <c r="I388" s="2">
        <v>95.18</v>
      </c>
      <c r="J388" s="2">
        <v>3.57</v>
      </c>
      <c r="K388" s="2">
        <v>71.8</v>
      </c>
      <c r="L388" s="2">
        <v>18864238</v>
      </c>
      <c r="M388" s="2">
        <v>0</v>
      </c>
      <c r="O388" s="6">
        <f t="shared" si="62"/>
        <v>-0.59628063374845508</v>
      </c>
      <c r="P388" s="6">
        <f t="shared" si="62"/>
        <v>5.7317752809727819E-2</v>
      </c>
      <c r="Q388" s="6">
        <f t="shared" si="63"/>
        <v>-0.26590090288533197</v>
      </c>
      <c r="R388" s="6">
        <f t="shared" si="64"/>
        <v>0.10372202335067403</v>
      </c>
      <c r="S388" s="6">
        <f t="shared" si="65"/>
        <v>0.35515447002587824</v>
      </c>
      <c r="T388" s="6">
        <f t="shared" si="66"/>
        <v>0.28320118390131821</v>
      </c>
      <c r="U388" s="6">
        <f t="shared" si="67"/>
        <v>0.64026163145115478</v>
      </c>
      <c r="V388" s="6">
        <f t="shared" si="68"/>
        <v>-0.5654009343692824</v>
      </c>
      <c r="W388" s="6">
        <f t="shared" si="69"/>
        <v>0.36548966776394587</v>
      </c>
      <c r="X388" s="6">
        <f t="shared" si="70"/>
        <v>-6.47712023913318E-2</v>
      </c>
    </row>
    <row r="389" spans="1:24" x14ac:dyDescent="0.35">
      <c r="A389" s="2" t="s">
        <v>422</v>
      </c>
      <c r="B389" s="2" t="s">
        <v>425</v>
      </c>
      <c r="C389" s="2">
        <v>13.75</v>
      </c>
      <c r="D389" s="2">
        <v>9.34</v>
      </c>
      <c r="E389" s="2">
        <v>11028</v>
      </c>
      <c r="F389" s="2">
        <v>72.290000000000006</v>
      </c>
      <c r="G389" s="2">
        <v>69.23</v>
      </c>
      <c r="H389" s="2">
        <v>78.34</v>
      </c>
      <c r="I389" s="2">
        <v>93.17</v>
      </c>
      <c r="J389" s="2">
        <v>5.08</v>
      </c>
      <c r="K389" s="2">
        <v>63.75</v>
      </c>
      <c r="L389" s="2">
        <v>54916245</v>
      </c>
      <c r="M389" s="2">
        <v>0</v>
      </c>
      <c r="O389" s="6">
        <f t="shared" si="62"/>
        <v>0.19819624879736719</v>
      </c>
      <c r="P389" s="6">
        <f t="shared" si="62"/>
        <v>0.55447761124310657</v>
      </c>
      <c r="Q389" s="6">
        <f t="shared" si="63"/>
        <v>0.25905769893936659</v>
      </c>
      <c r="R389" s="6">
        <f t="shared" si="64"/>
        <v>0.36409415606305789</v>
      </c>
      <c r="S389" s="6">
        <f t="shared" si="65"/>
        <v>-0.12392446181809495</v>
      </c>
      <c r="T389" s="6">
        <f t="shared" si="66"/>
        <v>6.1283810248079121E-2</v>
      </c>
      <c r="U389" s="6">
        <f t="shared" si="67"/>
        <v>0.51212496718959588</v>
      </c>
      <c r="V389" s="6">
        <f t="shared" si="68"/>
        <v>7.7838634381562476E-3</v>
      </c>
      <c r="W389" s="6">
        <f t="shared" si="69"/>
        <v>-0.89425576386442862</v>
      </c>
      <c r="X389" s="6">
        <f t="shared" si="70"/>
        <v>0.68853613987620099</v>
      </c>
    </row>
    <row r="390" spans="1:24" x14ac:dyDescent="0.35">
      <c r="A390" s="2" t="s">
        <v>422</v>
      </c>
      <c r="B390" s="2" t="s">
        <v>426</v>
      </c>
      <c r="C390" s="2">
        <v>15.92</v>
      </c>
      <c r="D390" s="2">
        <v>9.5</v>
      </c>
      <c r="E390" s="2">
        <v>8850</v>
      </c>
      <c r="F390" s="2">
        <v>71.45</v>
      </c>
      <c r="G390" s="2">
        <v>71.19</v>
      </c>
      <c r="H390" s="2">
        <v>88.09</v>
      </c>
      <c r="I390" s="2">
        <v>89.77</v>
      </c>
      <c r="J390" s="2">
        <v>2.4700000000000002</v>
      </c>
      <c r="K390" s="2">
        <v>73.540000000000006</v>
      </c>
      <c r="L390" s="2">
        <v>6523785</v>
      </c>
      <c r="M390" s="2">
        <v>0</v>
      </c>
      <c r="O390" s="6">
        <f t="shared" si="62"/>
        <v>0.48941497094676489</v>
      </c>
      <c r="P390" s="6">
        <f t="shared" si="62"/>
        <v>0.65268202772377404</v>
      </c>
      <c r="Q390" s="6">
        <f t="shared" si="63"/>
        <v>-0.5433000798495411</v>
      </c>
      <c r="R390" s="6">
        <f t="shared" si="64"/>
        <v>0.23467842146045328</v>
      </c>
      <c r="S390" s="6">
        <f t="shared" si="65"/>
        <v>0.44516323903898952</v>
      </c>
      <c r="T390" s="6">
        <f t="shared" si="66"/>
        <v>0.58645235226727477</v>
      </c>
      <c r="U390" s="6">
        <f t="shared" si="67"/>
        <v>0.29537638087651125</v>
      </c>
      <c r="V390" s="6">
        <f t="shared" si="68"/>
        <v>-0.98295277383165469</v>
      </c>
      <c r="W390" s="6">
        <f t="shared" si="69"/>
        <v>0.6377824691345525</v>
      </c>
      <c r="X390" s="6">
        <f t="shared" si="70"/>
        <v>-0.32262519237328763</v>
      </c>
    </row>
    <row r="391" spans="1:24" x14ac:dyDescent="0.35">
      <c r="A391" s="2" t="s">
        <v>422</v>
      </c>
      <c r="B391" s="2" t="s">
        <v>427</v>
      </c>
      <c r="C391" s="2">
        <v>16.73</v>
      </c>
      <c r="D391" s="2">
        <v>7.98</v>
      </c>
      <c r="E391" s="2">
        <v>8002</v>
      </c>
      <c r="F391" s="2">
        <v>65.72</v>
      </c>
      <c r="G391" s="2">
        <v>67.5</v>
      </c>
      <c r="H391" s="2">
        <v>64.900000000000006</v>
      </c>
      <c r="I391" s="2">
        <v>89.42</v>
      </c>
      <c r="J391" s="2">
        <v>3.5</v>
      </c>
      <c r="K391" s="2">
        <v>67.47</v>
      </c>
      <c r="L391" s="2">
        <v>8544440</v>
      </c>
      <c r="M391" s="2">
        <v>0</v>
      </c>
      <c r="O391" s="6">
        <f t="shared" si="62"/>
        <v>0.59811873359239265</v>
      </c>
      <c r="P391" s="6">
        <f t="shared" si="62"/>
        <v>-0.28025992884256551</v>
      </c>
      <c r="Q391" s="6">
        <f t="shared" si="63"/>
        <v>-0.85569649693539684</v>
      </c>
      <c r="R391" s="6">
        <f t="shared" si="64"/>
        <v>-0.64812176815016809</v>
      </c>
      <c r="S391" s="6">
        <f t="shared" si="65"/>
        <v>-0.62623146308481004</v>
      </c>
      <c r="T391" s="6">
        <f t="shared" si="66"/>
        <v>-0.66264082613530439</v>
      </c>
      <c r="U391" s="6">
        <f t="shared" si="67"/>
        <v>0.2730640264031059</v>
      </c>
      <c r="V391" s="6">
        <f t="shared" si="68"/>
        <v>-0.59197241506234233</v>
      </c>
      <c r="W391" s="6">
        <f t="shared" si="69"/>
        <v>-0.31211253334796235</v>
      </c>
      <c r="X391" s="6">
        <f t="shared" si="70"/>
        <v>-0.28040356938043731</v>
      </c>
    </row>
    <row r="392" spans="1:24" x14ac:dyDescent="0.35">
      <c r="A392" s="2" t="s">
        <v>422</v>
      </c>
      <c r="B392" s="2" t="s">
        <v>428</v>
      </c>
      <c r="C392" s="2">
        <v>13.51</v>
      </c>
      <c r="D392" s="2">
        <v>8.76</v>
      </c>
      <c r="E392" s="2">
        <v>7947</v>
      </c>
      <c r="F392" s="2">
        <v>66.3</v>
      </c>
      <c r="G392" s="2">
        <v>66.180000000000007</v>
      </c>
      <c r="H392" s="2">
        <v>68.09</v>
      </c>
      <c r="I392" s="2">
        <v>85.92</v>
      </c>
      <c r="J392" s="2">
        <v>3.13</v>
      </c>
      <c r="K392" s="2">
        <v>64.040000000000006</v>
      </c>
      <c r="L392" s="2">
        <v>5776241</v>
      </c>
      <c r="M392" s="2">
        <v>0</v>
      </c>
      <c r="O392" s="6">
        <f t="shared" si="62"/>
        <v>0.16598772653199598</v>
      </c>
      <c r="P392" s="6">
        <f t="shared" si="62"/>
        <v>0.19848660150068739</v>
      </c>
      <c r="Q392" s="6">
        <f t="shared" si="63"/>
        <v>-0.87595805700582385</v>
      </c>
      <c r="R392" s="6">
        <f t="shared" si="64"/>
        <v>-0.55876328473408454</v>
      </c>
      <c r="S392" s="6">
        <f t="shared" si="65"/>
        <v>-1.0094946085599885</v>
      </c>
      <c r="T392" s="6">
        <f t="shared" si="66"/>
        <v>-0.49081645187466505</v>
      </c>
      <c r="U392" s="6">
        <f t="shared" si="67"/>
        <v>4.9940481669048617E-2</v>
      </c>
      <c r="V392" s="6">
        <f t="shared" si="68"/>
        <v>-0.73242167015423132</v>
      </c>
      <c r="W392" s="6">
        <f t="shared" si="69"/>
        <v>-0.84887363030266005</v>
      </c>
      <c r="X392" s="6">
        <f t="shared" si="70"/>
        <v>-0.33824513785560267</v>
      </c>
    </row>
    <row r="393" spans="1:24" x14ac:dyDescent="0.35">
      <c r="A393" s="2" t="s">
        <v>422</v>
      </c>
      <c r="B393" s="2" t="s">
        <v>429</v>
      </c>
      <c r="C393" s="2">
        <v>14.06</v>
      </c>
      <c r="D393" s="2">
        <v>9.08</v>
      </c>
      <c r="E393" s="2">
        <v>7974</v>
      </c>
      <c r="F393" s="2">
        <v>68.25</v>
      </c>
      <c r="G393" s="2">
        <v>69.05</v>
      </c>
      <c r="H393" s="2">
        <v>70.2</v>
      </c>
      <c r="I393" s="2">
        <v>86.25</v>
      </c>
      <c r="J393" s="2">
        <v>3.64</v>
      </c>
      <c r="K393" s="2">
        <v>67.52</v>
      </c>
      <c r="L393" s="2">
        <v>4029741</v>
      </c>
      <c r="M393" s="2">
        <v>0</v>
      </c>
      <c r="O393" s="6">
        <f t="shared" si="62"/>
        <v>0.23979892339013836</v>
      </c>
      <c r="P393" s="6">
        <f t="shared" si="62"/>
        <v>0.39489543446202224</v>
      </c>
      <c r="Q393" s="6">
        <f t="shared" si="63"/>
        <v>-0.86601147297125058</v>
      </c>
      <c r="R393" s="6">
        <f t="shared" si="64"/>
        <v>-0.25833390083518176</v>
      </c>
      <c r="S393" s="6">
        <f t="shared" si="65"/>
        <v>-0.17618761801925792</v>
      </c>
      <c r="T393" s="6">
        <f t="shared" si="66"/>
        <v>-0.37716459303769045</v>
      </c>
      <c r="U393" s="6">
        <f t="shared" si="67"/>
        <v>7.0977844458259623E-2</v>
      </c>
      <c r="V393" s="6">
        <f t="shared" si="68"/>
        <v>-0.53882945367622215</v>
      </c>
      <c r="W393" s="6">
        <f t="shared" si="69"/>
        <v>-0.30428802756145118</v>
      </c>
      <c r="X393" s="6">
        <f t="shared" si="70"/>
        <v>-0.37473828713492702</v>
      </c>
    </row>
    <row r="394" spans="1:24" x14ac:dyDescent="0.35">
      <c r="A394" s="2" t="s">
        <v>422</v>
      </c>
      <c r="B394" s="2" t="s">
        <v>430</v>
      </c>
      <c r="C394" s="2">
        <v>15.28</v>
      </c>
      <c r="D394" s="2">
        <v>7.74</v>
      </c>
      <c r="E394" s="2">
        <v>9675</v>
      </c>
      <c r="F394" s="2">
        <v>65.819999999999993</v>
      </c>
      <c r="G394" s="2">
        <v>64.349999999999994</v>
      </c>
      <c r="H394" s="2">
        <v>63.98</v>
      </c>
      <c r="I394" s="2">
        <v>76.150000000000006</v>
      </c>
      <c r="J394" s="2">
        <v>2.97</v>
      </c>
      <c r="K394" s="2">
        <v>68.819999999999993</v>
      </c>
      <c r="L394" s="2">
        <v>11621816</v>
      </c>
      <c r="M394" s="2">
        <v>0</v>
      </c>
      <c r="O394" s="6">
        <f t="shared" si="62"/>
        <v>0.40352557823910834</v>
      </c>
      <c r="P394" s="6">
        <f t="shared" si="62"/>
        <v>-0.42756655356356671</v>
      </c>
      <c r="Q394" s="6">
        <f t="shared" si="63"/>
        <v>-0.2393766787931367</v>
      </c>
      <c r="R394" s="6">
        <f t="shared" si="64"/>
        <v>-0.63271513307843041</v>
      </c>
      <c r="S394" s="6">
        <f t="shared" si="65"/>
        <v>-1.540836696605129</v>
      </c>
      <c r="T394" s="6">
        <f t="shared" si="66"/>
        <v>-0.71219519112583407</v>
      </c>
      <c r="U394" s="6">
        <f t="shared" si="67"/>
        <v>-0.57289295606001955</v>
      </c>
      <c r="V394" s="6">
        <f t="shared" si="68"/>
        <v>-0.79315648316693987</v>
      </c>
      <c r="W394" s="6">
        <f t="shared" si="69"/>
        <v>-0.10085087711214884</v>
      </c>
      <c r="X394" s="6">
        <f t="shared" si="70"/>
        <v>-0.21610174186448539</v>
      </c>
    </row>
    <row r="395" spans="1:24" x14ac:dyDescent="0.35">
      <c r="A395" s="2" t="s">
        <v>422</v>
      </c>
      <c r="B395" s="2" t="s">
        <v>431</v>
      </c>
      <c r="C395" s="2">
        <v>16.600000000000001</v>
      </c>
      <c r="D395" s="2">
        <v>8.4</v>
      </c>
      <c r="E395" s="2">
        <v>7621</v>
      </c>
      <c r="F395" s="2">
        <v>64.739999999999995</v>
      </c>
      <c r="G395" s="2">
        <v>65.900000000000006</v>
      </c>
      <c r="H395" s="2">
        <v>71.099999999999994</v>
      </c>
      <c r="I395" s="2">
        <v>94.28</v>
      </c>
      <c r="J395" s="2">
        <v>3.44</v>
      </c>
      <c r="K395" s="2">
        <v>74.86</v>
      </c>
      <c r="L395" s="2">
        <v>3878590</v>
      </c>
      <c r="M395" s="2">
        <v>0</v>
      </c>
      <c r="O395" s="6">
        <f t="shared" si="62"/>
        <v>0.58067245069865003</v>
      </c>
      <c r="P395" s="6">
        <f t="shared" si="62"/>
        <v>-2.247333558081379E-2</v>
      </c>
      <c r="Q395" s="6">
        <f t="shared" si="63"/>
        <v>-0.99605384942326358</v>
      </c>
      <c r="R395" s="6">
        <f t="shared" si="64"/>
        <v>-0.79910679185320677</v>
      </c>
      <c r="S395" s="6">
        <f t="shared" si="65"/>
        <v>-1.0907928515395726</v>
      </c>
      <c r="T395" s="6">
        <f t="shared" si="66"/>
        <v>-0.32868749685130361</v>
      </c>
      <c r="U395" s="6">
        <f t="shared" si="67"/>
        <v>0.58288700566239682</v>
      </c>
      <c r="V395" s="6">
        <f t="shared" si="68"/>
        <v>-0.61474796994210812</v>
      </c>
      <c r="W395" s="6">
        <f t="shared" si="69"/>
        <v>0.84434942189845885</v>
      </c>
      <c r="X395" s="6">
        <f t="shared" si="70"/>
        <v>-0.37789659003027154</v>
      </c>
    </row>
    <row r="396" spans="1:24" x14ac:dyDescent="0.35">
      <c r="A396" s="2" t="s">
        <v>422</v>
      </c>
      <c r="B396" s="2" t="s">
        <v>432</v>
      </c>
      <c r="C396" s="2">
        <v>13.05</v>
      </c>
      <c r="D396" s="2">
        <v>8.82</v>
      </c>
      <c r="E396" s="2">
        <v>8171</v>
      </c>
      <c r="F396" s="2">
        <v>68.489999999999995</v>
      </c>
      <c r="G396" s="2">
        <v>70.09</v>
      </c>
      <c r="H396" s="2">
        <v>78.31</v>
      </c>
      <c r="I396" s="2">
        <v>78.08</v>
      </c>
      <c r="J396" s="2">
        <v>2.38</v>
      </c>
      <c r="K396" s="2">
        <v>70.760000000000005</v>
      </c>
      <c r="L396" s="2">
        <v>6426753</v>
      </c>
      <c r="M396" s="2">
        <v>0</v>
      </c>
      <c r="O396" s="6">
        <f t="shared" si="62"/>
        <v>0.10425472552336802</v>
      </c>
      <c r="P396" s="6">
        <f t="shared" si="62"/>
        <v>0.23531325768093794</v>
      </c>
      <c r="Q396" s="6">
        <f t="shared" si="63"/>
        <v>-0.79343824871899404</v>
      </c>
      <c r="R396" s="6">
        <f t="shared" si="64"/>
        <v>-0.22135797666300996</v>
      </c>
      <c r="S396" s="6">
        <f t="shared" si="65"/>
        <v>0.12577728447634071</v>
      </c>
      <c r="T396" s="6">
        <f t="shared" si="66"/>
        <v>5.9667907041866149E-2</v>
      </c>
      <c r="U396" s="6">
        <f t="shared" si="67"/>
        <v>-0.44985625853523992</v>
      </c>
      <c r="V396" s="6">
        <f t="shared" si="68"/>
        <v>-1.0171161061513034</v>
      </c>
      <c r="W396" s="6">
        <f t="shared" si="69"/>
        <v>0.20273994740450488</v>
      </c>
      <c r="X396" s="6">
        <f t="shared" si="70"/>
        <v>-0.32465267777888246</v>
      </c>
    </row>
    <row r="397" spans="1:24" x14ac:dyDescent="0.35">
      <c r="A397" s="2" t="s">
        <v>422</v>
      </c>
      <c r="B397" s="2" t="s">
        <v>433</v>
      </c>
      <c r="C397" s="2">
        <v>14.17</v>
      </c>
      <c r="D397" s="2">
        <v>8.6300000000000008</v>
      </c>
      <c r="E397" s="2">
        <v>7707</v>
      </c>
      <c r="F397" s="2">
        <v>65.650000000000006</v>
      </c>
      <c r="G397" s="2">
        <v>65.67</v>
      </c>
      <c r="H397" s="2">
        <v>61.77</v>
      </c>
      <c r="I397" s="2">
        <v>92.44</v>
      </c>
      <c r="J397" s="2">
        <v>3.35</v>
      </c>
      <c r="K397" s="2">
        <v>61.42</v>
      </c>
      <c r="L397" s="2">
        <v>1678039</v>
      </c>
      <c r="M397" s="2">
        <v>0</v>
      </c>
      <c r="O397" s="6">
        <f t="shared" si="62"/>
        <v>0.25456116276176671</v>
      </c>
      <c r="P397" s="6">
        <f t="shared" si="62"/>
        <v>0.11869551311014578</v>
      </c>
      <c r="Q397" s="6">
        <f t="shared" si="63"/>
        <v>-0.96437213731314142</v>
      </c>
      <c r="R397" s="6">
        <f t="shared" si="64"/>
        <v>-0.65890641270038408</v>
      </c>
      <c r="S397" s="6">
        <f t="shared" si="65"/>
        <v>-1.1575735511299463</v>
      </c>
      <c r="T397" s="6">
        <f t="shared" si="66"/>
        <v>-0.83123339398351814</v>
      </c>
      <c r="U397" s="6">
        <f t="shared" si="67"/>
        <v>0.46558777071649221</v>
      </c>
      <c r="V397" s="6">
        <f t="shared" si="68"/>
        <v>-0.64891130226175675</v>
      </c>
      <c r="W397" s="6">
        <f t="shared" si="69"/>
        <v>-1.258877733515871</v>
      </c>
      <c r="X397" s="6">
        <f t="shared" si="70"/>
        <v>-0.42387714321651054</v>
      </c>
    </row>
    <row r="398" spans="1:24" x14ac:dyDescent="0.35">
      <c r="A398" s="2" t="s">
        <v>422</v>
      </c>
      <c r="B398" s="2" t="s">
        <v>434</v>
      </c>
      <c r="C398" s="2">
        <v>13.9</v>
      </c>
      <c r="D398" s="2">
        <v>8.7200000000000006</v>
      </c>
      <c r="E398" s="2">
        <v>8890</v>
      </c>
      <c r="F398" s="2">
        <v>68.48</v>
      </c>
      <c r="G398" s="2">
        <v>69.709999999999994</v>
      </c>
      <c r="H398" s="2">
        <v>79.88</v>
      </c>
      <c r="I398" s="2">
        <v>83</v>
      </c>
      <c r="J398" s="2">
        <v>2.98</v>
      </c>
      <c r="K398" s="2">
        <v>68.47</v>
      </c>
      <c r="L398" s="2">
        <v>8916699</v>
      </c>
      <c r="M398" s="2">
        <v>0</v>
      </c>
      <c r="O398" s="6">
        <f t="shared" si="62"/>
        <v>0.21832657521322421</v>
      </c>
      <c r="P398" s="6">
        <f t="shared" si="62"/>
        <v>0.17393549738052108</v>
      </c>
      <c r="Q398" s="6">
        <f t="shared" si="63"/>
        <v>-0.52856439979832148</v>
      </c>
      <c r="R398" s="6">
        <f t="shared" si="64"/>
        <v>-0.22289864017018243</v>
      </c>
      <c r="S398" s="6">
        <f t="shared" si="65"/>
        <v>1.5443954718331364E-2</v>
      </c>
      <c r="T398" s="6">
        <f t="shared" si="66"/>
        <v>0.14423350816700806</v>
      </c>
      <c r="U398" s="6">
        <f t="shared" si="67"/>
        <v>-0.136208304223365</v>
      </c>
      <c r="V398" s="6">
        <f t="shared" si="68"/>
        <v>-0.78936055735364574</v>
      </c>
      <c r="W398" s="6">
        <f t="shared" si="69"/>
        <v>-0.15562241761772946</v>
      </c>
      <c r="X398" s="6">
        <f t="shared" si="70"/>
        <v>-0.27262521080181035</v>
      </c>
    </row>
    <row r="399" spans="1:24" x14ac:dyDescent="0.35">
      <c r="A399" s="2" t="s">
        <v>422</v>
      </c>
      <c r="B399" s="2" t="s">
        <v>435</v>
      </c>
      <c r="C399" s="2">
        <v>7.17</v>
      </c>
      <c r="D399" s="2">
        <v>11.72</v>
      </c>
      <c r="E399" s="2">
        <v>14894</v>
      </c>
      <c r="F399" s="2">
        <v>81.7</v>
      </c>
      <c r="G399" s="2">
        <v>71.09</v>
      </c>
      <c r="H399" s="2">
        <v>91.74</v>
      </c>
      <c r="I399" s="2">
        <v>98.23</v>
      </c>
      <c r="J399" s="2">
        <v>7.61</v>
      </c>
      <c r="K399" s="2">
        <v>65.069999999999993</v>
      </c>
      <c r="L399" s="2">
        <v>16385580</v>
      </c>
      <c r="M399" s="2">
        <v>0</v>
      </c>
      <c r="O399" s="6">
        <f t="shared" si="62"/>
        <v>-0.68485406997822584</v>
      </c>
      <c r="P399" s="6">
        <f t="shared" si="62"/>
        <v>2.0152683063930339</v>
      </c>
      <c r="Q399" s="6">
        <f t="shared" si="63"/>
        <v>1.6832611758897418</v>
      </c>
      <c r="R399" s="6">
        <f t="shared" si="64"/>
        <v>1.813858516313658</v>
      </c>
      <c r="S399" s="6">
        <f t="shared" si="65"/>
        <v>0.41612815226056837</v>
      </c>
      <c r="T399" s="6">
        <f t="shared" si="66"/>
        <v>0.7830539090231784</v>
      </c>
      <c r="U399" s="6">
        <f t="shared" si="67"/>
        <v>0.83469786329083306</v>
      </c>
      <c r="V399" s="6">
        <f t="shared" si="68"/>
        <v>0.96815309420161288</v>
      </c>
      <c r="W399" s="6">
        <f t="shared" si="69"/>
        <v>-0.68768881110052227</v>
      </c>
      <c r="X399" s="6">
        <f t="shared" si="70"/>
        <v>-0.11656280640300744</v>
      </c>
    </row>
    <row r="400" spans="1:24" x14ac:dyDescent="0.35">
      <c r="A400" s="2" t="s">
        <v>436</v>
      </c>
      <c r="B400" s="2" t="s">
        <v>437</v>
      </c>
      <c r="C400" s="2">
        <v>12.45</v>
      </c>
      <c r="D400" s="2">
        <v>8.08</v>
      </c>
      <c r="E400" s="2">
        <v>9060</v>
      </c>
      <c r="F400" s="2">
        <v>67.760000000000005</v>
      </c>
      <c r="G400" s="2">
        <v>68.52</v>
      </c>
      <c r="H400" s="2">
        <v>75.569999999999993</v>
      </c>
      <c r="I400" s="2">
        <v>89.51</v>
      </c>
      <c r="J400" s="2">
        <v>2.81</v>
      </c>
      <c r="K400" s="2">
        <v>69.069999999999993</v>
      </c>
      <c r="L400" s="2">
        <v>3765558</v>
      </c>
      <c r="M400" s="2">
        <v>0</v>
      </c>
      <c r="O400" s="6">
        <f t="shared" si="62"/>
        <v>2.3733419859939892E-2</v>
      </c>
      <c r="P400" s="6">
        <f t="shared" si="62"/>
        <v>-0.21888216854214865</v>
      </c>
      <c r="Q400" s="6">
        <f t="shared" si="63"/>
        <v>-0.46593775958063821</v>
      </c>
      <c r="R400" s="6">
        <f t="shared" si="64"/>
        <v>-0.33382641268670005</v>
      </c>
      <c r="S400" s="6">
        <f t="shared" si="65"/>
        <v>-0.33007357794489894</v>
      </c>
      <c r="T400" s="6">
        <f t="shared" si="66"/>
        <v>-8.7917919125580113E-2</v>
      </c>
      <c r="U400" s="6">
        <f t="shared" si="67"/>
        <v>0.27880148898198187</v>
      </c>
      <c r="V400" s="6">
        <f t="shared" si="68"/>
        <v>-0.85389129617964865</v>
      </c>
      <c r="W400" s="6">
        <f t="shared" si="69"/>
        <v>-6.1728348179590609E-2</v>
      </c>
      <c r="X400" s="6">
        <f t="shared" si="70"/>
        <v>-0.38025839572700249</v>
      </c>
    </row>
    <row r="401" spans="1:24" x14ac:dyDescent="0.35">
      <c r="A401" s="2" t="s">
        <v>436</v>
      </c>
      <c r="B401" s="2" t="s">
        <v>438</v>
      </c>
      <c r="C401" s="2">
        <v>7.43</v>
      </c>
      <c r="D401" s="2">
        <v>7.82</v>
      </c>
      <c r="E401" s="2">
        <v>10632</v>
      </c>
      <c r="F401" s="2">
        <v>69.62</v>
      </c>
      <c r="G401" s="2">
        <v>68.099999999999994</v>
      </c>
      <c r="H401" s="2">
        <v>92.08</v>
      </c>
      <c r="I401" s="2">
        <v>87.43</v>
      </c>
      <c r="J401" s="2">
        <v>3.14</v>
      </c>
      <c r="K401" s="2">
        <v>65.459999999999994</v>
      </c>
      <c r="L401" s="2">
        <v>9013584</v>
      </c>
      <c r="M401" s="2">
        <v>0</v>
      </c>
      <c r="O401" s="6">
        <f t="shared" si="62"/>
        <v>-0.6499615041907405</v>
      </c>
      <c r="P401" s="6">
        <f t="shared" si="62"/>
        <v>-0.37846434532323298</v>
      </c>
      <c r="Q401" s="6">
        <f t="shared" si="63"/>
        <v>0.11317446643229245</v>
      </c>
      <c r="R401" s="6">
        <f t="shared" si="64"/>
        <v>-4.7263000352362507E-2</v>
      </c>
      <c r="S401" s="6">
        <f t="shared" si="65"/>
        <v>-0.45202094241427504</v>
      </c>
      <c r="T401" s="6">
        <f t="shared" si="66"/>
        <v>0.8013674786935916</v>
      </c>
      <c r="U401" s="6">
        <f t="shared" si="67"/>
        <v>0.14620235382574223</v>
      </c>
      <c r="V401" s="6">
        <f t="shared" si="68"/>
        <v>-0.72862574434093696</v>
      </c>
      <c r="W401" s="6">
        <f t="shared" si="69"/>
        <v>-0.62665766596573136</v>
      </c>
      <c r="X401" s="6">
        <f t="shared" si="70"/>
        <v>-0.27060079696389028</v>
      </c>
    </row>
    <row r="402" spans="1:24" x14ac:dyDescent="0.35">
      <c r="A402" s="2" t="s">
        <v>436</v>
      </c>
      <c r="B402" s="2" t="s">
        <v>439</v>
      </c>
      <c r="C402" s="2">
        <v>9.41</v>
      </c>
      <c r="D402" s="2">
        <v>6.77</v>
      </c>
      <c r="E402" s="2">
        <v>11829</v>
      </c>
      <c r="F402" s="2">
        <v>68.989999999999995</v>
      </c>
      <c r="G402" s="2">
        <v>70.599999999999994</v>
      </c>
      <c r="H402" s="2">
        <v>77.8</v>
      </c>
      <c r="I402" s="2">
        <v>97.23</v>
      </c>
      <c r="J402" s="2">
        <v>4.07</v>
      </c>
      <c r="K402" s="2">
        <v>74.319999999999993</v>
      </c>
      <c r="L402" s="2">
        <v>6151447</v>
      </c>
      <c r="M402" s="2">
        <v>0</v>
      </c>
      <c r="O402" s="6">
        <f t="shared" si="62"/>
        <v>-0.38424119550142821</v>
      </c>
      <c r="P402" s="6">
        <f t="shared" si="62"/>
        <v>-1.0229308284776129</v>
      </c>
      <c r="Q402" s="6">
        <f t="shared" si="63"/>
        <v>0.55413969196503932</v>
      </c>
      <c r="R402" s="6">
        <f t="shared" si="64"/>
        <v>-0.14432480130431705</v>
      </c>
      <c r="S402" s="6">
        <f t="shared" si="65"/>
        <v>0.2738562270462942</v>
      </c>
      <c r="T402" s="6">
        <f t="shared" si="66"/>
        <v>3.2197552536246406E-2</v>
      </c>
      <c r="U402" s="6">
        <f t="shared" si="67"/>
        <v>0.77094827908110242</v>
      </c>
      <c r="V402" s="6">
        <f t="shared" si="68"/>
        <v>-0.37560464370456742</v>
      </c>
      <c r="W402" s="6">
        <f t="shared" si="69"/>
        <v>0.7598447594041321</v>
      </c>
      <c r="X402" s="6">
        <f t="shared" si="70"/>
        <v>-0.33040520165835208</v>
      </c>
    </row>
    <row r="403" spans="1:24" x14ac:dyDescent="0.35">
      <c r="A403" s="2" t="s">
        <v>436</v>
      </c>
      <c r="B403" s="2" t="s">
        <v>440</v>
      </c>
      <c r="C403" s="2">
        <v>14.28</v>
      </c>
      <c r="D403" s="2">
        <v>6.6</v>
      </c>
      <c r="E403" s="2">
        <v>9215</v>
      </c>
      <c r="F403" s="2">
        <v>64.56</v>
      </c>
      <c r="G403" s="2">
        <v>66.489999999999995</v>
      </c>
      <c r="H403" s="2">
        <v>81.48</v>
      </c>
      <c r="I403" s="2">
        <v>98.54</v>
      </c>
      <c r="J403" s="2">
        <v>2.38</v>
      </c>
      <c r="K403" s="2">
        <v>67.39</v>
      </c>
      <c r="L403" s="2">
        <v>7058350</v>
      </c>
      <c r="M403" s="2">
        <v>0</v>
      </c>
      <c r="O403" s="6">
        <f t="shared" si="62"/>
        <v>0.26932340213339512</v>
      </c>
      <c r="P403" s="6">
        <f t="shared" si="62"/>
        <v>-1.1272730209883219</v>
      </c>
      <c r="Q403" s="6">
        <f t="shared" si="63"/>
        <v>-0.40883699938216223</v>
      </c>
      <c r="R403" s="6">
        <f t="shared" si="64"/>
        <v>-0.82683873498233507</v>
      </c>
      <c r="S403" s="6">
        <f t="shared" si="65"/>
        <v>-0.91948583954688146</v>
      </c>
      <c r="T403" s="6">
        <f t="shared" si="66"/>
        <v>0.23041501249836371</v>
      </c>
      <c r="U403" s="6">
        <f t="shared" si="67"/>
        <v>0.85446023439584973</v>
      </c>
      <c r="V403" s="6">
        <f t="shared" si="68"/>
        <v>-1.0171161061513034</v>
      </c>
      <c r="W403" s="6">
        <f t="shared" si="69"/>
        <v>-0.32463174260638072</v>
      </c>
      <c r="X403" s="6">
        <f t="shared" si="70"/>
        <v>-0.31145544697133976</v>
      </c>
    </row>
    <row r="404" spans="1:24" x14ac:dyDescent="0.35">
      <c r="A404" s="2" t="s">
        <v>436</v>
      </c>
      <c r="B404" s="2" t="s">
        <v>441</v>
      </c>
      <c r="C404" s="2">
        <v>8.25</v>
      </c>
      <c r="D404" s="2">
        <v>7.49</v>
      </c>
      <c r="E404" s="2">
        <v>10543</v>
      </c>
      <c r="F404" s="2">
        <v>67.72</v>
      </c>
      <c r="G404" s="2">
        <v>67.3</v>
      </c>
      <c r="H404" s="2">
        <v>90.15</v>
      </c>
      <c r="I404" s="2">
        <v>97.04</v>
      </c>
      <c r="J404" s="2">
        <v>3.93</v>
      </c>
      <c r="K404" s="2">
        <v>65.84</v>
      </c>
      <c r="L404" s="2">
        <v>6908048</v>
      </c>
      <c r="M404" s="2">
        <v>0</v>
      </c>
      <c r="O404" s="6">
        <f t="shared" si="62"/>
        <v>-0.53991571978405561</v>
      </c>
      <c r="P404" s="6">
        <f t="shared" si="62"/>
        <v>-0.58101095431460936</v>
      </c>
      <c r="Q404" s="6">
        <f t="shared" si="63"/>
        <v>8.0387578318328823E-2</v>
      </c>
      <c r="R404" s="6">
        <f t="shared" si="64"/>
        <v>-0.33998906671539642</v>
      </c>
      <c r="S404" s="6">
        <f t="shared" si="65"/>
        <v>-0.68430163664165644</v>
      </c>
      <c r="T404" s="6">
        <f t="shared" si="66"/>
        <v>0.69741103909389479</v>
      </c>
      <c r="U404" s="6">
        <f t="shared" si="67"/>
        <v>0.75883585808125376</v>
      </c>
      <c r="V404" s="6">
        <f t="shared" si="68"/>
        <v>-0.4287476050906876</v>
      </c>
      <c r="W404" s="6">
        <f t="shared" si="69"/>
        <v>-0.56719142198824135</v>
      </c>
      <c r="X404" s="6">
        <f t="shared" si="70"/>
        <v>-0.31459600999623583</v>
      </c>
    </row>
    <row r="405" spans="1:24" x14ac:dyDescent="0.35">
      <c r="A405" s="2" t="s">
        <v>436</v>
      </c>
      <c r="B405" s="2" t="s">
        <v>442</v>
      </c>
      <c r="C405" s="2">
        <v>7.54</v>
      </c>
      <c r="D405" s="2">
        <v>8.1999999999999993</v>
      </c>
      <c r="E405" s="2">
        <v>9504</v>
      </c>
      <c r="F405" s="2">
        <v>70.290000000000006</v>
      </c>
      <c r="G405" s="2">
        <v>70.45</v>
      </c>
      <c r="H405" s="2">
        <v>97.2</v>
      </c>
      <c r="I405" s="2">
        <v>95.46</v>
      </c>
      <c r="J405" s="2">
        <v>4.3</v>
      </c>
      <c r="K405" s="2">
        <v>68.89</v>
      </c>
      <c r="L405" s="2">
        <v>15043696</v>
      </c>
      <c r="M405" s="2">
        <v>0</v>
      </c>
      <c r="O405" s="6">
        <f t="shared" si="62"/>
        <v>-0.63519926481911193</v>
      </c>
      <c r="P405" s="6">
        <f t="shared" si="62"/>
        <v>-0.14522885618164863</v>
      </c>
      <c r="Q405" s="6">
        <f t="shared" si="63"/>
        <v>-0.30237171101210053</v>
      </c>
      <c r="R405" s="6">
        <f t="shared" si="64"/>
        <v>5.5961454628286257E-2</v>
      </c>
      <c r="S405" s="6">
        <f t="shared" si="65"/>
        <v>0.2303035968786625</v>
      </c>
      <c r="T405" s="6">
        <f t="shared" si="66"/>
        <v>1.0771482925539284</v>
      </c>
      <c r="U405" s="6">
        <f t="shared" si="67"/>
        <v>0.65811151502987852</v>
      </c>
      <c r="V405" s="6">
        <f t="shared" si="68"/>
        <v>-0.28829834999879883</v>
      </c>
      <c r="W405" s="6">
        <f t="shared" si="69"/>
        <v>-8.989656901103138E-2</v>
      </c>
      <c r="X405" s="6">
        <f t="shared" si="70"/>
        <v>-0.14460149699993666</v>
      </c>
    </row>
    <row r="406" spans="1:24" x14ac:dyDescent="0.35">
      <c r="A406" s="2" t="s">
        <v>436</v>
      </c>
      <c r="B406" s="2" t="s">
        <v>443</v>
      </c>
      <c r="C406" s="2">
        <v>8.84</v>
      </c>
      <c r="D406" s="2">
        <v>7.78</v>
      </c>
      <c r="E406" s="2">
        <v>9505</v>
      </c>
      <c r="F406" s="2">
        <v>67.75</v>
      </c>
      <c r="G406" s="2">
        <v>67.38</v>
      </c>
      <c r="H406" s="2">
        <v>87.13</v>
      </c>
      <c r="I406" s="2">
        <v>88.41</v>
      </c>
      <c r="J406" s="2">
        <v>2.61</v>
      </c>
      <c r="K406" s="2">
        <v>71.91</v>
      </c>
      <c r="L406" s="2">
        <v>7576835</v>
      </c>
      <c r="M406" s="2">
        <v>0</v>
      </c>
      <c r="O406" s="6">
        <f t="shared" si="62"/>
        <v>-0.46073643588168478</v>
      </c>
      <c r="P406" s="6">
        <f t="shared" si="62"/>
        <v>-0.40301544944339984</v>
      </c>
      <c r="Q406" s="6">
        <f t="shared" si="63"/>
        <v>-0.30200331901082006</v>
      </c>
      <c r="R406" s="6">
        <f t="shared" si="64"/>
        <v>-0.33536707619387468</v>
      </c>
      <c r="S406" s="6">
        <f t="shared" si="65"/>
        <v>-0.66107356721891863</v>
      </c>
      <c r="T406" s="6">
        <f t="shared" si="66"/>
        <v>0.53474344966846132</v>
      </c>
      <c r="U406" s="6">
        <f t="shared" si="67"/>
        <v>0.20867694635127762</v>
      </c>
      <c r="V406" s="6">
        <f t="shared" si="68"/>
        <v>-0.92980981244553462</v>
      </c>
      <c r="W406" s="6">
        <f t="shared" si="69"/>
        <v>0.38270358049427139</v>
      </c>
      <c r="X406" s="6">
        <f t="shared" si="70"/>
        <v>-0.30062169346198359</v>
      </c>
    </row>
    <row r="407" spans="1:24" x14ac:dyDescent="0.35">
      <c r="A407" s="2" t="s">
        <v>436</v>
      </c>
      <c r="B407" s="2" t="s">
        <v>444</v>
      </c>
      <c r="C407" s="2">
        <v>9.57</v>
      </c>
      <c r="D407" s="2">
        <v>8.01</v>
      </c>
      <c r="E407" s="2">
        <v>11032</v>
      </c>
      <c r="F407" s="2">
        <v>70.41</v>
      </c>
      <c r="G407" s="2">
        <v>69.040000000000006</v>
      </c>
      <c r="H407" s="2">
        <v>87.74</v>
      </c>
      <c r="I407" s="2">
        <v>83.38</v>
      </c>
      <c r="J407" s="2">
        <v>6.3</v>
      </c>
      <c r="K407" s="2">
        <v>59.61</v>
      </c>
      <c r="L407" s="2">
        <v>12400617</v>
      </c>
      <c r="M407" s="2">
        <v>0</v>
      </c>
      <c r="O407" s="6">
        <f t="shared" si="62"/>
        <v>-0.36276884732451409</v>
      </c>
      <c r="P407" s="6">
        <f t="shared" si="62"/>
        <v>-0.26184660075244082</v>
      </c>
      <c r="Q407" s="6">
        <f t="shared" si="63"/>
        <v>0.26053126694448853</v>
      </c>
      <c r="R407" s="6">
        <f t="shared" si="64"/>
        <v>7.4449416714371067E-2</v>
      </c>
      <c r="S407" s="6">
        <f t="shared" si="65"/>
        <v>-0.17909112669709756</v>
      </c>
      <c r="T407" s="6">
        <f t="shared" si="66"/>
        <v>0.56760014819479043</v>
      </c>
      <c r="U407" s="6">
        <f t="shared" si="67"/>
        <v>-0.11198346222366763</v>
      </c>
      <c r="V407" s="6">
        <f t="shared" si="68"/>
        <v>0.47088681266006011</v>
      </c>
      <c r="W407" s="6">
        <f t="shared" si="69"/>
        <v>-1.5421248429875929</v>
      </c>
      <c r="X407" s="6">
        <f t="shared" si="70"/>
        <v>-0.19982868079841778</v>
      </c>
    </row>
    <row r="408" spans="1:24" x14ac:dyDescent="0.35">
      <c r="A408" s="2" t="s">
        <v>436</v>
      </c>
      <c r="B408" s="2" t="s">
        <v>445</v>
      </c>
      <c r="C408" s="2">
        <v>14.28</v>
      </c>
      <c r="D408" s="2">
        <v>7.92</v>
      </c>
      <c r="E408" s="2">
        <v>11519</v>
      </c>
      <c r="F408" s="2">
        <v>69.209999999999994</v>
      </c>
      <c r="G408" s="2">
        <v>66.78</v>
      </c>
      <c r="H408" s="2">
        <v>86.35</v>
      </c>
      <c r="I408" s="2">
        <v>89.34</v>
      </c>
      <c r="J408" s="2">
        <v>5.86</v>
      </c>
      <c r="K408" s="2">
        <v>64.430000000000007</v>
      </c>
      <c r="L408" s="2">
        <v>17500610</v>
      </c>
      <c r="M408" s="2">
        <v>0</v>
      </c>
      <c r="O408" s="6">
        <f t="shared" si="62"/>
        <v>0.26932340213339512</v>
      </c>
      <c r="P408" s="6">
        <f t="shared" si="62"/>
        <v>-0.31708658502281611</v>
      </c>
      <c r="Q408" s="6">
        <f t="shared" si="63"/>
        <v>0.43993817156808729</v>
      </c>
      <c r="R408" s="6">
        <f t="shared" si="64"/>
        <v>-0.11043020414649235</v>
      </c>
      <c r="S408" s="6">
        <f t="shared" si="65"/>
        <v>-0.83528408788945363</v>
      </c>
      <c r="T408" s="6">
        <f t="shared" si="66"/>
        <v>0.49272996630692556</v>
      </c>
      <c r="U408" s="6">
        <f t="shared" si="67"/>
        <v>0.26796405966632758</v>
      </c>
      <c r="V408" s="6">
        <f t="shared" si="68"/>
        <v>0.30386607687511136</v>
      </c>
      <c r="W408" s="6">
        <f t="shared" si="69"/>
        <v>-0.78784248516786914</v>
      </c>
      <c r="X408" s="6">
        <f t="shared" si="70"/>
        <v>-9.3264234263914961E-2</v>
      </c>
    </row>
    <row r="409" spans="1:24" x14ac:dyDescent="0.35">
      <c r="A409" s="2" t="s">
        <v>436</v>
      </c>
      <c r="B409" s="2" t="s">
        <v>446</v>
      </c>
      <c r="C409" s="2">
        <v>8.68</v>
      </c>
      <c r="D409" s="2">
        <v>8.24</v>
      </c>
      <c r="E409" s="2">
        <v>11017</v>
      </c>
      <c r="F409" s="2">
        <v>71.13</v>
      </c>
      <c r="G409" s="2">
        <v>69.069999999999993</v>
      </c>
      <c r="H409" s="2">
        <v>93.92</v>
      </c>
      <c r="I409" s="2">
        <v>97.01</v>
      </c>
      <c r="J409" s="2">
        <v>6.74</v>
      </c>
      <c r="K409" s="2">
        <v>58.14</v>
      </c>
      <c r="L409" s="2">
        <v>5069995</v>
      </c>
      <c r="M409" s="2">
        <v>0</v>
      </c>
      <c r="O409" s="6">
        <f t="shared" si="62"/>
        <v>-0.4822087840585989</v>
      </c>
      <c r="P409" s="6">
        <f t="shared" si="62"/>
        <v>-0.12067775206148122</v>
      </c>
      <c r="Q409" s="6">
        <f t="shared" si="63"/>
        <v>0.25500538692528119</v>
      </c>
      <c r="R409" s="6">
        <f t="shared" si="64"/>
        <v>0.18537718923088869</v>
      </c>
      <c r="S409" s="6">
        <f t="shared" si="65"/>
        <v>-0.17038060066357452</v>
      </c>
      <c r="T409" s="6">
        <f t="shared" si="66"/>
        <v>0.90047620867465017</v>
      </c>
      <c r="U409" s="6">
        <f t="shared" si="67"/>
        <v>0.75692337055496173</v>
      </c>
      <c r="V409" s="6">
        <f t="shared" si="68"/>
        <v>0.63790754844500919</v>
      </c>
      <c r="W409" s="6">
        <f t="shared" si="69"/>
        <v>-1.7721653131110351</v>
      </c>
      <c r="X409" s="6">
        <f t="shared" si="70"/>
        <v>-0.35300216087645908</v>
      </c>
    </row>
    <row r="410" spans="1:24" x14ac:dyDescent="0.35">
      <c r="A410" s="2" t="s">
        <v>436</v>
      </c>
      <c r="B410" s="2" t="s">
        <v>447</v>
      </c>
      <c r="C410" s="2">
        <v>10.52</v>
      </c>
      <c r="D410" s="2">
        <v>7.23</v>
      </c>
      <c r="E410" s="2">
        <v>9030</v>
      </c>
      <c r="F410" s="2">
        <v>66.400000000000006</v>
      </c>
      <c r="G410" s="2">
        <v>67.209999999999994</v>
      </c>
      <c r="H410" s="2">
        <v>94.28</v>
      </c>
      <c r="I410" s="2">
        <v>90.09</v>
      </c>
      <c r="J410" s="2">
        <v>4.1500000000000004</v>
      </c>
      <c r="K410" s="2">
        <v>65.67</v>
      </c>
      <c r="L410" s="2">
        <v>23273868</v>
      </c>
      <c r="M410" s="2">
        <v>0</v>
      </c>
      <c r="O410" s="6">
        <f t="shared" si="62"/>
        <v>-0.23527678002408661</v>
      </c>
      <c r="P410" s="6">
        <f t="shared" si="62"/>
        <v>-0.74059313109569369</v>
      </c>
      <c r="Q410" s="6">
        <f t="shared" si="63"/>
        <v>-0.47698951961905289</v>
      </c>
      <c r="R410" s="6">
        <f t="shared" si="64"/>
        <v>-0.54335664966234465</v>
      </c>
      <c r="S410" s="6">
        <f t="shared" si="65"/>
        <v>-0.71043321474223786</v>
      </c>
      <c r="T410" s="6">
        <f t="shared" si="66"/>
        <v>0.91986704714920509</v>
      </c>
      <c r="U410" s="6">
        <f t="shared" si="67"/>
        <v>0.31577624782362557</v>
      </c>
      <c r="V410" s="6">
        <f t="shared" si="68"/>
        <v>-0.34523723719821309</v>
      </c>
      <c r="W410" s="6">
        <f t="shared" si="69"/>
        <v>-0.59379474166238111</v>
      </c>
      <c r="X410" s="6">
        <f t="shared" si="70"/>
        <v>2.736809669632179E-2</v>
      </c>
    </row>
    <row r="411" spans="1:24" x14ac:dyDescent="0.35">
      <c r="A411" s="2" t="s">
        <v>436</v>
      </c>
      <c r="B411" s="2" t="s">
        <v>448</v>
      </c>
      <c r="C411" s="2">
        <v>7.53</v>
      </c>
      <c r="D411" s="2">
        <v>7.82</v>
      </c>
      <c r="E411" s="2">
        <v>9558</v>
      </c>
      <c r="F411" s="2">
        <v>68.989999999999995</v>
      </c>
      <c r="G411" s="2">
        <v>69.81</v>
      </c>
      <c r="H411" s="2">
        <v>92.39</v>
      </c>
      <c r="I411" s="2">
        <v>96.58</v>
      </c>
      <c r="J411" s="2">
        <v>3.92</v>
      </c>
      <c r="K411" s="2">
        <v>58.94</v>
      </c>
      <c r="L411" s="2">
        <v>7585976</v>
      </c>
      <c r="M411" s="2">
        <v>0</v>
      </c>
      <c r="O411" s="6">
        <f t="shared" si="62"/>
        <v>-0.63654128658016906</v>
      </c>
      <c r="P411" s="6">
        <f t="shared" si="62"/>
        <v>-0.37846434532323298</v>
      </c>
      <c r="Q411" s="6">
        <f t="shared" si="63"/>
        <v>-0.28247854294295405</v>
      </c>
      <c r="R411" s="6">
        <f t="shared" si="64"/>
        <v>-0.14432480130431705</v>
      </c>
      <c r="S411" s="6">
        <f t="shared" si="65"/>
        <v>4.4479041496756612E-2</v>
      </c>
      <c r="T411" s="6">
        <f t="shared" si="66"/>
        <v>0.81806514515779172</v>
      </c>
      <c r="U411" s="6">
        <f t="shared" si="67"/>
        <v>0.72951104934477717</v>
      </c>
      <c r="V411" s="6">
        <f t="shared" si="68"/>
        <v>-0.43254353090398201</v>
      </c>
      <c r="W411" s="6">
        <f t="shared" si="69"/>
        <v>-1.6469732205268492</v>
      </c>
      <c r="X411" s="6">
        <f t="shared" si="70"/>
        <v>-0.30043069210065393</v>
      </c>
    </row>
    <row r="412" spans="1:24" x14ac:dyDescent="0.35">
      <c r="A412" s="2" t="s">
        <v>436</v>
      </c>
      <c r="B412" s="2" t="s">
        <v>449</v>
      </c>
      <c r="C412" s="2">
        <v>6.46</v>
      </c>
      <c r="D412" s="2">
        <v>7.05</v>
      </c>
      <c r="E412" s="2">
        <v>12505</v>
      </c>
      <c r="F412" s="2">
        <v>69.62</v>
      </c>
      <c r="G412" s="2">
        <v>67.48</v>
      </c>
      <c r="H412" s="2">
        <v>95.03</v>
      </c>
      <c r="I412" s="2">
        <v>87.87</v>
      </c>
      <c r="J412" s="2">
        <v>4.32</v>
      </c>
      <c r="K412" s="2">
        <v>64.58</v>
      </c>
      <c r="L412" s="2">
        <v>13569283</v>
      </c>
      <c r="M412" s="2">
        <v>0</v>
      </c>
      <c r="O412" s="6">
        <f t="shared" si="62"/>
        <v>-0.78013761501328227</v>
      </c>
      <c r="P412" s="6">
        <f t="shared" si="62"/>
        <v>-0.85107309963644484</v>
      </c>
      <c r="Q412" s="6">
        <f t="shared" si="63"/>
        <v>0.80317268483065063</v>
      </c>
      <c r="R412" s="6">
        <f t="shared" si="64"/>
        <v>-4.7263000352362507E-2</v>
      </c>
      <c r="S412" s="6">
        <f t="shared" si="65"/>
        <v>-0.63203848044049338</v>
      </c>
      <c r="T412" s="6">
        <f t="shared" si="66"/>
        <v>0.96026462730452788</v>
      </c>
      <c r="U412" s="6">
        <f t="shared" si="67"/>
        <v>0.17425217087802358</v>
      </c>
      <c r="V412" s="6">
        <f t="shared" si="68"/>
        <v>-0.28070649837221007</v>
      </c>
      <c r="W412" s="6">
        <f t="shared" si="69"/>
        <v>-0.76436896780833552</v>
      </c>
      <c r="X412" s="6">
        <f t="shared" si="70"/>
        <v>-0.17540938346336432</v>
      </c>
    </row>
    <row r="413" spans="1:24" x14ac:dyDescent="0.35">
      <c r="A413" s="2" t="s">
        <v>436</v>
      </c>
      <c r="B413" s="2" t="s">
        <v>450</v>
      </c>
      <c r="C413" s="2">
        <v>5.04</v>
      </c>
      <c r="D413" s="2">
        <v>7.94</v>
      </c>
      <c r="E413" s="2">
        <v>12201</v>
      </c>
      <c r="F413" s="2">
        <v>71.540000000000006</v>
      </c>
      <c r="G413" s="2">
        <v>70.010000000000005</v>
      </c>
      <c r="H413" s="2">
        <v>98.52</v>
      </c>
      <c r="I413" s="2">
        <v>99.04</v>
      </c>
      <c r="J413" s="2">
        <v>4.93</v>
      </c>
      <c r="K413" s="2">
        <v>58.7</v>
      </c>
      <c r="L413" s="2">
        <v>8866074</v>
      </c>
      <c r="M413" s="2">
        <v>0</v>
      </c>
      <c r="O413" s="6">
        <f t="shared" si="62"/>
        <v>-0.97070470508339501</v>
      </c>
      <c r="P413" s="6">
        <f t="shared" si="62"/>
        <v>-0.30481103296273238</v>
      </c>
      <c r="Q413" s="6">
        <f t="shared" si="63"/>
        <v>0.69118151644138159</v>
      </c>
      <c r="R413" s="6">
        <f t="shared" si="64"/>
        <v>0.24854439302501855</v>
      </c>
      <c r="S413" s="6">
        <f t="shared" si="65"/>
        <v>0.10254921505360297</v>
      </c>
      <c r="T413" s="6">
        <f t="shared" si="66"/>
        <v>1.148248033627296</v>
      </c>
      <c r="U413" s="6">
        <f t="shared" si="67"/>
        <v>0.88633502650071505</v>
      </c>
      <c r="V413" s="6">
        <f t="shared" si="68"/>
        <v>-4.9155023761258312E-2</v>
      </c>
      <c r="W413" s="6">
        <f t="shared" si="69"/>
        <v>-1.6845308483021044</v>
      </c>
      <c r="X413" s="6">
        <f t="shared" si="70"/>
        <v>-0.27368302109798315</v>
      </c>
    </row>
    <row r="414" spans="1:24" x14ac:dyDescent="0.35">
      <c r="A414" s="2" t="s">
        <v>436</v>
      </c>
      <c r="B414" s="2" t="s">
        <v>451</v>
      </c>
      <c r="C414" s="2">
        <v>8.81</v>
      </c>
      <c r="D414" s="2">
        <v>7.87</v>
      </c>
      <c r="E414" s="2">
        <v>11956</v>
      </c>
      <c r="F414" s="2">
        <v>71.45</v>
      </c>
      <c r="G414" s="2">
        <v>69.77</v>
      </c>
      <c r="H414" s="2">
        <v>94.72</v>
      </c>
      <c r="I414" s="2">
        <v>91.87</v>
      </c>
      <c r="J414" s="2">
        <v>4.0599999999999996</v>
      </c>
      <c r="K414" s="2">
        <v>57.78</v>
      </c>
      <c r="L414" s="2">
        <v>13472493</v>
      </c>
      <c r="M414" s="2">
        <v>0</v>
      </c>
      <c r="O414" s="6">
        <f t="shared" si="62"/>
        <v>-0.46476250116485612</v>
      </c>
      <c r="P414" s="6">
        <f t="shared" si="62"/>
        <v>-0.34777546517302454</v>
      </c>
      <c r="Q414" s="6">
        <f t="shared" si="63"/>
        <v>0.60092547612766156</v>
      </c>
      <c r="R414" s="6">
        <f t="shared" si="64"/>
        <v>0.23467842146045328</v>
      </c>
      <c r="S414" s="6">
        <f t="shared" si="65"/>
        <v>3.2865006785385689E-2</v>
      </c>
      <c r="T414" s="6">
        <f t="shared" si="66"/>
        <v>0.94356696084032765</v>
      </c>
      <c r="U414" s="6">
        <f t="shared" si="67"/>
        <v>0.42925050771694617</v>
      </c>
      <c r="V414" s="6">
        <f t="shared" si="68"/>
        <v>-0.379400569517862</v>
      </c>
      <c r="W414" s="6">
        <f t="shared" si="69"/>
        <v>-1.8285017547739189</v>
      </c>
      <c r="X414" s="6">
        <f t="shared" si="70"/>
        <v>-0.17743181227455573</v>
      </c>
    </row>
    <row r="415" spans="1:24" x14ac:dyDescent="0.35">
      <c r="A415" s="2" t="s">
        <v>436</v>
      </c>
      <c r="B415" s="2" t="s">
        <v>452</v>
      </c>
      <c r="C415" s="2">
        <v>12.47</v>
      </c>
      <c r="D415" s="2">
        <v>8.91</v>
      </c>
      <c r="E415" s="2">
        <v>10973</v>
      </c>
      <c r="F415" s="2">
        <v>72.91</v>
      </c>
      <c r="G415" s="2">
        <v>70.930000000000007</v>
      </c>
      <c r="H415" s="2">
        <v>89.11</v>
      </c>
      <c r="I415" s="2">
        <v>73.03</v>
      </c>
      <c r="J415" s="2">
        <v>2.34</v>
      </c>
      <c r="K415" s="2">
        <v>72.64</v>
      </c>
      <c r="L415" s="2">
        <v>4884373</v>
      </c>
      <c r="M415" s="2">
        <v>0</v>
      </c>
      <c r="O415" s="6">
        <f t="shared" si="62"/>
        <v>2.6417463382054338E-2</v>
      </c>
      <c r="P415" s="6">
        <f t="shared" si="62"/>
        <v>0.29055324195131327</v>
      </c>
      <c r="Q415" s="6">
        <f t="shared" si="63"/>
        <v>0.23879613886893963</v>
      </c>
      <c r="R415" s="6">
        <f t="shared" si="64"/>
        <v>0.45961529350783564</v>
      </c>
      <c r="S415" s="6">
        <f t="shared" si="65"/>
        <v>0.36967201341509293</v>
      </c>
      <c r="T415" s="6">
        <f t="shared" si="66"/>
        <v>0.64139306127851359</v>
      </c>
      <c r="U415" s="6">
        <f t="shared" si="67"/>
        <v>-0.7717916587943795</v>
      </c>
      <c r="V415" s="6">
        <f t="shared" si="68"/>
        <v>-1.0322998094044806</v>
      </c>
      <c r="W415" s="6">
        <f t="shared" si="69"/>
        <v>0.49694136497734204</v>
      </c>
      <c r="X415" s="6">
        <f t="shared" si="70"/>
        <v>-0.35688073594403807</v>
      </c>
    </row>
    <row r="416" spans="1:24" x14ac:dyDescent="0.35">
      <c r="A416" s="2" t="s">
        <v>436</v>
      </c>
      <c r="B416" s="2" t="s">
        <v>453</v>
      </c>
      <c r="C416" s="2">
        <v>12.53</v>
      </c>
      <c r="D416" s="2">
        <v>8.35</v>
      </c>
      <c r="E416" s="2">
        <v>10116</v>
      </c>
      <c r="F416" s="2">
        <v>70.849999999999994</v>
      </c>
      <c r="G416" s="2">
        <v>70.44</v>
      </c>
      <c r="H416" s="2">
        <v>88.55</v>
      </c>
      <c r="I416" s="2">
        <v>83.38</v>
      </c>
      <c r="J416" s="2">
        <v>4.8</v>
      </c>
      <c r="K416" s="2">
        <v>64.22</v>
      </c>
      <c r="L416" s="2">
        <v>10449750</v>
      </c>
      <c r="M416" s="2">
        <v>0</v>
      </c>
      <c r="O416" s="6">
        <f t="shared" si="62"/>
        <v>3.4469593948396965E-2</v>
      </c>
      <c r="P416" s="6">
        <f t="shared" si="62"/>
        <v>-5.3162215731022769E-2</v>
      </c>
      <c r="Q416" s="6">
        <f t="shared" si="63"/>
        <v>-7.6915806228440506E-2</v>
      </c>
      <c r="R416" s="6">
        <f t="shared" si="64"/>
        <v>0.14223861103002047</v>
      </c>
      <c r="S416" s="6">
        <f t="shared" si="65"/>
        <v>0.22740008820081875</v>
      </c>
      <c r="T416" s="6">
        <f t="shared" si="66"/>
        <v>0.61122953476253905</v>
      </c>
      <c r="U416" s="6">
        <f t="shared" si="67"/>
        <v>-0.11198346222366763</v>
      </c>
      <c r="V416" s="6">
        <f t="shared" si="68"/>
        <v>-9.8502059334084097E-2</v>
      </c>
      <c r="W416" s="6">
        <f t="shared" si="69"/>
        <v>-0.82070540947121928</v>
      </c>
      <c r="X416" s="6">
        <f t="shared" si="70"/>
        <v>-0.24059208226140524</v>
      </c>
    </row>
    <row r="417" spans="1:24" x14ac:dyDescent="0.35">
      <c r="A417" s="2" t="s">
        <v>436</v>
      </c>
      <c r="B417" s="2" t="s">
        <v>454</v>
      </c>
      <c r="C417" s="2">
        <v>12.27</v>
      </c>
      <c r="D417" s="2">
        <v>8.51</v>
      </c>
      <c r="E417" s="2">
        <v>7434</v>
      </c>
      <c r="F417" s="2">
        <v>69.489999999999995</v>
      </c>
      <c r="G417" s="2">
        <v>73.400000000000006</v>
      </c>
      <c r="H417" s="2">
        <v>83.75</v>
      </c>
      <c r="I417" s="2">
        <v>71.569999999999993</v>
      </c>
      <c r="J417" s="2">
        <v>3.09</v>
      </c>
      <c r="K417" s="2">
        <v>77.989999999999995</v>
      </c>
      <c r="L417" s="2">
        <v>4780984</v>
      </c>
      <c r="M417" s="2">
        <v>0</v>
      </c>
      <c r="O417" s="6">
        <f t="shared" si="62"/>
        <v>-4.2297183908844934E-4</v>
      </c>
      <c r="P417" s="6">
        <f t="shared" si="62"/>
        <v>4.5042200749644663E-2</v>
      </c>
      <c r="Q417" s="6">
        <f t="shared" si="63"/>
        <v>-1.0649431536627154</v>
      </c>
      <c r="R417" s="6">
        <f t="shared" si="64"/>
        <v>-6.7291625945624156E-2</v>
      </c>
      <c r="S417" s="6">
        <f t="shared" si="65"/>
        <v>1.0868386568421351</v>
      </c>
      <c r="T417" s="6">
        <f t="shared" si="66"/>
        <v>0.35268502176847366</v>
      </c>
      <c r="U417" s="6">
        <f t="shared" si="67"/>
        <v>-0.86486605174058673</v>
      </c>
      <c r="V417" s="6">
        <f t="shared" si="68"/>
        <v>-0.74760537340740851</v>
      </c>
      <c r="W417" s="6">
        <f t="shared" si="69"/>
        <v>1.3341634841340873</v>
      </c>
      <c r="X417" s="6">
        <f t="shared" si="70"/>
        <v>-0.35904105098030498</v>
      </c>
    </row>
    <row r="418" spans="1:24" x14ac:dyDescent="0.35">
      <c r="A418" s="2" t="s">
        <v>436</v>
      </c>
      <c r="B418" s="2" t="s">
        <v>455</v>
      </c>
      <c r="C418" s="2">
        <v>13.59</v>
      </c>
      <c r="D418" s="2">
        <v>7.86</v>
      </c>
      <c r="E418" s="2">
        <v>11736</v>
      </c>
      <c r="F418" s="2">
        <v>70.02</v>
      </c>
      <c r="G418" s="2">
        <v>68.67</v>
      </c>
      <c r="H418" s="2">
        <v>93.72</v>
      </c>
      <c r="I418" s="2">
        <v>84.03</v>
      </c>
      <c r="J418" s="2">
        <v>3.91</v>
      </c>
      <c r="K418" s="2">
        <v>63.07</v>
      </c>
      <c r="L418" s="2">
        <v>8491499</v>
      </c>
      <c r="M418" s="2">
        <v>0</v>
      </c>
      <c r="O418" s="6">
        <f t="shared" si="62"/>
        <v>0.17672390062045304</v>
      </c>
      <c r="P418" s="6">
        <f t="shared" si="62"/>
        <v>-0.35391324120306611</v>
      </c>
      <c r="Q418" s="6">
        <f t="shared" si="63"/>
        <v>0.51987923584595364</v>
      </c>
      <c r="R418" s="6">
        <f t="shared" si="64"/>
        <v>1.4363539934590509E-2</v>
      </c>
      <c r="S418" s="6">
        <f t="shared" si="65"/>
        <v>-0.28652094777726311</v>
      </c>
      <c r="T418" s="6">
        <f t="shared" si="66"/>
        <v>0.88970352063323066</v>
      </c>
      <c r="U418" s="6">
        <f t="shared" si="67"/>
        <v>-7.0546232487342347E-2</v>
      </c>
      <c r="V418" s="6">
        <f t="shared" si="68"/>
        <v>-0.4363394567172762</v>
      </c>
      <c r="W418" s="6">
        <f t="shared" si="69"/>
        <v>-1.000669042560987</v>
      </c>
      <c r="X418" s="6">
        <f t="shared" si="70"/>
        <v>-0.28150977253875203</v>
      </c>
    </row>
    <row r="419" spans="1:24" x14ac:dyDescent="0.35">
      <c r="A419" s="2" t="s">
        <v>436</v>
      </c>
      <c r="B419" s="2" t="s">
        <v>456</v>
      </c>
      <c r="C419" s="2">
        <v>6.94</v>
      </c>
      <c r="D419" s="2">
        <v>8.81</v>
      </c>
      <c r="E419" s="2">
        <v>12886</v>
      </c>
      <c r="F419" s="2">
        <v>73.34</v>
      </c>
      <c r="G419" s="2">
        <v>70.63</v>
      </c>
      <c r="H419" s="2">
        <v>92.85</v>
      </c>
      <c r="I419" s="2">
        <v>79.11</v>
      </c>
      <c r="J419" s="2">
        <v>4.96</v>
      </c>
      <c r="K419" s="2">
        <v>73.14</v>
      </c>
      <c r="L419" s="2">
        <v>16030502</v>
      </c>
      <c r="M419" s="2">
        <v>0</v>
      </c>
      <c r="O419" s="6">
        <f t="shared" si="62"/>
        <v>-0.7157205704825399</v>
      </c>
      <c r="P419" s="6">
        <f t="shared" si="62"/>
        <v>0.22917548165089638</v>
      </c>
      <c r="Q419" s="6">
        <f t="shared" si="63"/>
        <v>0.94353003731851748</v>
      </c>
      <c r="R419" s="6">
        <f t="shared" si="64"/>
        <v>0.52586382431631262</v>
      </c>
      <c r="S419" s="6">
        <f t="shared" si="65"/>
        <v>0.28256675307982132</v>
      </c>
      <c r="T419" s="6">
        <f t="shared" si="66"/>
        <v>0.842842327653056</v>
      </c>
      <c r="U419" s="6">
        <f t="shared" si="67"/>
        <v>-0.38419418679921724</v>
      </c>
      <c r="V419" s="6">
        <f t="shared" si="68"/>
        <v>-3.7767246321375333E-2</v>
      </c>
      <c r="W419" s="6">
        <f t="shared" si="69"/>
        <v>0.57518642284245847</v>
      </c>
      <c r="X419" s="6">
        <f t="shared" si="70"/>
        <v>-0.12398216767400883</v>
      </c>
    </row>
    <row r="420" spans="1:24" x14ac:dyDescent="0.35">
      <c r="A420" s="2" t="s">
        <v>436</v>
      </c>
      <c r="B420" s="2" t="s">
        <v>457</v>
      </c>
      <c r="C420" s="2">
        <v>11.99</v>
      </c>
      <c r="D420" s="2">
        <v>8.25</v>
      </c>
      <c r="E420" s="2">
        <v>8134</v>
      </c>
      <c r="F420" s="2">
        <v>69.75</v>
      </c>
      <c r="G420" s="2">
        <v>73.41</v>
      </c>
      <c r="H420" s="2">
        <v>87.62</v>
      </c>
      <c r="I420" s="2">
        <v>72.8</v>
      </c>
      <c r="J420" s="2">
        <v>2.61</v>
      </c>
      <c r="K420" s="2">
        <v>71.56</v>
      </c>
      <c r="L420" s="2">
        <v>5357129</v>
      </c>
      <c r="M420" s="2">
        <v>0</v>
      </c>
      <c r="O420" s="6">
        <f t="shared" si="62"/>
        <v>-3.7999581148688066E-2</v>
      </c>
      <c r="P420" s="6">
        <f t="shared" si="62"/>
        <v>-0.11453997603143964</v>
      </c>
      <c r="Q420" s="6">
        <f t="shared" si="63"/>
        <v>-0.80706875276637213</v>
      </c>
      <c r="R420" s="6">
        <f t="shared" si="64"/>
        <v>-2.723437475910305E-2</v>
      </c>
      <c r="S420" s="6">
        <f t="shared" si="65"/>
        <v>1.0897421655199746</v>
      </c>
      <c r="T420" s="6">
        <f t="shared" si="66"/>
        <v>0.56113653536993924</v>
      </c>
      <c r="U420" s="6">
        <f t="shared" si="67"/>
        <v>-0.78645406316261779</v>
      </c>
      <c r="V420" s="6">
        <f t="shared" si="68"/>
        <v>-0.92980981244553462</v>
      </c>
      <c r="W420" s="6">
        <f t="shared" si="69"/>
        <v>0.32793203998869075</v>
      </c>
      <c r="X420" s="6">
        <f t="shared" si="70"/>
        <v>-0.34700249072176714</v>
      </c>
    </row>
    <row r="421" spans="1:24" x14ac:dyDescent="0.35">
      <c r="A421" s="2" t="s">
        <v>436</v>
      </c>
      <c r="B421" s="2" t="s">
        <v>458</v>
      </c>
      <c r="C421" s="2">
        <v>4.82</v>
      </c>
      <c r="D421" s="2">
        <v>11.43</v>
      </c>
      <c r="E421" s="2">
        <v>17097</v>
      </c>
      <c r="F421" s="2">
        <v>82.66</v>
      </c>
      <c r="G421" s="2">
        <v>72.13</v>
      </c>
      <c r="H421" s="2">
        <v>93.75</v>
      </c>
      <c r="I421" s="2">
        <v>99.58</v>
      </c>
      <c r="J421" s="2">
        <v>13.18</v>
      </c>
      <c r="K421" s="2">
        <v>59.7</v>
      </c>
      <c r="L421" s="2">
        <v>126312828</v>
      </c>
      <c r="M421" s="2">
        <v>0</v>
      </c>
      <c r="O421" s="6">
        <f t="shared" si="62"/>
        <v>-1.0002291838266519</v>
      </c>
      <c r="P421" s="6">
        <f t="shared" si="62"/>
        <v>1.8372728015218238</v>
      </c>
      <c r="Q421" s="6">
        <f t="shared" si="63"/>
        <v>2.494828754710662</v>
      </c>
      <c r="R421" s="6">
        <f t="shared" si="64"/>
        <v>1.9617622130023473</v>
      </c>
      <c r="S421" s="6">
        <f t="shared" si="65"/>
        <v>0.71809305475616292</v>
      </c>
      <c r="T421" s="6">
        <f t="shared" si="66"/>
        <v>0.89131942383944363</v>
      </c>
      <c r="U421" s="6">
        <f t="shared" si="67"/>
        <v>0.92075980197396912</v>
      </c>
      <c r="V421" s="6">
        <f t="shared" si="68"/>
        <v>3.082483772206535</v>
      </c>
      <c r="W421" s="6">
        <f t="shared" si="69"/>
        <v>-1.5280407325718715</v>
      </c>
      <c r="X421" s="6">
        <f t="shared" si="70"/>
        <v>2.1803690407938481</v>
      </c>
    </row>
    <row r="422" spans="1:24" x14ac:dyDescent="0.35">
      <c r="A422" s="2" t="s">
        <v>436</v>
      </c>
      <c r="B422" s="2" t="s">
        <v>459</v>
      </c>
      <c r="C422" s="2">
        <v>5.4</v>
      </c>
      <c r="D422" s="2">
        <v>10.65</v>
      </c>
      <c r="E422" s="2">
        <v>13786</v>
      </c>
      <c r="F422" s="2">
        <v>78.209999999999994</v>
      </c>
      <c r="G422" s="2">
        <v>71.31</v>
      </c>
      <c r="H422" s="2">
        <v>98.21</v>
      </c>
      <c r="I422" s="2">
        <v>99.09</v>
      </c>
      <c r="J422" s="2">
        <v>6.72</v>
      </c>
      <c r="K422" s="2">
        <v>66.94</v>
      </c>
      <c r="L422" s="2">
        <v>5161916</v>
      </c>
      <c r="M422" s="2">
        <v>0</v>
      </c>
      <c r="O422" s="6">
        <f t="shared" si="62"/>
        <v>-0.92239192168533823</v>
      </c>
      <c r="P422" s="6">
        <f t="shared" si="62"/>
        <v>1.3585262711785708</v>
      </c>
      <c r="Q422" s="6">
        <f t="shared" si="63"/>
        <v>1.2750828384709587</v>
      </c>
      <c r="R422" s="6">
        <f t="shared" si="64"/>
        <v>1.2761669523099801</v>
      </c>
      <c r="S422" s="6">
        <f t="shared" si="65"/>
        <v>0.48000534317309818</v>
      </c>
      <c r="T422" s="6">
        <f t="shared" si="66"/>
        <v>1.131550367163096</v>
      </c>
      <c r="U422" s="6">
        <f t="shared" si="67"/>
        <v>0.88952250571120139</v>
      </c>
      <c r="V422" s="6">
        <f t="shared" si="68"/>
        <v>0.63031569681842048</v>
      </c>
      <c r="W422" s="6">
        <f t="shared" si="69"/>
        <v>-0.39505229468498598</v>
      </c>
      <c r="X422" s="6">
        <f t="shared" si="70"/>
        <v>-0.35108146990886402</v>
      </c>
    </row>
    <row r="423" spans="1:24" x14ac:dyDescent="0.35">
      <c r="A423" s="2" t="s">
        <v>436</v>
      </c>
      <c r="B423" s="2" t="s">
        <v>460</v>
      </c>
      <c r="C423" s="2">
        <v>8.14</v>
      </c>
      <c r="D423" s="2">
        <v>10.94</v>
      </c>
      <c r="E423" s="2">
        <v>13117</v>
      </c>
      <c r="F423" s="2">
        <v>78.38</v>
      </c>
      <c r="G423" s="2">
        <v>70.92</v>
      </c>
      <c r="H423" s="2">
        <v>92.09</v>
      </c>
      <c r="I423" s="2">
        <v>96.22</v>
      </c>
      <c r="J423" s="2">
        <v>8.83</v>
      </c>
      <c r="K423" s="2">
        <v>59.95</v>
      </c>
      <c r="L423" s="2">
        <v>5768275</v>
      </c>
      <c r="M423" s="2">
        <v>0</v>
      </c>
      <c r="O423" s="6">
        <f t="shared" si="62"/>
        <v>-0.55467795915568396</v>
      </c>
      <c r="P423" s="6">
        <f t="shared" si="62"/>
        <v>1.5365217760497798</v>
      </c>
      <c r="Q423" s="6">
        <f t="shared" si="63"/>
        <v>1.0286285896143106</v>
      </c>
      <c r="R423" s="6">
        <f t="shared" si="64"/>
        <v>1.3023582319319358</v>
      </c>
      <c r="S423" s="6">
        <f t="shared" si="65"/>
        <v>0.3667685047372492</v>
      </c>
      <c r="T423" s="6">
        <f t="shared" si="66"/>
        <v>0.80190611309566284</v>
      </c>
      <c r="U423" s="6">
        <f t="shared" si="67"/>
        <v>0.70656119902927417</v>
      </c>
      <c r="V423" s="6">
        <f t="shared" si="68"/>
        <v>1.4312560434235169</v>
      </c>
      <c r="W423" s="6">
        <f t="shared" si="69"/>
        <v>-1.4889182036393132</v>
      </c>
      <c r="X423" s="6">
        <f t="shared" si="70"/>
        <v>-0.33841158757055206</v>
      </c>
    </row>
    <row r="424" spans="1:24" x14ac:dyDescent="0.35">
      <c r="A424" s="2" t="s">
        <v>461</v>
      </c>
      <c r="B424" s="2" t="s">
        <v>462</v>
      </c>
      <c r="C424" s="2">
        <v>13.92</v>
      </c>
      <c r="D424" s="2">
        <v>7.92</v>
      </c>
      <c r="E424" s="2">
        <v>7324</v>
      </c>
      <c r="F424" s="2">
        <v>66.319999999999993</v>
      </c>
      <c r="G424" s="2">
        <v>68.39</v>
      </c>
      <c r="H424" s="2">
        <v>79.37</v>
      </c>
      <c r="I424" s="2">
        <v>97.98</v>
      </c>
      <c r="J424" s="2">
        <v>4.74</v>
      </c>
      <c r="K424" s="2">
        <v>64.42</v>
      </c>
      <c r="L424" s="2">
        <v>2847090</v>
      </c>
      <c r="M424" s="2">
        <v>0</v>
      </c>
      <c r="O424" s="6">
        <f t="shared" si="62"/>
        <v>0.22101061873533842</v>
      </c>
      <c r="P424" s="6">
        <f t="shared" si="62"/>
        <v>-0.31708658502281611</v>
      </c>
      <c r="Q424" s="6">
        <f t="shared" si="63"/>
        <v>-1.1054662738035692</v>
      </c>
      <c r="R424" s="6">
        <f t="shared" si="64"/>
        <v>-0.5556819577197375</v>
      </c>
      <c r="S424" s="6">
        <f t="shared" si="65"/>
        <v>-0.36781919075684721</v>
      </c>
      <c r="T424" s="6">
        <f t="shared" si="66"/>
        <v>0.11676315366138909</v>
      </c>
      <c r="U424" s="6">
        <f t="shared" si="67"/>
        <v>0.81876046723840046</v>
      </c>
      <c r="V424" s="6">
        <f t="shared" si="68"/>
        <v>-0.12127761421384972</v>
      </c>
      <c r="W424" s="6">
        <f t="shared" si="69"/>
        <v>-0.78940738632517227</v>
      </c>
      <c r="X424" s="6">
        <f t="shared" si="70"/>
        <v>-0.39944980129945162</v>
      </c>
    </row>
    <row r="425" spans="1:24" x14ac:dyDescent="0.35">
      <c r="A425" s="2" t="s">
        <v>461</v>
      </c>
      <c r="B425" s="2" t="s">
        <v>463</v>
      </c>
      <c r="C425" s="2">
        <v>13.54</v>
      </c>
      <c r="D425" s="2">
        <v>8.4600000000000009</v>
      </c>
      <c r="E425" s="2">
        <v>8218</v>
      </c>
      <c r="F425" s="2">
        <v>69.17</v>
      </c>
      <c r="G425" s="2">
        <v>70.41</v>
      </c>
      <c r="H425" s="2">
        <v>79.849999999999994</v>
      </c>
      <c r="I425" s="2">
        <v>92.1</v>
      </c>
      <c r="J425" s="2">
        <v>4.97</v>
      </c>
      <c r="K425" s="2">
        <v>66.5</v>
      </c>
      <c r="L425" s="2">
        <v>5229546</v>
      </c>
      <c r="M425" s="2">
        <v>0</v>
      </c>
      <c r="O425" s="6">
        <f t="shared" si="62"/>
        <v>0.17001379181516729</v>
      </c>
      <c r="P425" s="6">
        <f t="shared" si="62"/>
        <v>1.4353320599436772E-2</v>
      </c>
      <c r="Q425" s="6">
        <f t="shared" si="63"/>
        <v>-0.77612382465881091</v>
      </c>
      <c r="R425" s="6">
        <f t="shared" si="64"/>
        <v>-0.11659285817518657</v>
      </c>
      <c r="S425" s="6">
        <f t="shared" si="65"/>
        <v>0.21868956216729157</v>
      </c>
      <c r="T425" s="6">
        <f t="shared" si="66"/>
        <v>0.14261760496079509</v>
      </c>
      <c r="U425" s="6">
        <f t="shared" si="67"/>
        <v>0.44391291208518358</v>
      </c>
      <c r="V425" s="6">
        <f t="shared" si="68"/>
        <v>-3.3971320508081118E-2</v>
      </c>
      <c r="W425" s="6">
        <f t="shared" si="69"/>
        <v>-0.46390794560628812</v>
      </c>
      <c r="X425" s="6">
        <f t="shared" si="70"/>
        <v>-0.34966833982826817</v>
      </c>
    </row>
    <row r="426" spans="1:24" x14ac:dyDescent="0.35">
      <c r="A426" s="2" t="s">
        <v>461</v>
      </c>
      <c r="B426" s="2" t="s">
        <v>464</v>
      </c>
      <c r="C426" s="2">
        <v>13.03</v>
      </c>
      <c r="D426" s="2">
        <v>9.2100000000000009</v>
      </c>
      <c r="E426" s="2">
        <v>10151</v>
      </c>
      <c r="F426" s="2">
        <v>71.48</v>
      </c>
      <c r="G426" s="2">
        <v>70.319999999999993</v>
      </c>
      <c r="H426" s="2">
        <v>89.72</v>
      </c>
      <c r="I426" s="2">
        <v>86.3</v>
      </c>
      <c r="J426" s="2">
        <v>4.5599999999999996</v>
      </c>
      <c r="K426" s="2">
        <v>70</v>
      </c>
      <c r="L426" s="2">
        <v>7826408</v>
      </c>
      <c r="M426" s="2">
        <v>0</v>
      </c>
      <c r="O426" s="6">
        <f t="shared" si="62"/>
        <v>0.10157068200125358</v>
      </c>
      <c r="P426" s="6">
        <f t="shared" si="62"/>
        <v>0.47468652285256496</v>
      </c>
      <c r="Q426" s="6">
        <f t="shared" si="63"/>
        <v>-6.4022086183623345E-2</v>
      </c>
      <c r="R426" s="6">
        <f t="shared" si="64"/>
        <v>0.23930041198197502</v>
      </c>
      <c r="S426" s="6">
        <f t="shared" si="65"/>
        <v>0.1925579840667101</v>
      </c>
      <c r="T426" s="6">
        <f t="shared" si="66"/>
        <v>0.6742497598048427</v>
      </c>
      <c r="U426" s="6">
        <f t="shared" si="67"/>
        <v>7.416532366874598E-2</v>
      </c>
      <c r="V426" s="6">
        <f t="shared" si="68"/>
        <v>-0.18960427885314726</v>
      </c>
      <c r="W426" s="6">
        <f t="shared" si="69"/>
        <v>8.3807459449527055E-2</v>
      </c>
      <c r="X426" s="6">
        <f t="shared" si="70"/>
        <v>-0.29540686108575182</v>
      </c>
    </row>
    <row r="427" spans="1:24" x14ac:dyDescent="0.35">
      <c r="A427" s="2" t="s">
        <v>461</v>
      </c>
      <c r="B427" s="2" t="s">
        <v>465</v>
      </c>
      <c r="C427" s="2">
        <v>12.43</v>
      </c>
      <c r="D427" s="2">
        <v>8.99</v>
      </c>
      <c r="E427" s="2">
        <v>12525</v>
      </c>
      <c r="F427" s="2">
        <v>73.56</v>
      </c>
      <c r="G427" s="2">
        <v>71.209999999999994</v>
      </c>
      <c r="H427" s="2">
        <v>87.35</v>
      </c>
      <c r="I427" s="2">
        <v>85.69</v>
      </c>
      <c r="J427" s="2">
        <v>3.62</v>
      </c>
      <c r="K427" s="2">
        <v>69.83</v>
      </c>
      <c r="L427" s="2">
        <v>18999351</v>
      </c>
      <c r="M427" s="2">
        <v>0</v>
      </c>
      <c r="O427" s="6">
        <f t="shared" si="62"/>
        <v>2.1049376337825686E-2</v>
      </c>
      <c r="P427" s="6">
        <f t="shared" si="62"/>
        <v>0.33965545019164695</v>
      </c>
      <c r="Q427" s="6">
        <f t="shared" si="63"/>
        <v>0.81054052485626049</v>
      </c>
      <c r="R427" s="6">
        <f t="shared" si="64"/>
        <v>0.55975842147413724</v>
      </c>
      <c r="S427" s="6">
        <f t="shared" si="65"/>
        <v>0.45097025639467292</v>
      </c>
      <c r="T427" s="6">
        <f t="shared" si="66"/>
        <v>0.54659340651402255</v>
      </c>
      <c r="U427" s="6">
        <f t="shared" si="67"/>
        <v>3.5278077300810312E-2</v>
      </c>
      <c r="V427" s="6">
        <f t="shared" si="68"/>
        <v>-0.54642130530281074</v>
      </c>
      <c r="W427" s="6">
        <f t="shared" si="69"/>
        <v>5.72041397753872E-2</v>
      </c>
      <c r="X427" s="6">
        <f t="shared" si="70"/>
        <v>-6.1948013797814845E-2</v>
      </c>
    </row>
    <row r="428" spans="1:24" x14ac:dyDescent="0.35">
      <c r="A428" s="2" t="s">
        <v>461</v>
      </c>
      <c r="B428" s="2" t="s">
        <v>466</v>
      </c>
      <c r="C428" s="2">
        <v>11.34</v>
      </c>
      <c r="D428" s="2">
        <v>8.11</v>
      </c>
      <c r="E428" s="2">
        <v>9059</v>
      </c>
      <c r="F428" s="2">
        <v>68.58</v>
      </c>
      <c r="G428" s="2">
        <v>70.87</v>
      </c>
      <c r="H428" s="2">
        <v>76.75</v>
      </c>
      <c r="I428" s="2">
        <v>86.99</v>
      </c>
      <c r="J428" s="2">
        <v>2.14</v>
      </c>
      <c r="K428" s="2">
        <v>71.98</v>
      </c>
      <c r="L428" s="2">
        <v>8655572</v>
      </c>
      <c r="M428" s="2">
        <v>0</v>
      </c>
      <c r="O428" s="6">
        <f t="shared" si="62"/>
        <v>-0.12523099561740172</v>
      </c>
      <c r="P428" s="6">
        <f t="shared" si="62"/>
        <v>-0.20046884045202393</v>
      </c>
      <c r="Q428" s="6">
        <f t="shared" si="63"/>
        <v>-0.46630615158191868</v>
      </c>
      <c r="R428" s="6">
        <f t="shared" si="64"/>
        <v>-0.20749200509844473</v>
      </c>
      <c r="S428" s="6">
        <f t="shared" si="65"/>
        <v>0.35225096134803863</v>
      </c>
      <c r="T428" s="6">
        <f t="shared" si="66"/>
        <v>-2.4359059681205286E-2</v>
      </c>
      <c r="U428" s="6">
        <f t="shared" si="67"/>
        <v>0.11815253677345998</v>
      </c>
      <c r="V428" s="6">
        <f t="shared" si="68"/>
        <v>-1.1082183256703664</v>
      </c>
      <c r="W428" s="6">
        <f t="shared" si="69"/>
        <v>0.39365788859538886</v>
      </c>
      <c r="X428" s="6">
        <f t="shared" si="70"/>
        <v>-0.27808146421827878</v>
      </c>
    </row>
    <row r="429" spans="1:24" x14ac:dyDescent="0.35">
      <c r="A429" s="2" t="s">
        <v>461</v>
      </c>
      <c r="B429" s="2" t="s">
        <v>467</v>
      </c>
      <c r="C429" s="2">
        <v>10.76</v>
      </c>
      <c r="D429" s="2">
        <v>8.0399999999999991</v>
      </c>
      <c r="E429" s="2">
        <v>8310</v>
      </c>
      <c r="F429" s="2">
        <v>66.25</v>
      </c>
      <c r="G429" s="2">
        <v>69.09</v>
      </c>
      <c r="H429" s="2">
        <v>82.5</v>
      </c>
      <c r="I429" s="2">
        <v>92.06</v>
      </c>
      <c r="J429" s="2">
        <v>3.17</v>
      </c>
      <c r="K429" s="2">
        <v>72.77</v>
      </c>
      <c r="L429" s="2">
        <v>4873717</v>
      </c>
      <c r="M429" s="2">
        <v>0</v>
      </c>
      <c r="O429" s="6">
        <f t="shared" si="62"/>
        <v>-0.2030682577587154</v>
      </c>
      <c r="P429" s="6">
        <f t="shared" si="62"/>
        <v>-0.24343327266231607</v>
      </c>
      <c r="Q429" s="6">
        <f t="shared" si="63"/>
        <v>-0.74223176054100581</v>
      </c>
      <c r="R429" s="6">
        <f t="shared" si="64"/>
        <v>-0.56646660226995338</v>
      </c>
      <c r="S429" s="6">
        <f t="shared" si="65"/>
        <v>-0.16457358330788699</v>
      </c>
      <c r="T429" s="6">
        <f t="shared" si="66"/>
        <v>0.28535572150960242</v>
      </c>
      <c r="U429" s="6">
        <f t="shared" si="67"/>
        <v>0.44136292871679483</v>
      </c>
      <c r="V429" s="6">
        <f t="shared" si="68"/>
        <v>-0.71723796690105412</v>
      </c>
      <c r="W429" s="6">
        <f t="shared" si="69"/>
        <v>0.51728508002227158</v>
      </c>
      <c r="X429" s="6">
        <f t="shared" si="70"/>
        <v>-0.35710339325793472</v>
      </c>
    </row>
    <row r="430" spans="1:24" x14ac:dyDescent="0.35">
      <c r="A430" s="2" t="s">
        <v>461</v>
      </c>
      <c r="B430" s="2" t="s">
        <v>468</v>
      </c>
      <c r="C430" s="2">
        <v>14.91</v>
      </c>
      <c r="D430" s="2">
        <v>8.16</v>
      </c>
      <c r="E430" s="2">
        <v>9280</v>
      </c>
      <c r="F430" s="2">
        <v>69.87</v>
      </c>
      <c r="G430" s="2">
        <v>70.48</v>
      </c>
      <c r="H430" s="2">
        <v>84.99</v>
      </c>
      <c r="I430" s="2">
        <v>94.22</v>
      </c>
      <c r="J430" s="2">
        <v>2.2999999999999998</v>
      </c>
      <c r="K430" s="2">
        <v>70.63</v>
      </c>
      <c r="L430" s="2">
        <v>3220931</v>
      </c>
      <c r="M430" s="2">
        <v>0</v>
      </c>
      <c r="O430" s="6">
        <f t="shared" si="62"/>
        <v>0.35387077307999454</v>
      </c>
      <c r="P430" s="6">
        <f t="shared" si="62"/>
        <v>-0.16977996030181494</v>
      </c>
      <c r="Q430" s="6">
        <f t="shared" si="63"/>
        <v>-0.38489151929893034</v>
      </c>
      <c r="R430" s="6">
        <f t="shared" si="64"/>
        <v>-8.7464126730160494E-3</v>
      </c>
      <c r="S430" s="6">
        <f t="shared" si="65"/>
        <v>0.23901412291218965</v>
      </c>
      <c r="T430" s="6">
        <f t="shared" si="66"/>
        <v>0.41947568762527365</v>
      </c>
      <c r="U430" s="6">
        <f t="shared" si="67"/>
        <v>0.57906203060981287</v>
      </c>
      <c r="V430" s="6">
        <f t="shared" si="68"/>
        <v>-1.0474835126576578</v>
      </c>
      <c r="W430" s="6">
        <f t="shared" si="69"/>
        <v>0.18239623235957309</v>
      </c>
      <c r="X430" s="6">
        <f t="shared" si="70"/>
        <v>-0.39163838680203855</v>
      </c>
    </row>
    <row r="431" spans="1:24" x14ac:dyDescent="0.35">
      <c r="A431" s="2" t="s">
        <v>461</v>
      </c>
      <c r="B431" s="2" t="s">
        <v>469</v>
      </c>
      <c r="C431" s="2">
        <v>13.79</v>
      </c>
      <c r="D431" s="2">
        <v>8.2200000000000006</v>
      </c>
      <c r="E431" s="2">
        <v>10244</v>
      </c>
      <c r="F431" s="2">
        <v>69.5</v>
      </c>
      <c r="G431" s="2">
        <v>70.36</v>
      </c>
      <c r="H431" s="2">
        <v>86.18</v>
      </c>
      <c r="I431" s="2">
        <v>87.02</v>
      </c>
      <c r="J431" s="2">
        <v>3.18</v>
      </c>
      <c r="K431" s="2">
        <v>79.760000000000005</v>
      </c>
      <c r="L431" s="2">
        <v>6525446</v>
      </c>
      <c r="M431" s="2">
        <v>0</v>
      </c>
      <c r="O431" s="6">
        <f t="shared" si="62"/>
        <v>0.20356433584159561</v>
      </c>
      <c r="P431" s="6">
        <f t="shared" si="62"/>
        <v>-0.13295330412156439</v>
      </c>
      <c r="Q431" s="6">
        <f t="shared" si="63"/>
        <v>-2.9761630064537754E-2</v>
      </c>
      <c r="R431" s="6">
        <f t="shared" si="64"/>
        <v>-6.5750962438449509E-2</v>
      </c>
      <c r="S431" s="6">
        <f t="shared" si="65"/>
        <v>0.20417201877808103</v>
      </c>
      <c r="T431" s="6">
        <f t="shared" si="66"/>
        <v>0.48357318147171974</v>
      </c>
      <c r="U431" s="6">
        <f t="shared" si="67"/>
        <v>0.12006502429975198</v>
      </c>
      <c r="V431" s="6">
        <f t="shared" si="68"/>
        <v>-0.71344204108775977</v>
      </c>
      <c r="W431" s="6">
        <f t="shared" si="69"/>
        <v>1.6111509889766009</v>
      </c>
      <c r="X431" s="6">
        <f t="shared" si="70"/>
        <v>-0.32259048574806409</v>
      </c>
    </row>
    <row r="432" spans="1:24" x14ac:dyDescent="0.35">
      <c r="A432" s="2" t="s">
        <v>461</v>
      </c>
      <c r="B432" s="2" t="s">
        <v>470</v>
      </c>
      <c r="C432" s="2">
        <v>14.89</v>
      </c>
      <c r="D432" s="2">
        <v>8.93</v>
      </c>
      <c r="E432" s="2">
        <v>7496</v>
      </c>
      <c r="F432" s="2">
        <v>68.08</v>
      </c>
      <c r="G432" s="2">
        <v>70.930000000000007</v>
      </c>
      <c r="H432" s="2">
        <v>69.430000000000007</v>
      </c>
      <c r="I432" s="2">
        <v>91.84</v>
      </c>
      <c r="J432" s="2">
        <v>3</v>
      </c>
      <c r="K432" s="2">
        <v>75.63</v>
      </c>
      <c r="L432" s="2">
        <v>2342595</v>
      </c>
      <c r="M432" s="2">
        <v>0</v>
      </c>
      <c r="O432" s="6">
        <f t="shared" si="62"/>
        <v>0.35118672955788033</v>
      </c>
      <c r="P432" s="6">
        <f t="shared" si="62"/>
        <v>0.3028287940113964</v>
      </c>
      <c r="Q432" s="6">
        <f t="shared" si="63"/>
        <v>-1.0421028495833249</v>
      </c>
      <c r="R432" s="6">
        <f t="shared" si="64"/>
        <v>-0.28452518045713765</v>
      </c>
      <c r="S432" s="6">
        <f t="shared" si="65"/>
        <v>0.36967201341509293</v>
      </c>
      <c r="T432" s="6">
        <f t="shared" si="66"/>
        <v>-0.41863944199715492</v>
      </c>
      <c r="U432" s="6">
        <f t="shared" si="67"/>
        <v>0.4273380201906542</v>
      </c>
      <c r="V432" s="6">
        <f t="shared" si="68"/>
        <v>-0.78176870572705714</v>
      </c>
      <c r="W432" s="6">
        <f t="shared" si="69"/>
        <v>0.96484681101073766</v>
      </c>
      <c r="X432" s="6">
        <f t="shared" si="70"/>
        <v>-0.40999123350424566</v>
      </c>
    </row>
    <row r="433" spans="1:24" x14ac:dyDescent="0.35">
      <c r="A433" s="2" t="s">
        <v>461</v>
      </c>
      <c r="B433" s="2" t="s">
        <v>471</v>
      </c>
      <c r="C433" s="2">
        <v>14.32</v>
      </c>
      <c r="D433" s="2">
        <v>9.3000000000000007</v>
      </c>
      <c r="E433" s="2">
        <v>9181</v>
      </c>
      <c r="F433" s="2">
        <v>70.23</v>
      </c>
      <c r="G433" s="2">
        <v>69.53</v>
      </c>
      <c r="H433" s="2">
        <v>76.58</v>
      </c>
      <c r="I433" s="2">
        <v>81.06</v>
      </c>
      <c r="J433" s="2">
        <v>3.36</v>
      </c>
      <c r="K433" s="2">
        <v>70.599999999999994</v>
      </c>
      <c r="L433" s="2">
        <v>2957837</v>
      </c>
      <c r="M433" s="2">
        <v>0</v>
      </c>
      <c r="O433" s="6">
        <f t="shared" si="62"/>
        <v>0.27469148917762376</v>
      </c>
      <c r="P433" s="6">
        <f t="shared" si="62"/>
        <v>0.5299265071229402</v>
      </c>
      <c r="Q433" s="6">
        <f t="shared" si="63"/>
        <v>-0.42136232742569885</v>
      </c>
      <c r="R433" s="6">
        <f t="shared" si="64"/>
        <v>4.6717473585242759E-2</v>
      </c>
      <c r="S433" s="6">
        <f t="shared" si="65"/>
        <v>-3.6819201482827475E-2</v>
      </c>
      <c r="T433" s="6">
        <f t="shared" si="66"/>
        <v>-3.3515844516411868E-2</v>
      </c>
      <c r="U433" s="6">
        <f t="shared" si="67"/>
        <v>-0.25988249759024229</v>
      </c>
      <c r="V433" s="6">
        <f t="shared" si="68"/>
        <v>-0.64511537644846251</v>
      </c>
      <c r="W433" s="6">
        <f t="shared" si="69"/>
        <v>0.17770152888766591</v>
      </c>
      <c r="X433" s="6">
        <f t="shared" si="70"/>
        <v>-0.39713574071929858</v>
      </c>
    </row>
    <row r="434" spans="1:24" x14ac:dyDescent="0.35">
      <c r="A434" s="2" t="s">
        <v>461</v>
      </c>
      <c r="B434" s="2" t="s">
        <v>472</v>
      </c>
      <c r="C434" s="2">
        <v>14.35</v>
      </c>
      <c r="D434" s="2">
        <v>7.84</v>
      </c>
      <c r="E434" s="2">
        <v>7753</v>
      </c>
      <c r="F434" s="2">
        <v>67.760000000000005</v>
      </c>
      <c r="G434" s="2">
        <v>72.819999999999993</v>
      </c>
      <c r="H434" s="2">
        <v>88.41</v>
      </c>
      <c r="I434" s="2">
        <v>93.87</v>
      </c>
      <c r="J434" s="2">
        <v>3.44</v>
      </c>
      <c r="K434" s="2">
        <v>74.790000000000006</v>
      </c>
      <c r="L434" s="2">
        <v>3413957</v>
      </c>
      <c r="M434" s="2">
        <v>0</v>
      </c>
      <c r="O434" s="6">
        <f t="shared" si="62"/>
        <v>0.2787175544607951</v>
      </c>
      <c r="P434" s="6">
        <f t="shared" si="62"/>
        <v>-0.36618879326314979</v>
      </c>
      <c r="Q434" s="6">
        <f t="shared" si="63"/>
        <v>-0.94742610525423887</v>
      </c>
      <c r="R434" s="6">
        <f t="shared" si="64"/>
        <v>-0.33382641268670005</v>
      </c>
      <c r="S434" s="6">
        <f t="shared" si="65"/>
        <v>0.91843515352727934</v>
      </c>
      <c r="T434" s="6">
        <f t="shared" si="66"/>
        <v>0.60368865313354547</v>
      </c>
      <c r="U434" s="6">
        <f t="shared" si="67"/>
        <v>0.55674967613640747</v>
      </c>
      <c r="V434" s="6">
        <f t="shared" si="68"/>
        <v>-0.61474796994210812</v>
      </c>
      <c r="W434" s="6">
        <f t="shared" si="69"/>
        <v>0.83339511379734366</v>
      </c>
      <c r="X434" s="6">
        <f t="shared" si="70"/>
        <v>-0.38760510501973633</v>
      </c>
    </row>
    <row r="435" spans="1:24" x14ac:dyDescent="0.35">
      <c r="A435" s="2" t="s">
        <v>461</v>
      </c>
      <c r="B435" s="2" t="s">
        <v>473</v>
      </c>
      <c r="C435" s="2">
        <v>17.809999999999999</v>
      </c>
      <c r="D435" s="2">
        <v>9.42</v>
      </c>
      <c r="E435" s="2">
        <v>6738</v>
      </c>
      <c r="F435" s="2">
        <v>65.73</v>
      </c>
      <c r="G435" s="2">
        <v>68.430000000000007</v>
      </c>
      <c r="H435" s="2">
        <v>78.38</v>
      </c>
      <c r="I435" s="2">
        <v>97.78</v>
      </c>
      <c r="J435" s="2">
        <v>1.83</v>
      </c>
      <c r="K435" s="2">
        <v>70.760000000000005</v>
      </c>
      <c r="L435" s="2">
        <v>1071100</v>
      </c>
      <c r="M435" s="2">
        <v>0</v>
      </c>
      <c r="O435" s="6">
        <f t="shared" si="62"/>
        <v>0.74305708378656277</v>
      </c>
      <c r="P435" s="6">
        <f t="shared" si="62"/>
        <v>0.60357981948344031</v>
      </c>
      <c r="Q435" s="6">
        <f t="shared" si="63"/>
        <v>-1.3213439865539365</v>
      </c>
      <c r="R435" s="6">
        <f t="shared" si="64"/>
        <v>-0.64658110464299345</v>
      </c>
      <c r="S435" s="6">
        <f t="shared" si="65"/>
        <v>-0.35620515604547631</v>
      </c>
      <c r="T435" s="6">
        <f t="shared" si="66"/>
        <v>6.343834785636257E-2</v>
      </c>
      <c r="U435" s="6">
        <f t="shared" si="67"/>
        <v>0.80601055039645408</v>
      </c>
      <c r="V435" s="6">
        <f t="shared" si="68"/>
        <v>-1.2258920258824895</v>
      </c>
      <c r="W435" s="6">
        <f t="shared" si="69"/>
        <v>0.20273994740450488</v>
      </c>
      <c r="X435" s="6">
        <f t="shared" si="70"/>
        <v>-0.43655914466537615</v>
      </c>
    </row>
    <row r="436" spans="1:24" x14ac:dyDescent="0.35">
      <c r="A436" s="2" t="s">
        <v>461</v>
      </c>
      <c r="B436" s="2" t="s">
        <v>474</v>
      </c>
      <c r="C436" s="2">
        <v>13.96</v>
      </c>
      <c r="D436" s="2">
        <v>7.3</v>
      </c>
      <c r="E436" s="2">
        <v>7502</v>
      </c>
      <c r="F436" s="2">
        <v>65.48</v>
      </c>
      <c r="G436" s="2">
        <v>70.349999999999994</v>
      </c>
      <c r="H436" s="2">
        <v>73.03</v>
      </c>
      <c r="I436" s="2">
        <v>95.18</v>
      </c>
      <c r="J436" s="2">
        <v>2.84</v>
      </c>
      <c r="K436" s="2">
        <v>71.959999999999994</v>
      </c>
      <c r="L436" s="2">
        <v>1926498</v>
      </c>
      <c r="M436" s="2">
        <v>0</v>
      </c>
      <c r="O436" s="6">
        <f t="shared" si="62"/>
        <v>0.22637870577956709</v>
      </c>
      <c r="P436" s="6">
        <f t="shared" si="62"/>
        <v>-0.69762869888540213</v>
      </c>
      <c r="Q436" s="6">
        <f t="shared" si="63"/>
        <v>-1.0398924975756421</v>
      </c>
      <c r="R436" s="6">
        <f t="shared" si="64"/>
        <v>-0.68509769232233986</v>
      </c>
      <c r="S436" s="6">
        <f t="shared" si="65"/>
        <v>0.20126851010023725</v>
      </c>
      <c r="T436" s="6">
        <f t="shared" si="66"/>
        <v>-0.22473105725160605</v>
      </c>
      <c r="U436" s="6">
        <f t="shared" si="67"/>
        <v>0.64026163145115478</v>
      </c>
      <c r="V436" s="6">
        <f t="shared" si="68"/>
        <v>-0.84250351873976592</v>
      </c>
      <c r="W436" s="6">
        <f t="shared" si="69"/>
        <v>0.39052808628078256</v>
      </c>
      <c r="X436" s="6">
        <f t="shared" si="70"/>
        <v>-0.4186855878905491</v>
      </c>
    </row>
    <row r="437" spans="1:24" x14ac:dyDescent="0.35">
      <c r="A437" s="2" t="s">
        <v>461</v>
      </c>
      <c r="B437" s="2" t="s">
        <v>475</v>
      </c>
      <c r="C437" s="2">
        <v>15.8</v>
      </c>
      <c r="D437" s="2">
        <v>7.31</v>
      </c>
      <c r="E437" s="2">
        <v>7244</v>
      </c>
      <c r="F437" s="2">
        <v>64.55</v>
      </c>
      <c r="G437" s="2">
        <v>67.69</v>
      </c>
      <c r="H437" s="2">
        <v>86.51</v>
      </c>
      <c r="I437" s="2">
        <v>92.15</v>
      </c>
      <c r="J437" s="2">
        <v>3.77</v>
      </c>
      <c r="K437" s="2">
        <v>63.93</v>
      </c>
      <c r="L437" s="2">
        <v>1760036</v>
      </c>
      <c r="M437" s="2">
        <v>0</v>
      </c>
      <c r="O437" s="6">
        <f t="shared" si="62"/>
        <v>0.47331070981407941</v>
      </c>
      <c r="P437" s="6">
        <f t="shared" si="62"/>
        <v>-0.69149092285536051</v>
      </c>
      <c r="Q437" s="6">
        <f t="shared" si="63"/>
        <v>-1.1349376339060084</v>
      </c>
      <c r="R437" s="6">
        <f t="shared" si="64"/>
        <v>-0.8283793984895097</v>
      </c>
      <c r="S437" s="6">
        <f t="shared" si="65"/>
        <v>-0.57106479820580747</v>
      </c>
      <c r="T437" s="6">
        <f t="shared" si="66"/>
        <v>0.50134811674006163</v>
      </c>
      <c r="U437" s="6">
        <f t="shared" si="67"/>
        <v>0.44710039129567081</v>
      </c>
      <c r="V437" s="6">
        <f t="shared" si="68"/>
        <v>-0.48948241810339638</v>
      </c>
      <c r="W437" s="6">
        <f t="shared" si="69"/>
        <v>-0.86608754303298674</v>
      </c>
      <c r="X437" s="6">
        <f t="shared" si="70"/>
        <v>-0.42216381440949263</v>
      </c>
    </row>
    <row r="438" spans="1:24" x14ac:dyDescent="0.35">
      <c r="A438" s="2" t="s">
        <v>461</v>
      </c>
      <c r="B438" s="2" t="s">
        <v>476</v>
      </c>
      <c r="C438" s="2">
        <v>14.62</v>
      </c>
      <c r="D438" s="2">
        <v>7.54</v>
      </c>
      <c r="E438" s="2">
        <v>7279</v>
      </c>
      <c r="F438" s="2">
        <v>64.989999999999995</v>
      </c>
      <c r="G438" s="2">
        <v>67.69</v>
      </c>
      <c r="H438" s="2">
        <v>87.22</v>
      </c>
      <c r="I438" s="2">
        <v>96.12</v>
      </c>
      <c r="J438" s="2">
        <v>3.92</v>
      </c>
      <c r="K438" s="2">
        <v>73.400000000000006</v>
      </c>
      <c r="L438" s="2">
        <v>2080195</v>
      </c>
      <c r="M438" s="2">
        <v>0</v>
      </c>
      <c r="O438" s="6">
        <f t="shared" si="62"/>
        <v>0.31495214200933758</v>
      </c>
      <c r="P438" s="6">
        <f t="shared" si="62"/>
        <v>-0.55032207416440093</v>
      </c>
      <c r="Q438" s="6">
        <f t="shared" si="63"/>
        <v>-1.1220439138611913</v>
      </c>
      <c r="R438" s="6">
        <f t="shared" si="64"/>
        <v>-0.76059020417386036</v>
      </c>
      <c r="S438" s="6">
        <f t="shared" si="65"/>
        <v>-0.57106479820580747</v>
      </c>
      <c r="T438" s="6">
        <f t="shared" si="66"/>
        <v>0.53959115928710022</v>
      </c>
      <c r="U438" s="6">
        <f t="shared" si="67"/>
        <v>0.70018624060830148</v>
      </c>
      <c r="V438" s="6">
        <f t="shared" si="68"/>
        <v>-0.43254353090398201</v>
      </c>
      <c r="W438" s="6">
        <f t="shared" si="69"/>
        <v>0.61587385293231978</v>
      </c>
      <c r="X438" s="6">
        <f t="shared" si="70"/>
        <v>-0.41547408627887761</v>
      </c>
    </row>
    <row r="439" spans="1:24" x14ac:dyDescent="0.35">
      <c r="A439" s="2" t="s">
        <v>461</v>
      </c>
      <c r="B439" s="2" t="s">
        <v>477</v>
      </c>
      <c r="C439" s="2">
        <v>4.87</v>
      </c>
      <c r="D439" s="2">
        <v>12.51</v>
      </c>
      <c r="E439" s="2">
        <v>14356</v>
      </c>
      <c r="F439" s="2">
        <v>84.15</v>
      </c>
      <c r="G439" s="2">
        <v>73.83</v>
      </c>
      <c r="H439" s="2">
        <v>96.57</v>
      </c>
      <c r="I439" s="2">
        <v>98.84</v>
      </c>
      <c r="J439" s="2">
        <v>5.19</v>
      </c>
      <c r="K439" s="2">
        <v>65.34</v>
      </c>
      <c r="L439" s="2">
        <v>17165185</v>
      </c>
      <c r="M439" s="2">
        <v>0</v>
      </c>
      <c r="O439" s="6">
        <f t="shared" si="62"/>
        <v>-0.99351907502136627</v>
      </c>
      <c r="P439" s="6">
        <f t="shared" si="62"/>
        <v>2.5001526127663283</v>
      </c>
      <c r="Q439" s="6">
        <f t="shared" si="63"/>
        <v>1.485066279200838</v>
      </c>
      <c r="R439" s="6">
        <f t="shared" si="64"/>
        <v>2.1913210755712536</v>
      </c>
      <c r="S439" s="6">
        <f t="shared" si="65"/>
        <v>1.2116895299893509</v>
      </c>
      <c r="T439" s="6">
        <f t="shared" si="66"/>
        <v>1.0432143252234567</v>
      </c>
      <c r="U439" s="6">
        <f t="shared" si="67"/>
        <v>0.87358510965876879</v>
      </c>
      <c r="V439" s="6">
        <f t="shared" si="68"/>
        <v>4.953904738439361E-2</v>
      </c>
      <c r="W439" s="6">
        <f t="shared" si="69"/>
        <v>-0.64543647985335773</v>
      </c>
      <c r="X439" s="6">
        <f t="shared" si="70"/>
        <v>-0.10027294574231024</v>
      </c>
    </row>
    <row r="440" spans="1:24" x14ac:dyDescent="0.35">
      <c r="A440" s="2" t="s">
        <v>461</v>
      </c>
      <c r="B440" s="2" t="s">
        <v>478</v>
      </c>
      <c r="C440" s="2">
        <v>7.78</v>
      </c>
      <c r="D440" s="2">
        <v>10.91</v>
      </c>
      <c r="E440" s="2">
        <v>10503</v>
      </c>
      <c r="F440" s="2">
        <v>76.260000000000005</v>
      </c>
      <c r="G440" s="2">
        <v>71.25</v>
      </c>
      <c r="H440" s="2">
        <v>96.68</v>
      </c>
      <c r="I440" s="2">
        <v>99.67</v>
      </c>
      <c r="J440" s="2">
        <v>6.87</v>
      </c>
      <c r="K440" s="2">
        <v>68.95</v>
      </c>
      <c r="L440" s="2">
        <v>6844689</v>
      </c>
      <c r="M440" s="2">
        <v>0</v>
      </c>
      <c r="O440" s="6">
        <f t="shared" si="62"/>
        <v>-0.60299074255374074</v>
      </c>
      <c r="P440" s="6">
        <f t="shared" si="62"/>
        <v>1.5181084479596552</v>
      </c>
      <c r="Q440" s="6">
        <f t="shared" si="63"/>
        <v>6.565189826710921E-2</v>
      </c>
      <c r="R440" s="6">
        <f t="shared" si="64"/>
        <v>0.97573756841107939</v>
      </c>
      <c r="S440" s="6">
        <f t="shared" si="65"/>
        <v>0.46258429110604382</v>
      </c>
      <c r="T440" s="6">
        <f t="shared" si="66"/>
        <v>1.0491393036462382</v>
      </c>
      <c r="U440" s="6">
        <f t="shared" si="67"/>
        <v>0.92649726455284509</v>
      </c>
      <c r="V440" s="6">
        <f t="shared" si="68"/>
        <v>0.68725458401783501</v>
      </c>
      <c r="W440" s="6">
        <f t="shared" si="69"/>
        <v>-8.0507162067217045E-2</v>
      </c>
      <c r="X440" s="6">
        <f t="shared" si="70"/>
        <v>-0.31591989745411653</v>
      </c>
    </row>
    <row r="441" spans="1:24" x14ac:dyDescent="0.35">
      <c r="A441" s="2" t="s">
        <v>479</v>
      </c>
      <c r="B441" s="2" t="s">
        <v>480</v>
      </c>
      <c r="C441" s="2">
        <v>19</v>
      </c>
      <c r="D441" s="2">
        <v>7</v>
      </c>
      <c r="E441" s="2">
        <v>8940</v>
      </c>
      <c r="F441" s="2">
        <v>66.42</v>
      </c>
      <c r="G441" s="2">
        <v>69.3</v>
      </c>
      <c r="H441" s="2">
        <v>68.819999999999993</v>
      </c>
      <c r="I441" s="2">
        <v>94.21</v>
      </c>
      <c r="J441" s="2">
        <v>3.57</v>
      </c>
      <c r="K441" s="2">
        <v>65.56</v>
      </c>
      <c r="L441" s="2">
        <v>3567638</v>
      </c>
      <c r="M441" s="2">
        <v>0</v>
      </c>
      <c r="O441" s="6">
        <f t="shared" si="62"/>
        <v>0.90275767335236168</v>
      </c>
      <c r="P441" s="6">
        <f t="shared" si="62"/>
        <v>-0.88176197978665327</v>
      </c>
      <c r="Q441" s="6">
        <f t="shared" si="63"/>
        <v>-0.51014479973429705</v>
      </c>
      <c r="R441" s="6">
        <f t="shared" si="64"/>
        <v>-0.5402753226479976</v>
      </c>
      <c r="S441" s="6">
        <f t="shared" si="65"/>
        <v>-0.103599901073201</v>
      </c>
      <c r="T441" s="6">
        <f t="shared" si="66"/>
        <v>-0.4514961405234848</v>
      </c>
      <c r="U441" s="6">
        <f t="shared" si="67"/>
        <v>0.57842453476771516</v>
      </c>
      <c r="V441" s="6">
        <f t="shared" si="68"/>
        <v>-0.5654009343692824</v>
      </c>
      <c r="W441" s="6">
        <f t="shared" si="69"/>
        <v>-0.61100865439270668</v>
      </c>
      <c r="X441" s="6">
        <f t="shared" si="70"/>
        <v>-0.38439393772835595</v>
      </c>
    </row>
    <row r="442" spans="1:24" x14ac:dyDescent="0.35">
      <c r="A442" s="2" t="s">
        <v>479</v>
      </c>
      <c r="B442" s="2" t="s">
        <v>481</v>
      </c>
      <c r="C442" s="2">
        <v>17.89</v>
      </c>
      <c r="D442" s="2">
        <v>7.3</v>
      </c>
      <c r="E442" s="2">
        <v>9412</v>
      </c>
      <c r="F442" s="2">
        <v>67.34</v>
      </c>
      <c r="G442" s="2">
        <v>67.69</v>
      </c>
      <c r="H442" s="2">
        <v>76.819999999999993</v>
      </c>
      <c r="I442" s="2">
        <v>95.11</v>
      </c>
      <c r="J442" s="2">
        <v>2.12</v>
      </c>
      <c r="K442" s="2">
        <v>65.13</v>
      </c>
      <c r="L442" s="2">
        <v>9082312</v>
      </c>
      <c r="M442" s="2">
        <v>0</v>
      </c>
      <c r="O442" s="6">
        <f t="shared" si="62"/>
        <v>0.75379325787502005</v>
      </c>
      <c r="P442" s="6">
        <f t="shared" si="62"/>
        <v>-0.69762869888540213</v>
      </c>
      <c r="Q442" s="6">
        <f t="shared" si="63"/>
        <v>-0.33626377512990563</v>
      </c>
      <c r="R442" s="6">
        <f t="shared" si="64"/>
        <v>-0.39853427998800234</v>
      </c>
      <c r="S442" s="6">
        <f t="shared" si="65"/>
        <v>-0.57106479820580747</v>
      </c>
      <c r="T442" s="6">
        <f t="shared" si="66"/>
        <v>-2.0588618866708864E-2</v>
      </c>
      <c r="U442" s="6">
        <f t="shared" si="67"/>
        <v>0.63579916055647312</v>
      </c>
      <c r="V442" s="6">
        <f t="shared" si="68"/>
        <v>-1.1158101772969551</v>
      </c>
      <c r="W442" s="6">
        <f t="shared" si="69"/>
        <v>-0.67829940415670786</v>
      </c>
      <c r="X442" s="6">
        <f t="shared" si="70"/>
        <v>-0.26916472415331522</v>
      </c>
    </row>
    <row r="443" spans="1:24" x14ac:dyDescent="0.35">
      <c r="A443" s="2" t="s">
        <v>479</v>
      </c>
      <c r="B443" s="2" t="s">
        <v>482</v>
      </c>
      <c r="C443" s="2">
        <v>18.079999999999998</v>
      </c>
      <c r="D443" s="2">
        <v>7.26</v>
      </c>
      <c r="E443" s="2">
        <v>10409</v>
      </c>
      <c r="F443" s="2">
        <v>65.8</v>
      </c>
      <c r="G443" s="2">
        <v>64.3</v>
      </c>
      <c r="H443" s="2">
        <v>76.12</v>
      </c>
      <c r="I443" s="2">
        <v>93.13</v>
      </c>
      <c r="J443" s="2">
        <v>2.4500000000000002</v>
      </c>
      <c r="K443" s="2">
        <v>70.09</v>
      </c>
      <c r="L443" s="2">
        <v>4703613</v>
      </c>
      <c r="M443" s="2">
        <v>0</v>
      </c>
      <c r="O443" s="6">
        <f t="shared" si="62"/>
        <v>0.77929167133510524</v>
      </c>
      <c r="P443" s="6">
        <f t="shared" si="62"/>
        <v>-0.72217980300556894</v>
      </c>
      <c r="Q443" s="6">
        <f t="shared" si="63"/>
        <v>3.1023050146743131E-2</v>
      </c>
      <c r="R443" s="6">
        <f t="shared" si="64"/>
        <v>-0.63579646009277746</v>
      </c>
      <c r="S443" s="6">
        <f t="shared" si="65"/>
        <v>-1.5553542399943394</v>
      </c>
      <c r="T443" s="6">
        <f t="shared" si="66"/>
        <v>-5.829302701167615E-2</v>
      </c>
      <c r="U443" s="6">
        <f t="shared" si="67"/>
        <v>0.50957498382120625</v>
      </c>
      <c r="V443" s="6">
        <f t="shared" si="68"/>
        <v>-0.99054462545824329</v>
      </c>
      <c r="W443" s="6">
        <f t="shared" si="69"/>
        <v>9.7891569865248551E-2</v>
      </c>
      <c r="X443" s="6">
        <f t="shared" si="70"/>
        <v>-0.36065771943314812</v>
      </c>
    </row>
    <row r="444" spans="1:24" x14ac:dyDescent="0.35">
      <c r="A444" s="2" t="s">
        <v>479</v>
      </c>
      <c r="B444" s="2" t="s">
        <v>483</v>
      </c>
      <c r="C444" s="2">
        <v>16.3</v>
      </c>
      <c r="D444" s="2">
        <v>8.32</v>
      </c>
      <c r="E444" s="2">
        <v>10198</v>
      </c>
      <c r="F444" s="2">
        <v>70.25</v>
      </c>
      <c r="G444" s="2">
        <v>68.52</v>
      </c>
      <c r="H444" s="2">
        <v>73.709999999999994</v>
      </c>
      <c r="I444" s="2">
        <v>93.72</v>
      </c>
      <c r="J444" s="2">
        <v>3.45</v>
      </c>
      <c r="K444" s="2">
        <v>65.09</v>
      </c>
      <c r="L444" s="2">
        <v>3224680</v>
      </c>
      <c r="M444" s="2">
        <v>0</v>
      </c>
      <c r="O444" s="6">
        <f t="shared" si="62"/>
        <v>0.54041179786693605</v>
      </c>
      <c r="P444" s="6">
        <f t="shared" si="62"/>
        <v>-7.1575543821147503E-2</v>
      </c>
      <c r="Q444" s="6">
        <f t="shared" si="63"/>
        <v>-4.6707662123440304E-2</v>
      </c>
      <c r="R444" s="6">
        <f t="shared" si="64"/>
        <v>4.9798800599589861E-2</v>
      </c>
      <c r="S444" s="6">
        <f t="shared" si="65"/>
        <v>-0.33007357794489894</v>
      </c>
      <c r="T444" s="6">
        <f t="shared" si="66"/>
        <v>-0.18810391791078049</v>
      </c>
      <c r="U444" s="6">
        <f t="shared" si="67"/>
        <v>0.54718723850494755</v>
      </c>
      <c r="V444" s="6">
        <f t="shared" si="68"/>
        <v>-0.61095204412881376</v>
      </c>
      <c r="W444" s="6">
        <f t="shared" si="69"/>
        <v>-0.68455900878591602</v>
      </c>
      <c r="X444" s="6">
        <f t="shared" si="70"/>
        <v>-0.39156005137882177</v>
      </c>
    </row>
    <row r="445" spans="1:24" x14ac:dyDescent="0.35">
      <c r="A445" s="2" t="s">
        <v>479</v>
      </c>
      <c r="B445" s="2" t="s">
        <v>484</v>
      </c>
      <c r="C445" s="2">
        <v>17.23</v>
      </c>
      <c r="D445" s="2">
        <v>7.15</v>
      </c>
      <c r="E445" s="2">
        <v>9064</v>
      </c>
      <c r="F445" s="2">
        <v>65.209999999999994</v>
      </c>
      <c r="G445" s="2">
        <v>65.930000000000007</v>
      </c>
      <c r="H445" s="2">
        <v>79.03</v>
      </c>
      <c r="I445" s="2">
        <v>86.23</v>
      </c>
      <c r="J445" s="2">
        <v>2.2999999999999998</v>
      </c>
      <c r="K445" s="2">
        <v>68.569999999999993</v>
      </c>
      <c r="L445" s="2">
        <v>2376146</v>
      </c>
      <c r="M445" s="2">
        <v>0</v>
      </c>
      <c r="O445" s="6">
        <f t="shared" si="62"/>
        <v>0.66521982164524929</v>
      </c>
      <c r="P445" s="6">
        <f t="shared" si="62"/>
        <v>-0.78969533933602742</v>
      </c>
      <c r="Q445" s="6">
        <f t="shared" si="63"/>
        <v>-0.46446419157551622</v>
      </c>
      <c r="R445" s="6">
        <f t="shared" si="64"/>
        <v>-0.72669560701603564</v>
      </c>
      <c r="S445" s="6">
        <f t="shared" si="65"/>
        <v>-1.0820823255060454</v>
      </c>
      <c r="T445" s="6">
        <f t="shared" si="66"/>
        <v>9.844958399097592E-2</v>
      </c>
      <c r="U445" s="6">
        <f t="shared" si="67"/>
        <v>6.9702852774065266E-2</v>
      </c>
      <c r="V445" s="6">
        <f t="shared" si="68"/>
        <v>-1.0474835126576578</v>
      </c>
      <c r="W445" s="6">
        <f t="shared" si="69"/>
        <v>-0.13997340604470707</v>
      </c>
      <c r="X445" s="6">
        <f t="shared" si="70"/>
        <v>-0.40929018474875145</v>
      </c>
    </row>
    <row r="446" spans="1:24" x14ac:dyDescent="0.35">
      <c r="A446" s="2" t="s">
        <v>479</v>
      </c>
      <c r="B446" s="2" t="s">
        <v>485</v>
      </c>
      <c r="C446" s="2">
        <v>5.93</v>
      </c>
      <c r="D446" s="2">
        <v>10.37</v>
      </c>
      <c r="E446" s="2">
        <v>12390</v>
      </c>
      <c r="F446" s="2">
        <v>77.41</v>
      </c>
      <c r="G446" s="2">
        <v>72.53</v>
      </c>
      <c r="H446" s="2">
        <v>92.9</v>
      </c>
      <c r="I446" s="2">
        <v>99.62</v>
      </c>
      <c r="J446" s="2">
        <v>4.55</v>
      </c>
      <c r="K446" s="2">
        <v>63.97</v>
      </c>
      <c r="L446" s="2">
        <v>6345632</v>
      </c>
      <c r="M446" s="2">
        <v>0</v>
      </c>
      <c r="O446" s="6">
        <f t="shared" si="62"/>
        <v>-0.85126476834931031</v>
      </c>
      <c r="P446" s="6">
        <f t="shared" si="62"/>
        <v>1.1866685423374022</v>
      </c>
      <c r="Q446" s="6">
        <f t="shared" si="63"/>
        <v>0.76080760468339426</v>
      </c>
      <c r="R446" s="6">
        <f t="shared" si="64"/>
        <v>1.1529138717360718</v>
      </c>
      <c r="S446" s="6">
        <f t="shared" si="65"/>
        <v>0.83423340186985562</v>
      </c>
      <c r="T446" s="6">
        <f t="shared" si="66"/>
        <v>0.84553549966341146</v>
      </c>
      <c r="U446" s="6">
        <f t="shared" si="67"/>
        <v>0.92330978534235875</v>
      </c>
      <c r="V446" s="6">
        <f t="shared" si="68"/>
        <v>-0.19340020466644148</v>
      </c>
      <c r="W446" s="6">
        <f t="shared" si="69"/>
        <v>-0.85982793840377758</v>
      </c>
      <c r="X446" s="6">
        <f t="shared" si="70"/>
        <v>-0.32634770254996071</v>
      </c>
    </row>
    <row r="447" spans="1:24" x14ac:dyDescent="0.35">
      <c r="A447" s="2" t="s">
        <v>486</v>
      </c>
      <c r="B447" s="2" t="s">
        <v>487</v>
      </c>
      <c r="C447" s="2">
        <v>14.34</v>
      </c>
      <c r="D447" s="2">
        <v>8.91</v>
      </c>
      <c r="E447" s="2">
        <v>10028</v>
      </c>
      <c r="F447" s="2">
        <v>67.290000000000006</v>
      </c>
      <c r="G447" s="2">
        <v>61.77</v>
      </c>
      <c r="H447" s="2">
        <v>79.739999999999995</v>
      </c>
      <c r="I447" s="2">
        <v>94.6</v>
      </c>
      <c r="J447" s="2">
        <v>2.85</v>
      </c>
      <c r="K447" s="2">
        <v>65.349999999999994</v>
      </c>
      <c r="L447" s="2">
        <v>3598959</v>
      </c>
      <c r="M447" s="2">
        <v>0</v>
      </c>
      <c r="O447" s="6">
        <f t="shared" si="62"/>
        <v>0.27737553269973797</v>
      </c>
      <c r="P447" s="6">
        <f t="shared" si="62"/>
        <v>0.29055324195131327</v>
      </c>
      <c r="Q447" s="6">
        <f t="shared" si="63"/>
        <v>-0.10933430234112365</v>
      </c>
      <c r="R447" s="6">
        <f t="shared" si="64"/>
        <v>-0.40623759752387117</v>
      </c>
      <c r="S447" s="6">
        <f t="shared" si="65"/>
        <v>-2.2899419354884336</v>
      </c>
      <c r="T447" s="6">
        <f t="shared" si="66"/>
        <v>0.13669262653801445</v>
      </c>
      <c r="U447" s="6">
        <f t="shared" si="67"/>
        <v>0.60328687260951019</v>
      </c>
      <c r="V447" s="6">
        <f t="shared" si="68"/>
        <v>-0.83870759292647146</v>
      </c>
      <c r="W447" s="6">
        <f t="shared" si="69"/>
        <v>-0.64387157869605682</v>
      </c>
      <c r="X447" s="6">
        <f t="shared" si="70"/>
        <v>-0.38373948486343884</v>
      </c>
    </row>
    <row r="448" spans="1:24" x14ac:dyDescent="0.35">
      <c r="A448" s="2" t="s">
        <v>486</v>
      </c>
      <c r="B448" s="2" t="s">
        <v>488</v>
      </c>
      <c r="C448" s="2">
        <v>15.68</v>
      </c>
      <c r="D448" s="2">
        <v>7.44</v>
      </c>
      <c r="E448" s="2">
        <v>8548</v>
      </c>
      <c r="F448" s="2">
        <v>64.23</v>
      </c>
      <c r="G448" s="2">
        <v>62.53</v>
      </c>
      <c r="H448" s="2">
        <v>86.31</v>
      </c>
      <c r="I448" s="2">
        <v>83.88</v>
      </c>
      <c r="J448" s="2">
        <v>3.38</v>
      </c>
      <c r="K448" s="2">
        <v>68.98</v>
      </c>
      <c r="L448" s="2">
        <v>9414992</v>
      </c>
      <c r="M448" s="2">
        <v>0</v>
      </c>
      <c r="O448" s="6">
        <f t="shared" si="62"/>
        <v>0.45720644868139365</v>
      </c>
      <c r="P448" s="6">
        <f t="shared" si="62"/>
        <v>-0.6116998344648179</v>
      </c>
      <c r="Q448" s="6">
        <f t="shared" si="63"/>
        <v>-0.65455446423624919</v>
      </c>
      <c r="R448" s="6">
        <f t="shared" si="64"/>
        <v>-0.87768063071907221</v>
      </c>
      <c r="S448" s="6">
        <f t="shared" si="65"/>
        <v>-2.0692752759724216</v>
      </c>
      <c r="T448" s="6">
        <f t="shared" si="66"/>
        <v>0.49057542869864212</v>
      </c>
      <c r="U448" s="6">
        <f t="shared" si="67"/>
        <v>-8.0108670118802308E-2</v>
      </c>
      <c r="V448" s="6">
        <f t="shared" si="68"/>
        <v>-0.63752352482187391</v>
      </c>
      <c r="W448" s="6">
        <f t="shared" si="69"/>
        <v>-7.5812458595309884E-2</v>
      </c>
      <c r="X448" s="6">
        <f t="shared" si="70"/>
        <v>-0.26221336949986795</v>
      </c>
    </row>
    <row r="449" spans="1:24" x14ac:dyDescent="0.35">
      <c r="A449" s="2" t="s">
        <v>486</v>
      </c>
      <c r="B449" s="2" t="s">
        <v>489</v>
      </c>
      <c r="C449" s="2">
        <v>13.77</v>
      </c>
      <c r="D449" s="2">
        <v>7.88</v>
      </c>
      <c r="E449" s="2">
        <v>7736</v>
      </c>
      <c r="F449" s="2">
        <v>66.63</v>
      </c>
      <c r="G449" s="2">
        <v>70.94</v>
      </c>
      <c r="H449" s="2">
        <v>63.08</v>
      </c>
      <c r="I449" s="2">
        <v>31.51</v>
      </c>
      <c r="J449" s="2">
        <v>2.1800000000000002</v>
      </c>
      <c r="K449" s="2">
        <v>80.239999999999995</v>
      </c>
      <c r="L449" s="2">
        <v>2255608</v>
      </c>
      <c r="M449" s="2">
        <v>0</v>
      </c>
      <c r="O449" s="6">
        <f t="shared" si="62"/>
        <v>0.2008802923194814</v>
      </c>
      <c r="P449" s="6">
        <f t="shared" si="62"/>
        <v>-0.34163768914298293</v>
      </c>
      <c r="Q449" s="6">
        <f t="shared" si="63"/>
        <v>-0.95368876927600721</v>
      </c>
      <c r="R449" s="6">
        <f t="shared" si="64"/>
        <v>-0.50792138899734751</v>
      </c>
      <c r="S449" s="6">
        <f t="shared" si="65"/>
        <v>0.3725755220929326</v>
      </c>
      <c r="T449" s="6">
        <f t="shared" si="66"/>
        <v>-0.76067228731222125</v>
      </c>
      <c r="U449" s="6">
        <f t="shared" si="67"/>
        <v>-3.4186743951823959</v>
      </c>
      <c r="V449" s="6">
        <f t="shared" si="68"/>
        <v>-1.0930346224171892</v>
      </c>
      <c r="W449" s="6">
        <f t="shared" si="69"/>
        <v>1.6862662445271113</v>
      </c>
      <c r="X449" s="6">
        <f t="shared" si="70"/>
        <v>-0.41180882845206157</v>
      </c>
    </row>
    <row r="450" spans="1:24" x14ac:dyDescent="0.35">
      <c r="A450" s="2" t="s">
        <v>486</v>
      </c>
      <c r="B450" s="2" t="s">
        <v>490</v>
      </c>
      <c r="C450" s="2">
        <v>7.46</v>
      </c>
      <c r="D450" s="2">
        <v>7.96</v>
      </c>
      <c r="E450" s="2">
        <v>9494</v>
      </c>
      <c r="F450" s="2">
        <v>68.319999999999993</v>
      </c>
      <c r="G450" s="2">
        <v>67.77</v>
      </c>
      <c r="H450" s="2">
        <v>80.47</v>
      </c>
      <c r="I450" s="2">
        <v>82.91</v>
      </c>
      <c r="J450" s="2">
        <v>3.79</v>
      </c>
      <c r="K450" s="2">
        <v>70.239999999999995</v>
      </c>
      <c r="L450" s="2">
        <v>8342016</v>
      </c>
      <c r="M450" s="2">
        <v>0</v>
      </c>
      <c r="O450" s="6">
        <f t="shared" si="62"/>
        <v>-0.64593543890756899</v>
      </c>
      <c r="P450" s="6">
        <f t="shared" si="62"/>
        <v>-0.29253548090264925</v>
      </c>
      <c r="Q450" s="6">
        <f t="shared" si="63"/>
        <v>-0.30605563102490541</v>
      </c>
      <c r="R450" s="6">
        <f t="shared" si="64"/>
        <v>-0.24754925628496582</v>
      </c>
      <c r="S450" s="6">
        <f t="shared" si="65"/>
        <v>-0.54783672878306966</v>
      </c>
      <c r="T450" s="6">
        <f t="shared" si="66"/>
        <v>0.17601293788919548</v>
      </c>
      <c r="U450" s="6">
        <f t="shared" si="67"/>
        <v>-0.14194576680224097</v>
      </c>
      <c r="V450" s="6">
        <f t="shared" si="68"/>
        <v>-0.48189056647680778</v>
      </c>
      <c r="W450" s="6">
        <f t="shared" si="69"/>
        <v>0.12136508722478216</v>
      </c>
      <c r="X450" s="6">
        <f t="shared" si="70"/>
        <v>-0.28463322254374562</v>
      </c>
    </row>
    <row r="451" spans="1:24" x14ac:dyDescent="0.35">
      <c r="A451" s="2" t="s">
        <v>486</v>
      </c>
      <c r="B451" s="2" t="s">
        <v>491</v>
      </c>
      <c r="C451" s="2">
        <v>4.7699999999999996</v>
      </c>
      <c r="D451" s="2">
        <v>8.09</v>
      </c>
      <c r="E451" s="2">
        <v>11072</v>
      </c>
      <c r="F451" s="2">
        <v>68.03</v>
      </c>
      <c r="G451" s="2">
        <v>66.45</v>
      </c>
      <c r="H451" s="2">
        <v>79.180000000000007</v>
      </c>
      <c r="I451" s="2">
        <v>87.36</v>
      </c>
      <c r="J451" s="2">
        <v>3.13</v>
      </c>
      <c r="K451" s="2">
        <v>69.03</v>
      </c>
      <c r="L451" s="2">
        <v>7389296</v>
      </c>
      <c r="M451" s="2">
        <v>0</v>
      </c>
      <c r="O451" s="6">
        <f t="shared" ref="O451:P514" si="71">(C451 - C$516) / C$517</f>
        <v>-1.0069392926319376</v>
      </c>
      <c r="P451" s="6">
        <f t="shared" si="71"/>
        <v>-0.21274439251210708</v>
      </c>
      <c r="Q451" s="6">
        <f t="shared" ref="Q451:Q514" si="72">(E451 - E$516) / E$517</f>
        <v>0.27526694699570814</v>
      </c>
      <c r="R451" s="6">
        <f t="shared" ref="R451:R514" si="73">(F451 - F$516) / F$517</f>
        <v>-0.29222849799300649</v>
      </c>
      <c r="S451" s="6">
        <f t="shared" ref="S451:S514" si="74">(G451 - G$516) / G$517</f>
        <v>-0.93109987425824825</v>
      </c>
      <c r="T451" s="6">
        <f t="shared" ref="T451:T514" si="75">(H451 - H$516) / H$517</f>
        <v>0.10652910002204077</v>
      </c>
      <c r="U451" s="6">
        <f t="shared" ref="U451:U514" si="76">(I451 - I$516) / I$517</f>
        <v>0.1417398829310606</v>
      </c>
      <c r="V451" s="6">
        <f t="shared" ref="V451:V514" si="77">(J451 - J$516) / J$517</f>
        <v>-0.73242167015423132</v>
      </c>
      <c r="W451" s="6">
        <f t="shared" ref="W451:W514" si="78">(K451 - K$516) / K$517</f>
        <v>-6.7987952808798685E-2</v>
      </c>
      <c r="X451" s="6">
        <f t="shared" ref="X451:X514" si="79">(L451 - L$516) / L$517</f>
        <v>-0.30454032427944433</v>
      </c>
    </row>
    <row r="452" spans="1:24" x14ac:dyDescent="0.35">
      <c r="A452" s="2" t="s">
        <v>486</v>
      </c>
      <c r="B452" s="2" t="s">
        <v>492</v>
      </c>
      <c r="C452" s="2">
        <v>7.13</v>
      </c>
      <c r="D452" s="2">
        <v>7.51</v>
      </c>
      <c r="E452" s="2">
        <v>8408</v>
      </c>
      <c r="F452" s="2">
        <v>66.180000000000007</v>
      </c>
      <c r="G452" s="2">
        <v>68.55</v>
      </c>
      <c r="H452" s="2">
        <v>81.760000000000005</v>
      </c>
      <c r="I452" s="2">
        <v>77.430000000000007</v>
      </c>
      <c r="J452" s="2">
        <v>2.52</v>
      </c>
      <c r="K452" s="2">
        <v>70.84</v>
      </c>
      <c r="L452" s="2">
        <v>2282748</v>
      </c>
      <c r="M452" s="2">
        <v>0</v>
      </c>
      <c r="O452" s="6">
        <f t="shared" si="71"/>
        <v>-0.69022215702245437</v>
      </c>
      <c r="P452" s="6">
        <f t="shared" si="71"/>
        <v>-0.56873540225452623</v>
      </c>
      <c r="Q452" s="6">
        <f t="shared" si="72"/>
        <v>-0.70612934441551778</v>
      </c>
      <c r="R452" s="6">
        <f t="shared" si="73"/>
        <v>-0.57725124682016937</v>
      </c>
      <c r="S452" s="6">
        <f t="shared" si="74"/>
        <v>-0.32136305191137177</v>
      </c>
      <c r="T452" s="6">
        <f t="shared" si="75"/>
        <v>0.24549677575635093</v>
      </c>
      <c r="U452" s="6">
        <f t="shared" si="76"/>
        <v>-0.49129348827156427</v>
      </c>
      <c r="V452" s="6">
        <f t="shared" si="77"/>
        <v>-0.96397314476518325</v>
      </c>
      <c r="W452" s="6">
        <f t="shared" si="78"/>
        <v>0.21525915666292322</v>
      </c>
      <c r="X452" s="6">
        <f t="shared" si="79"/>
        <v>-0.41124173765822197</v>
      </c>
    </row>
    <row r="453" spans="1:24" x14ac:dyDescent="0.35">
      <c r="A453" s="2" t="s">
        <v>493</v>
      </c>
      <c r="B453" s="2" t="s">
        <v>494</v>
      </c>
      <c r="C453" s="2">
        <v>27.27</v>
      </c>
      <c r="D453" s="2">
        <v>9.69</v>
      </c>
      <c r="E453" s="2">
        <v>6335</v>
      </c>
      <c r="F453" s="2">
        <v>62.97</v>
      </c>
      <c r="G453" s="2">
        <v>63.45</v>
      </c>
      <c r="H453" s="2">
        <v>84.88</v>
      </c>
      <c r="I453" s="2">
        <v>93.3</v>
      </c>
      <c r="J453" s="2">
        <v>4.4000000000000004</v>
      </c>
      <c r="K453" s="2">
        <v>68.959999999999994</v>
      </c>
      <c r="L453" s="2">
        <v>1749807</v>
      </c>
      <c r="M453" s="2">
        <v>1</v>
      </c>
      <c r="O453" s="6">
        <f t="shared" si="71"/>
        <v>2.01260966974661</v>
      </c>
      <c r="P453" s="6">
        <f t="shared" si="71"/>
        <v>0.76929977229456614</v>
      </c>
      <c r="Q453" s="6">
        <f t="shared" si="72"/>
        <v>-1.469805963069974</v>
      </c>
      <c r="R453" s="6">
        <f t="shared" si="73"/>
        <v>-1.0718042326229791</v>
      </c>
      <c r="S453" s="6">
        <f t="shared" si="74"/>
        <v>-1.8021524776109314</v>
      </c>
      <c r="T453" s="6">
        <f t="shared" si="75"/>
        <v>0.41355070920249304</v>
      </c>
      <c r="U453" s="6">
        <f t="shared" si="76"/>
        <v>0.52041241313686049</v>
      </c>
      <c r="V453" s="6">
        <f t="shared" si="77"/>
        <v>-0.25033909186585568</v>
      </c>
      <c r="W453" s="6">
        <f t="shared" si="78"/>
        <v>-7.8942260909916143E-2</v>
      </c>
      <c r="X453" s="6">
        <f t="shared" si="79"/>
        <v>-0.42237754955061957</v>
      </c>
    </row>
    <row r="454" spans="1:24" x14ac:dyDescent="0.35">
      <c r="A454" s="2" t="s">
        <v>493</v>
      </c>
      <c r="B454" s="2" t="s">
        <v>495</v>
      </c>
      <c r="C454" s="2">
        <v>22.73</v>
      </c>
      <c r="D454" s="2">
        <v>9.76</v>
      </c>
      <c r="E454" s="2">
        <v>7580</v>
      </c>
      <c r="F454" s="2">
        <v>66.33</v>
      </c>
      <c r="G454" s="2">
        <v>65.14</v>
      </c>
      <c r="H454" s="2">
        <v>86.47</v>
      </c>
      <c r="I454" s="2">
        <v>92.96</v>
      </c>
      <c r="J454" s="2">
        <v>5.0599999999999996</v>
      </c>
      <c r="K454" s="2">
        <v>64.58</v>
      </c>
      <c r="L454" s="2">
        <v>2034006</v>
      </c>
      <c r="M454" s="2">
        <v>1</v>
      </c>
      <c r="O454" s="6">
        <f t="shared" si="71"/>
        <v>1.403331790226672</v>
      </c>
      <c r="P454" s="6">
        <f t="shared" si="71"/>
        <v>0.81226420450485837</v>
      </c>
      <c r="Q454" s="6">
        <f t="shared" si="72"/>
        <v>-1.0111579214757638</v>
      </c>
      <c r="R454" s="6">
        <f t="shared" si="73"/>
        <v>-0.55414129421256286</v>
      </c>
      <c r="S454" s="6">
        <f t="shared" si="74"/>
        <v>-1.3114595110555873</v>
      </c>
      <c r="T454" s="6">
        <f t="shared" si="75"/>
        <v>0.49919357913177742</v>
      </c>
      <c r="U454" s="6">
        <f t="shared" si="76"/>
        <v>0.49873755450555191</v>
      </c>
      <c r="V454" s="6">
        <f t="shared" si="77"/>
        <v>1.9201181156748245E-4</v>
      </c>
      <c r="W454" s="6">
        <f t="shared" si="78"/>
        <v>-0.76436896780833552</v>
      </c>
      <c r="X454" s="6">
        <f t="shared" si="79"/>
        <v>-0.4164392062743329</v>
      </c>
    </row>
    <row r="455" spans="1:24" x14ac:dyDescent="0.35">
      <c r="A455" s="2" t="s">
        <v>493</v>
      </c>
      <c r="B455" s="2" t="s">
        <v>496</v>
      </c>
      <c r="C455" s="2">
        <v>19.84</v>
      </c>
      <c r="D455" s="2">
        <v>9.68</v>
      </c>
      <c r="E455" s="2">
        <v>10243</v>
      </c>
      <c r="F455" s="2">
        <v>71.319999999999993</v>
      </c>
      <c r="G455" s="2">
        <v>66.45</v>
      </c>
      <c r="H455" s="2">
        <v>74.239999999999995</v>
      </c>
      <c r="I455" s="2">
        <v>89.61</v>
      </c>
      <c r="J455" s="2">
        <v>8.07</v>
      </c>
      <c r="K455" s="2">
        <v>62.59</v>
      </c>
      <c r="L455" s="2">
        <v>6028166</v>
      </c>
      <c r="M455" s="2">
        <v>0</v>
      </c>
      <c r="O455" s="6">
        <f t="shared" si="71"/>
        <v>1.0154875012811608</v>
      </c>
      <c r="P455" s="6">
        <f t="shared" si="71"/>
        <v>0.76316199626452463</v>
      </c>
      <c r="Q455" s="6">
        <f t="shared" si="72"/>
        <v>-3.0130022065818246E-2</v>
      </c>
      <c r="R455" s="6">
        <f t="shared" si="73"/>
        <v>0.21464979586719163</v>
      </c>
      <c r="S455" s="6">
        <f t="shared" si="74"/>
        <v>-0.93109987425824825</v>
      </c>
      <c r="T455" s="6">
        <f t="shared" si="75"/>
        <v>-0.15955629460101903</v>
      </c>
      <c r="U455" s="6">
        <f t="shared" si="76"/>
        <v>0.28517644740295456</v>
      </c>
      <c r="V455" s="6">
        <f t="shared" si="77"/>
        <v>1.1427656816131504</v>
      </c>
      <c r="W455" s="6">
        <f t="shared" si="78"/>
        <v>-1.0757842981114982</v>
      </c>
      <c r="X455" s="6">
        <f t="shared" si="79"/>
        <v>-0.33298116039657388</v>
      </c>
    </row>
    <row r="456" spans="1:24" x14ac:dyDescent="0.35">
      <c r="A456" s="2" t="s">
        <v>493</v>
      </c>
      <c r="B456" s="2" t="s">
        <v>497</v>
      </c>
      <c r="C456" s="2">
        <v>17.28</v>
      </c>
      <c r="D456" s="2">
        <v>8.7899999999999991</v>
      </c>
      <c r="E456" s="2">
        <v>10347</v>
      </c>
      <c r="F456" s="2">
        <v>69.33</v>
      </c>
      <c r="G456" s="2">
        <v>66.44</v>
      </c>
      <c r="H456" s="2">
        <v>69.349999999999994</v>
      </c>
      <c r="I456" s="2">
        <v>96.18</v>
      </c>
      <c r="J456" s="2">
        <v>4.8499999999999996</v>
      </c>
      <c r="K456" s="2">
        <v>70.819999999999993</v>
      </c>
      <c r="L456" s="2">
        <v>1611262</v>
      </c>
      <c r="M456" s="2">
        <v>0</v>
      </c>
      <c r="O456" s="6">
        <f t="shared" si="71"/>
        <v>0.67192993045053506</v>
      </c>
      <c r="P456" s="6">
        <f t="shared" si="71"/>
        <v>0.21689992959081214</v>
      </c>
      <c r="Q456" s="6">
        <f t="shared" si="72"/>
        <v>8.1827460673527374E-3</v>
      </c>
      <c r="R456" s="6">
        <f t="shared" si="73"/>
        <v>-9.1942242060405355E-2</v>
      </c>
      <c r="S456" s="6">
        <f t="shared" si="74"/>
        <v>-0.93400338293609209</v>
      </c>
      <c r="T456" s="6">
        <f t="shared" si="75"/>
        <v>-0.42294851721372334</v>
      </c>
      <c r="U456" s="6">
        <f t="shared" si="76"/>
        <v>0.70401121566088543</v>
      </c>
      <c r="V456" s="6">
        <f t="shared" si="77"/>
        <v>-7.9522430267612701E-2</v>
      </c>
      <c r="W456" s="6">
        <f t="shared" si="78"/>
        <v>0.21212935434831698</v>
      </c>
      <c r="X456" s="6">
        <f t="shared" si="79"/>
        <v>-0.42527244984658524</v>
      </c>
    </row>
    <row r="457" spans="1:24" x14ac:dyDescent="0.35">
      <c r="A457" s="2" t="s">
        <v>493</v>
      </c>
      <c r="B457" s="2" t="s">
        <v>498</v>
      </c>
      <c r="C457" s="2">
        <v>26.53</v>
      </c>
      <c r="D457" s="2">
        <v>8.83</v>
      </c>
      <c r="E457" s="2">
        <v>7623</v>
      </c>
      <c r="F457" s="2">
        <v>63.83</v>
      </c>
      <c r="G457" s="2">
        <v>62.96</v>
      </c>
      <c r="H457" s="2">
        <v>39.659999999999997</v>
      </c>
      <c r="I457" s="2">
        <v>84.6</v>
      </c>
      <c r="J457" s="2">
        <v>1.55</v>
      </c>
      <c r="K457" s="2">
        <v>65.81</v>
      </c>
      <c r="L457" s="2">
        <v>2356727</v>
      </c>
      <c r="M457" s="2">
        <v>1</v>
      </c>
      <c r="O457" s="6">
        <f t="shared" si="71"/>
        <v>1.9133000594283824</v>
      </c>
      <c r="P457" s="6">
        <f t="shared" si="71"/>
        <v>0.24145103371097953</v>
      </c>
      <c r="Q457" s="6">
        <f t="shared" si="72"/>
        <v>-0.99531706542070264</v>
      </c>
      <c r="R457" s="6">
        <f t="shared" si="73"/>
        <v>-0.93930717100602734</v>
      </c>
      <c r="S457" s="6">
        <f t="shared" si="74"/>
        <v>-1.9444244028252036</v>
      </c>
      <c r="T457" s="6">
        <f t="shared" si="75"/>
        <v>-2.022154056962433</v>
      </c>
      <c r="U457" s="6">
        <f t="shared" si="76"/>
        <v>-3.4208969487796309E-2</v>
      </c>
      <c r="V457" s="6">
        <f t="shared" si="77"/>
        <v>-1.3321779486547298</v>
      </c>
      <c r="W457" s="6">
        <f t="shared" si="78"/>
        <v>-0.5718861254601485</v>
      </c>
      <c r="X457" s="6">
        <f t="shared" si="79"/>
        <v>-0.40969594510709967</v>
      </c>
    </row>
    <row r="458" spans="1:24" x14ac:dyDescent="0.35">
      <c r="A458" s="2" t="s">
        <v>493</v>
      </c>
      <c r="B458" s="2" t="s">
        <v>499</v>
      </c>
      <c r="C458" s="2">
        <v>25.27</v>
      </c>
      <c r="D458" s="2">
        <v>8.92</v>
      </c>
      <c r="E458" s="2">
        <v>8720</v>
      </c>
      <c r="F458" s="2">
        <v>65.83</v>
      </c>
      <c r="G458" s="2">
        <v>61.85</v>
      </c>
      <c r="H458" s="2">
        <v>62.64</v>
      </c>
      <c r="I458" s="2">
        <v>91.13</v>
      </c>
      <c r="J458" s="2">
        <v>5.65</v>
      </c>
      <c r="K458" s="2">
        <v>72.2</v>
      </c>
      <c r="L458" s="2">
        <v>2030114</v>
      </c>
      <c r="M458" s="2">
        <v>1</v>
      </c>
      <c r="O458" s="6">
        <f t="shared" si="71"/>
        <v>1.7442053175351835</v>
      </c>
      <c r="P458" s="6">
        <f t="shared" si="71"/>
        <v>0.29669101798135483</v>
      </c>
      <c r="Q458" s="6">
        <f t="shared" si="72"/>
        <v>-0.59119104001600487</v>
      </c>
      <c r="R458" s="6">
        <f t="shared" si="73"/>
        <v>-0.63117446957125567</v>
      </c>
      <c r="S458" s="6">
        <f t="shared" si="74"/>
        <v>-2.2667138660656962</v>
      </c>
      <c r="T458" s="6">
        <f t="shared" si="75"/>
        <v>-0.78437220100334382</v>
      </c>
      <c r="U458" s="6">
        <f t="shared" si="76"/>
        <v>0.3820758154017449</v>
      </c>
      <c r="V458" s="6">
        <f t="shared" si="77"/>
        <v>0.22415163479593117</v>
      </c>
      <c r="W458" s="6">
        <f t="shared" si="78"/>
        <v>0.4280857140560399</v>
      </c>
      <c r="X458" s="6">
        <f t="shared" si="79"/>
        <v>-0.41652052968515174</v>
      </c>
    </row>
    <row r="459" spans="1:24" x14ac:dyDescent="0.35">
      <c r="A459" s="2" t="s">
        <v>493</v>
      </c>
      <c r="B459" s="2" t="s">
        <v>500</v>
      </c>
      <c r="C459" s="2">
        <v>23.25</v>
      </c>
      <c r="D459" s="2">
        <v>8.4600000000000009</v>
      </c>
      <c r="E459" s="2">
        <v>9480</v>
      </c>
      <c r="F459" s="2">
        <v>64.3</v>
      </c>
      <c r="G459" s="2">
        <v>59.62</v>
      </c>
      <c r="H459" s="2">
        <v>65.25</v>
      </c>
      <c r="I459" s="2">
        <v>84.43</v>
      </c>
      <c r="J459" s="2">
        <v>3.88</v>
      </c>
      <c r="K459" s="2">
        <v>69.069999999999993</v>
      </c>
      <c r="L459" s="2">
        <v>1966542</v>
      </c>
      <c r="M459" s="2">
        <v>1</v>
      </c>
      <c r="O459" s="6">
        <f t="shared" si="71"/>
        <v>1.4731169218016429</v>
      </c>
      <c r="P459" s="6">
        <f t="shared" si="71"/>
        <v>1.4353320599436772E-2</v>
      </c>
      <c r="Q459" s="6">
        <f t="shared" si="72"/>
        <v>-0.31121311904283228</v>
      </c>
      <c r="R459" s="6">
        <f t="shared" si="73"/>
        <v>-0.86689598616885621</v>
      </c>
      <c r="S459" s="6">
        <f t="shared" si="74"/>
        <v>-2.9141963012245249</v>
      </c>
      <c r="T459" s="6">
        <f t="shared" si="75"/>
        <v>-0.64378862206282073</v>
      </c>
      <c r="U459" s="6">
        <f t="shared" si="76"/>
        <v>-4.5046398803449725E-2</v>
      </c>
      <c r="V459" s="6">
        <f t="shared" si="77"/>
        <v>-0.4477272341571592</v>
      </c>
      <c r="W459" s="6">
        <f t="shared" si="78"/>
        <v>-6.1728348179590609E-2</v>
      </c>
      <c r="X459" s="6">
        <f t="shared" si="79"/>
        <v>-0.41784886778190822</v>
      </c>
    </row>
    <row r="460" spans="1:24" x14ac:dyDescent="0.35">
      <c r="A460" s="2" t="s">
        <v>493</v>
      </c>
      <c r="B460" s="2" t="s">
        <v>501</v>
      </c>
      <c r="C460" s="2">
        <v>29.55</v>
      </c>
      <c r="D460" s="2">
        <v>8.59</v>
      </c>
      <c r="E460" s="2">
        <v>6918</v>
      </c>
      <c r="F460" s="2">
        <v>62.37</v>
      </c>
      <c r="G460" s="2">
        <v>62.55</v>
      </c>
      <c r="H460" s="2">
        <v>82.65</v>
      </c>
      <c r="I460" s="2">
        <v>93.15</v>
      </c>
      <c r="J460" s="2">
        <v>1.8</v>
      </c>
      <c r="K460" s="2">
        <v>76.66</v>
      </c>
      <c r="L460" s="2">
        <v>1091807</v>
      </c>
      <c r="M460" s="2">
        <v>1</v>
      </c>
      <c r="O460" s="6">
        <f t="shared" si="71"/>
        <v>2.3185906312676363</v>
      </c>
      <c r="P460" s="6">
        <f t="shared" si="71"/>
        <v>9.4144408989978376E-2</v>
      </c>
      <c r="Q460" s="6">
        <f t="shared" si="72"/>
        <v>-1.2550334263234482</v>
      </c>
      <c r="R460" s="6">
        <f t="shared" si="73"/>
        <v>-1.1642440430534109</v>
      </c>
      <c r="S460" s="6">
        <f t="shared" si="74"/>
        <v>-2.0634682586167381</v>
      </c>
      <c r="T460" s="6">
        <f t="shared" si="75"/>
        <v>0.2934352375406673</v>
      </c>
      <c r="U460" s="6">
        <f t="shared" si="76"/>
        <v>0.51084997550540145</v>
      </c>
      <c r="V460" s="6">
        <f t="shared" si="77"/>
        <v>-1.2372798033223726</v>
      </c>
      <c r="W460" s="6">
        <f t="shared" si="78"/>
        <v>1.1260316302128777</v>
      </c>
      <c r="X460" s="6">
        <f t="shared" si="79"/>
        <v>-0.43612647152359146</v>
      </c>
    </row>
    <row r="461" spans="1:24" x14ac:dyDescent="0.35">
      <c r="A461" s="2" t="s">
        <v>493</v>
      </c>
      <c r="B461" s="2" t="s">
        <v>502</v>
      </c>
      <c r="C461" s="2">
        <v>15.89</v>
      </c>
      <c r="D461" s="2">
        <v>7.95</v>
      </c>
      <c r="E461" s="2">
        <v>7600</v>
      </c>
      <c r="F461" s="2">
        <v>64.8</v>
      </c>
      <c r="G461" s="2">
        <v>66.36</v>
      </c>
      <c r="H461" s="2">
        <v>58.54</v>
      </c>
      <c r="I461" s="2">
        <v>93.99</v>
      </c>
      <c r="J461" s="2">
        <v>1.63</v>
      </c>
      <c r="K461" s="2">
        <v>75.39</v>
      </c>
      <c r="L461" s="2">
        <v>923245</v>
      </c>
      <c r="M461" s="2">
        <v>0</v>
      </c>
      <c r="O461" s="6">
        <f t="shared" si="71"/>
        <v>0.48538890566359355</v>
      </c>
      <c r="P461" s="6">
        <f t="shared" si="71"/>
        <v>-0.29867325693269081</v>
      </c>
      <c r="Q461" s="6">
        <f t="shared" si="72"/>
        <v>-1.0037900814501539</v>
      </c>
      <c r="R461" s="6">
        <f t="shared" si="73"/>
        <v>-0.7898628108101633</v>
      </c>
      <c r="S461" s="6">
        <f t="shared" si="74"/>
        <v>-0.95723145235882978</v>
      </c>
      <c r="T461" s="6">
        <f t="shared" si="75"/>
        <v>-1.0052123058524416</v>
      </c>
      <c r="U461" s="6">
        <f t="shared" si="76"/>
        <v>0.56439962624157458</v>
      </c>
      <c r="V461" s="6">
        <f t="shared" si="77"/>
        <v>-1.3018105421483754</v>
      </c>
      <c r="W461" s="6">
        <f t="shared" si="78"/>
        <v>0.92728918323548248</v>
      </c>
      <c r="X461" s="6">
        <f t="shared" si="79"/>
        <v>-0.43964857758074666</v>
      </c>
    </row>
    <row r="462" spans="1:24" x14ac:dyDescent="0.35">
      <c r="A462" s="2" t="s">
        <v>493</v>
      </c>
      <c r="B462" s="2" t="s">
        <v>503</v>
      </c>
      <c r="C462" s="2">
        <v>5.0199999999999996</v>
      </c>
      <c r="D462" s="2">
        <v>12.2</v>
      </c>
      <c r="E462" s="2">
        <v>14148</v>
      </c>
      <c r="F462" s="2">
        <v>81.23</v>
      </c>
      <c r="G462" s="2">
        <v>70.63</v>
      </c>
      <c r="H462" s="2">
        <v>90.56</v>
      </c>
      <c r="I462" s="2">
        <v>98.3</v>
      </c>
      <c r="J462" s="2">
        <v>11.32</v>
      </c>
      <c r="K462" s="2">
        <v>61.56</v>
      </c>
      <c r="L462" s="2">
        <v>10591813</v>
      </c>
      <c r="M462" s="2">
        <v>0</v>
      </c>
      <c r="O462" s="6">
        <f t="shared" si="71"/>
        <v>-0.97338874860550939</v>
      </c>
      <c r="P462" s="6">
        <f t="shared" si="71"/>
        <v>2.3098815558350352</v>
      </c>
      <c r="Q462" s="6">
        <f t="shared" si="72"/>
        <v>1.4084407429344961</v>
      </c>
      <c r="R462" s="6">
        <f t="shared" si="73"/>
        <v>1.7414473314764867</v>
      </c>
      <c r="S462" s="6">
        <f t="shared" si="74"/>
        <v>0.28256675307982132</v>
      </c>
      <c r="T462" s="6">
        <f t="shared" si="75"/>
        <v>0.71949504957880428</v>
      </c>
      <c r="U462" s="6">
        <f t="shared" si="76"/>
        <v>0.83916033418551383</v>
      </c>
      <c r="V462" s="6">
        <f t="shared" si="77"/>
        <v>2.3764415709337965</v>
      </c>
      <c r="W462" s="6">
        <f t="shared" si="78"/>
        <v>-1.2369691173136383</v>
      </c>
      <c r="X462" s="6">
        <f t="shared" si="79"/>
        <v>-0.23762367329142606</v>
      </c>
    </row>
    <row r="463" spans="1:24" x14ac:dyDescent="0.35">
      <c r="A463" s="2" t="s">
        <v>493</v>
      </c>
      <c r="B463" s="2" t="s">
        <v>504</v>
      </c>
      <c r="C463" s="2">
        <v>23.26</v>
      </c>
      <c r="D463" s="2">
        <v>10.53</v>
      </c>
      <c r="E463" s="2">
        <v>7405</v>
      </c>
      <c r="F463" s="2">
        <v>68.16</v>
      </c>
      <c r="G463" s="2">
        <v>65.680000000000007</v>
      </c>
      <c r="H463" s="2">
        <v>83.27</v>
      </c>
      <c r="I463" s="2">
        <v>96.19</v>
      </c>
      <c r="J463" s="2">
        <v>8.7100000000000009</v>
      </c>
      <c r="K463" s="2">
        <v>60.61</v>
      </c>
      <c r="L463" s="2">
        <v>1550124</v>
      </c>
      <c r="M463" s="2">
        <v>1</v>
      </c>
      <c r="O463" s="6">
        <f t="shared" si="71"/>
        <v>1.4744589435627002</v>
      </c>
      <c r="P463" s="6">
        <f t="shared" si="71"/>
        <v>1.2848729588180696</v>
      </c>
      <c r="Q463" s="6">
        <f t="shared" si="72"/>
        <v>-1.0756265216998495</v>
      </c>
      <c r="R463" s="6">
        <f t="shared" si="73"/>
        <v>-0.27219987239974702</v>
      </c>
      <c r="S463" s="6">
        <f t="shared" si="74"/>
        <v>-1.1546700424521024</v>
      </c>
      <c r="T463" s="6">
        <f t="shared" si="75"/>
        <v>0.32683057046906688</v>
      </c>
      <c r="U463" s="6">
        <f t="shared" si="76"/>
        <v>0.70464871150298214</v>
      </c>
      <c r="V463" s="6">
        <f t="shared" si="77"/>
        <v>1.3857049336639855</v>
      </c>
      <c r="W463" s="6">
        <f t="shared" si="78"/>
        <v>-1.3856347272573599</v>
      </c>
      <c r="X463" s="6">
        <f t="shared" si="79"/>
        <v>-0.42654992946905262</v>
      </c>
    </row>
    <row r="464" spans="1:24" x14ac:dyDescent="0.35">
      <c r="A464" s="2" t="s">
        <v>505</v>
      </c>
      <c r="B464" s="2" t="s">
        <v>506</v>
      </c>
      <c r="C464" s="2">
        <v>8.9499999999999993</v>
      </c>
      <c r="D464" s="2">
        <v>8.3699999999999992</v>
      </c>
      <c r="E464" s="2">
        <v>7467</v>
      </c>
      <c r="F464" s="2">
        <v>65.56</v>
      </c>
      <c r="G464" s="2">
        <v>66.34</v>
      </c>
      <c r="H464" s="2">
        <v>73.319999999999993</v>
      </c>
      <c r="I464" s="2">
        <v>94.73</v>
      </c>
      <c r="J464" s="2">
        <v>3.26</v>
      </c>
      <c r="K464" s="2">
        <v>64.88</v>
      </c>
      <c r="L464" s="2">
        <v>1554088</v>
      </c>
      <c r="M464" s="2">
        <v>0</v>
      </c>
      <c r="O464" s="6">
        <f t="shared" si="71"/>
        <v>-0.44597419651005643</v>
      </c>
      <c r="P464" s="6">
        <f t="shared" si="71"/>
        <v>-4.0886663670939613E-2</v>
      </c>
      <c r="Q464" s="6">
        <f t="shared" si="72"/>
        <v>-1.0527862176204592</v>
      </c>
      <c r="R464" s="6">
        <f t="shared" si="73"/>
        <v>-0.67277238426494923</v>
      </c>
      <c r="S464" s="6">
        <f t="shared" si="74"/>
        <v>-0.96303846971451312</v>
      </c>
      <c r="T464" s="6">
        <f t="shared" si="75"/>
        <v>-0.20911065959154834</v>
      </c>
      <c r="U464" s="6">
        <f t="shared" si="76"/>
        <v>0.6115743185567758</v>
      </c>
      <c r="V464" s="6">
        <f t="shared" si="77"/>
        <v>-0.68307463458140549</v>
      </c>
      <c r="W464" s="6">
        <f t="shared" si="78"/>
        <v>-0.71742193308926616</v>
      </c>
      <c r="X464" s="6">
        <f t="shared" si="79"/>
        <v>-0.42646710161692369</v>
      </c>
    </row>
    <row r="465" spans="1:24" x14ac:dyDescent="0.35">
      <c r="A465" s="2" t="s">
        <v>505</v>
      </c>
      <c r="B465" s="2" t="s">
        <v>507</v>
      </c>
      <c r="C465" s="2">
        <v>13.52</v>
      </c>
      <c r="D465" s="2">
        <v>9.01</v>
      </c>
      <c r="E465" s="2">
        <v>7966</v>
      </c>
      <c r="F465" s="2">
        <v>65.819999999999993</v>
      </c>
      <c r="G465" s="2">
        <v>64.150000000000006</v>
      </c>
      <c r="H465" s="2">
        <v>80.7</v>
      </c>
      <c r="I465" s="2">
        <v>83.71</v>
      </c>
      <c r="J465" s="2">
        <v>4.2300000000000004</v>
      </c>
      <c r="K465" s="2">
        <v>63.02</v>
      </c>
      <c r="L465" s="2">
        <v>5225848</v>
      </c>
      <c r="M465" s="2">
        <v>0</v>
      </c>
      <c r="O465" s="6">
        <f t="shared" si="71"/>
        <v>0.16732974829305308</v>
      </c>
      <c r="P465" s="6">
        <f t="shared" si="71"/>
        <v>0.35193100225173013</v>
      </c>
      <c r="Q465" s="6">
        <f t="shared" si="72"/>
        <v>-0.86895860898149446</v>
      </c>
      <c r="R465" s="6">
        <f t="shared" si="73"/>
        <v>-0.63271513307843041</v>
      </c>
      <c r="S465" s="6">
        <f t="shared" si="74"/>
        <v>-1.5989068701619711</v>
      </c>
      <c r="T465" s="6">
        <f t="shared" si="75"/>
        <v>0.18840152913682801</v>
      </c>
      <c r="U465" s="6">
        <f t="shared" si="76"/>
        <v>-9.0946099434456626E-2</v>
      </c>
      <c r="V465" s="6">
        <f t="shared" si="77"/>
        <v>-0.3148698306918587</v>
      </c>
      <c r="W465" s="6">
        <f t="shared" si="78"/>
        <v>-1.0084935483474982</v>
      </c>
      <c r="X465" s="6">
        <f t="shared" si="79"/>
        <v>-0.34974560960555695</v>
      </c>
    </row>
    <row r="466" spans="1:24" x14ac:dyDescent="0.35">
      <c r="A466" s="2" t="s">
        <v>505</v>
      </c>
      <c r="B466" s="2" t="s">
        <v>508</v>
      </c>
      <c r="C466" s="2">
        <v>8.23</v>
      </c>
      <c r="D466" s="2">
        <v>9</v>
      </c>
      <c r="E466" s="2">
        <v>7040</v>
      </c>
      <c r="F466" s="2">
        <v>63.8</v>
      </c>
      <c r="G466" s="2">
        <v>63.39</v>
      </c>
      <c r="H466" s="2">
        <v>81.31</v>
      </c>
      <c r="I466" s="2">
        <v>84.53</v>
      </c>
      <c r="J466" s="2">
        <v>2.78</v>
      </c>
      <c r="K466" s="2">
        <v>63.76</v>
      </c>
      <c r="L466" s="2">
        <v>1663354</v>
      </c>
      <c r="M466" s="2">
        <v>0</v>
      </c>
      <c r="O466" s="6">
        <f t="shared" si="71"/>
        <v>-0.54259976330616977</v>
      </c>
      <c r="P466" s="6">
        <f t="shared" si="71"/>
        <v>0.34579322622168857</v>
      </c>
      <c r="Q466" s="6">
        <f t="shared" si="72"/>
        <v>-1.2100896021672285</v>
      </c>
      <c r="R466" s="6">
        <f t="shared" si="73"/>
        <v>-0.94392916152754913</v>
      </c>
      <c r="S466" s="6">
        <f t="shared" si="74"/>
        <v>-1.8195735296779858</v>
      </c>
      <c r="T466" s="6">
        <f t="shared" si="75"/>
        <v>0.22125822766315714</v>
      </c>
      <c r="U466" s="6">
        <f t="shared" si="76"/>
        <v>-3.8671440382477024E-2</v>
      </c>
      <c r="V466" s="6">
        <f t="shared" si="77"/>
        <v>-0.86527907361953171</v>
      </c>
      <c r="W466" s="6">
        <f t="shared" si="78"/>
        <v>-0.89269086270712661</v>
      </c>
      <c r="X466" s="6">
        <f t="shared" si="79"/>
        <v>-0.42418398655871886</v>
      </c>
    </row>
    <row r="467" spans="1:24" x14ac:dyDescent="0.35">
      <c r="A467" s="2" t="s">
        <v>505</v>
      </c>
      <c r="B467" s="2" t="s">
        <v>509</v>
      </c>
      <c r="C467" s="2">
        <v>5.19</v>
      </c>
      <c r="D467" s="2">
        <v>8.1</v>
      </c>
      <c r="E467" s="2">
        <v>7142</v>
      </c>
      <c r="F467" s="2">
        <v>64.19</v>
      </c>
      <c r="G467" s="2">
        <v>65.930000000000007</v>
      </c>
      <c r="H467" s="2">
        <v>57.97</v>
      </c>
      <c r="I467" s="2">
        <v>90.48</v>
      </c>
      <c r="J467" s="2">
        <v>1.94</v>
      </c>
      <c r="K467" s="2">
        <v>68.87</v>
      </c>
      <c r="L467" s="2">
        <v>6532022</v>
      </c>
      <c r="M467" s="2">
        <v>0</v>
      </c>
      <c r="O467" s="6">
        <f t="shared" si="71"/>
        <v>-0.95057437866753802</v>
      </c>
      <c r="P467" s="6">
        <f t="shared" si="71"/>
        <v>-0.20660661648206549</v>
      </c>
      <c r="Q467" s="6">
        <f t="shared" si="72"/>
        <v>-1.1725136180366185</v>
      </c>
      <c r="R467" s="6">
        <f t="shared" si="73"/>
        <v>-0.88384328474776852</v>
      </c>
      <c r="S467" s="6">
        <f t="shared" si="74"/>
        <v>-1.0820823255060454</v>
      </c>
      <c r="T467" s="6">
        <f t="shared" si="75"/>
        <v>-1.0359144667704869</v>
      </c>
      <c r="U467" s="6">
        <f t="shared" si="76"/>
        <v>0.34063858566542055</v>
      </c>
      <c r="V467" s="6">
        <f t="shared" si="77"/>
        <v>-1.1841368419362523</v>
      </c>
      <c r="W467" s="6">
        <f t="shared" si="78"/>
        <v>-9.3026371325635418E-2</v>
      </c>
      <c r="X467" s="6">
        <f t="shared" si="79"/>
        <v>-0.32245308010840712</v>
      </c>
    </row>
    <row r="468" spans="1:24" x14ac:dyDescent="0.35">
      <c r="A468" s="2" t="s">
        <v>505</v>
      </c>
      <c r="B468" s="2" t="s">
        <v>510</v>
      </c>
      <c r="C468" s="2">
        <v>5.22</v>
      </c>
      <c r="D468" s="2">
        <v>8.6199999999999992</v>
      </c>
      <c r="E468" s="2">
        <v>7519</v>
      </c>
      <c r="F468" s="2">
        <v>67.819999999999993</v>
      </c>
      <c r="G468" s="2">
        <v>69.61</v>
      </c>
      <c r="H468" s="2">
        <v>68.98</v>
      </c>
      <c r="I468" s="2">
        <v>87.09</v>
      </c>
      <c r="J468" s="2">
        <v>8.01</v>
      </c>
      <c r="K468" s="2">
        <v>64.39</v>
      </c>
      <c r="L468" s="2">
        <v>3870036</v>
      </c>
      <c r="M468" s="2">
        <v>0</v>
      </c>
      <c r="O468" s="6">
        <f t="shared" si="71"/>
        <v>-0.94654831338436674</v>
      </c>
      <c r="P468" s="6">
        <f t="shared" si="71"/>
        <v>0.11255773708010311</v>
      </c>
      <c r="Q468" s="6">
        <f t="shared" si="72"/>
        <v>-1.0336298335538736</v>
      </c>
      <c r="R468" s="6">
        <f t="shared" si="73"/>
        <v>-0.32458243164365874</v>
      </c>
      <c r="S468" s="6">
        <f t="shared" si="74"/>
        <v>-1.3591132060089755E-2</v>
      </c>
      <c r="T468" s="6">
        <f t="shared" si="75"/>
        <v>-0.44287799009034873</v>
      </c>
      <c r="U468" s="6">
        <f t="shared" si="76"/>
        <v>0.1245274951944336</v>
      </c>
      <c r="V468" s="6">
        <f t="shared" si="77"/>
        <v>1.1199901267333845</v>
      </c>
      <c r="W468" s="6">
        <f t="shared" si="78"/>
        <v>-0.79410208979707941</v>
      </c>
      <c r="X468" s="6">
        <f t="shared" si="79"/>
        <v>-0.37807532601592014</v>
      </c>
    </row>
    <row r="469" spans="1:24" x14ac:dyDescent="0.35">
      <c r="A469" s="2" t="s">
        <v>505</v>
      </c>
      <c r="B469" s="2" t="s">
        <v>511</v>
      </c>
      <c r="C469" s="2">
        <v>15.04</v>
      </c>
      <c r="D469" s="2">
        <v>8.27</v>
      </c>
      <c r="E469" s="2">
        <v>7973</v>
      </c>
      <c r="F469" s="2">
        <v>67</v>
      </c>
      <c r="G469" s="2">
        <v>69.08</v>
      </c>
      <c r="H469" s="2">
        <v>70.099999999999994</v>
      </c>
      <c r="I469" s="2">
        <v>65.510000000000005</v>
      </c>
      <c r="J469" s="2">
        <v>6.78</v>
      </c>
      <c r="K469" s="2">
        <v>64.8</v>
      </c>
      <c r="L469" s="2">
        <v>2491395</v>
      </c>
      <c r="M469" s="2">
        <v>0</v>
      </c>
      <c r="O469" s="6">
        <f t="shared" si="71"/>
        <v>0.37131705597373715</v>
      </c>
      <c r="P469" s="6">
        <f t="shared" si="71"/>
        <v>-0.10226442397135649</v>
      </c>
      <c r="Q469" s="6">
        <f t="shared" si="72"/>
        <v>-0.86637986497253106</v>
      </c>
      <c r="R469" s="6">
        <f t="shared" si="73"/>
        <v>-0.45091683923191406</v>
      </c>
      <c r="S469" s="6">
        <f t="shared" si="74"/>
        <v>-0.16747709198573077</v>
      </c>
      <c r="T469" s="6">
        <f t="shared" si="75"/>
        <v>-0.3825509370584006</v>
      </c>
      <c r="U469" s="6">
        <f t="shared" si="76"/>
        <v>-1.2511885320515537</v>
      </c>
      <c r="V469" s="6">
        <f t="shared" si="77"/>
        <v>0.65309125169818638</v>
      </c>
      <c r="W469" s="6">
        <f t="shared" si="78"/>
        <v>-0.72994114234768448</v>
      </c>
      <c r="X469" s="6">
        <f t="shared" si="79"/>
        <v>-0.40688205479667994</v>
      </c>
    </row>
    <row r="470" spans="1:24" x14ac:dyDescent="0.35">
      <c r="A470" s="2" t="s">
        <v>505</v>
      </c>
      <c r="B470" s="2" t="s">
        <v>512</v>
      </c>
      <c r="C470" s="2">
        <v>6.52</v>
      </c>
      <c r="D470" s="2">
        <v>7.4</v>
      </c>
      <c r="E470" s="2">
        <v>6378</v>
      </c>
      <c r="F470" s="2">
        <v>62.9</v>
      </c>
      <c r="G470" s="2">
        <v>67.349999999999994</v>
      </c>
      <c r="H470" s="2">
        <v>71.5</v>
      </c>
      <c r="I470" s="2">
        <v>78.95</v>
      </c>
      <c r="J470" s="2">
        <v>6.27</v>
      </c>
      <c r="K470" s="2">
        <v>67.709999999999994</v>
      </c>
      <c r="L470" s="2">
        <v>1083770</v>
      </c>
      <c r="M470" s="2">
        <v>0</v>
      </c>
      <c r="O470" s="6">
        <f t="shared" si="71"/>
        <v>-0.77208548444693947</v>
      </c>
      <c r="P470" s="6">
        <f t="shared" si="71"/>
        <v>-0.63625093858498472</v>
      </c>
      <c r="Q470" s="6">
        <f t="shared" si="72"/>
        <v>-1.4539651070149129</v>
      </c>
      <c r="R470" s="6">
        <f t="shared" si="73"/>
        <v>-1.0825888771731962</v>
      </c>
      <c r="S470" s="6">
        <f t="shared" si="74"/>
        <v>-0.66978409325244581</v>
      </c>
      <c r="T470" s="6">
        <f t="shared" si="75"/>
        <v>-0.30714212076846453</v>
      </c>
      <c r="U470" s="6">
        <f t="shared" si="76"/>
        <v>-0.39439412027277393</v>
      </c>
      <c r="V470" s="6">
        <f t="shared" si="77"/>
        <v>0.45949903522017715</v>
      </c>
      <c r="W470" s="6">
        <f t="shared" si="78"/>
        <v>-0.27455490557270729</v>
      </c>
      <c r="X470" s="6">
        <f t="shared" si="79"/>
        <v>-0.43629440478483278</v>
      </c>
    </row>
    <row r="471" spans="1:24" x14ac:dyDescent="0.35">
      <c r="A471" s="2" t="s">
        <v>505</v>
      </c>
      <c r="B471" s="2" t="s">
        <v>513</v>
      </c>
      <c r="C471" s="2">
        <v>7.49</v>
      </c>
      <c r="D471" s="2">
        <v>7.67</v>
      </c>
      <c r="E471" s="2">
        <v>6467</v>
      </c>
      <c r="F471" s="2">
        <v>60.73</v>
      </c>
      <c r="G471" s="2">
        <v>62.22</v>
      </c>
      <c r="H471" s="2">
        <v>65.37</v>
      </c>
      <c r="I471" s="2">
        <v>68.36</v>
      </c>
      <c r="J471" s="2">
        <v>6.1</v>
      </c>
      <c r="K471" s="2">
        <v>69.23</v>
      </c>
      <c r="L471" s="2">
        <v>1128880</v>
      </c>
      <c r="M471" s="2">
        <v>0</v>
      </c>
      <c r="O471" s="6">
        <f t="shared" si="71"/>
        <v>-0.64190937362439759</v>
      </c>
      <c r="P471" s="6">
        <f t="shared" si="71"/>
        <v>-0.47053098577385882</v>
      </c>
      <c r="Q471" s="6">
        <f t="shared" si="72"/>
        <v>-1.4211782189009494</v>
      </c>
      <c r="R471" s="6">
        <f t="shared" si="73"/>
        <v>-1.4169128582299235</v>
      </c>
      <c r="S471" s="6">
        <f t="shared" si="74"/>
        <v>-2.1592840449855326</v>
      </c>
      <c r="T471" s="6">
        <f t="shared" si="75"/>
        <v>-0.63732500923796886</v>
      </c>
      <c r="U471" s="6">
        <f t="shared" si="76"/>
        <v>-1.0695022170538218</v>
      </c>
      <c r="V471" s="6">
        <f t="shared" si="77"/>
        <v>0.39496829639417413</v>
      </c>
      <c r="W471" s="6">
        <f t="shared" si="78"/>
        <v>-3.6689929662751655E-2</v>
      </c>
      <c r="X471" s="6">
        <f t="shared" si="79"/>
        <v>-0.43535183051401094</v>
      </c>
    </row>
    <row r="472" spans="1:24" x14ac:dyDescent="0.35">
      <c r="A472" s="2" t="s">
        <v>505</v>
      </c>
      <c r="B472" s="2" t="s">
        <v>514</v>
      </c>
      <c r="C472" s="2">
        <v>3.55</v>
      </c>
      <c r="D472" s="2">
        <v>11.81</v>
      </c>
      <c r="E472" s="2">
        <v>13290</v>
      </c>
      <c r="F472" s="2">
        <v>80.14</v>
      </c>
      <c r="G472" s="2">
        <v>71.06</v>
      </c>
      <c r="H472" s="2">
        <v>99.22</v>
      </c>
      <c r="I472" s="2">
        <v>100</v>
      </c>
      <c r="J472" s="2">
        <v>5.7</v>
      </c>
      <c r="K472" s="2">
        <v>59.58</v>
      </c>
      <c r="L472" s="2">
        <v>7394964</v>
      </c>
      <c r="M472" s="2">
        <v>0</v>
      </c>
      <c r="O472" s="6">
        <f t="shared" si="71"/>
        <v>-1.1706659474809076</v>
      </c>
      <c r="P472" s="6">
        <f t="shared" si="71"/>
        <v>2.0705082906634091</v>
      </c>
      <c r="Q472" s="6">
        <f t="shared" si="72"/>
        <v>1.0923604058358354</v>
      </c>
      <c r="R472" s="6">
        <f t="shared" si="73"/>
        <v>1.5735150091945358</v>
      </c>
      <c r="S472" s="6">
        <f t="shared" si="74"/>
        <v>0.40741762622704125</v>
      </c>
      <c r="T472" s="6">
        <f t="shared" si="75"/>
        <v>1.1859524417722642</v>
      </c>
      <c r="U472" s="6">
        <f t="shared" si="76"/>
        <v>0.94753462734205607</v>
      </c>
      <c r="V472" s="6">
        <f t="shared" si="77"/>
        <v>0.24313126386240255</v>
      </c>
      <c r="W472" s="6">
        <f t="shared" si="78"/>
        <v>-1.5468195464595</v>
      </c>
      <c r="X472" s="6">
        <f t="shared" si="79"/>
        <v>-0.30442189131630942</v>
      </c>
    </row>
    <row r="473" spans="1:24" x14ac:dyDescent="0.35">
      <c r="A473" s="2" t="s">
        <v>505</v>
      </c>
      <c r="B473" s="2" t="s">
        <v>515</v>
      </c>
      <c r="C473" s="2">
        <v>6.58</v>
      </c>
      <c r="D473" s="2">
        <v>9.9499999999999993</v>
      </c>
      <c r="E473" s="2">
        <v>8316</v>
      </c>
      <c r="F473" s="2">
        <v>70.989999999999995</v>
      </c>
      <c r="G473" s="2">
        <v>69.430000000000007</v>
      </c>
      <c r="H473" s="2">
        <v>90.55</v>
      </c>
      <c r="I473" s="2">
        <v>98.21</v>
      </c>
      <c r="J473" s="2">
        <v>2.81</v>
      </c>
      <c r="K473" s="2">
        <v>66.2</v>
      </c>
      <c r="L473" s="2">
        <v>2062850</v>
      </c>
      <c r="M473" s="2">
        <v>0</v>
      </c>
      <c r="O473" s="6">
        <f t="shared" si="71"/>
        <v>-0.76403335388059668</v>
      </c>
      <c r="P473" s="6">
        <f t="shared" si="71"/>
        <v>0.92888194907565047</v>
      </c>
      <c r="Q473" s="6">
        <f t="shared" si="72"/>
        <v>-0.74002140853332288</v>
      </c>
      <c r="R473" s="6">
        <f t="shared" si="73"/>
        <v>0.16380790013045457</v>
      </c>
      <c r="S473" s="6">
        <f t="shared" si="74"/>
        <v>-6.5854288261248589E-2</v>
      </c>
      <c r="T473" s="6">
        <f t="shared" si="75"/>
        <v>0.71895641517673314</v>
      </c>
      <c r="U473" s="6">
        <f t="shared" si="76"/>
        <v>0.83342287160663786</v>
      </c>
      <c r="V473" s="6">
        <f t="shared" si="77"/>
        <v>-0.85389129617964865</v>
      </c>
      <c r="W473" s="6">
        <f t="shared" si="78"/>
        <v>-0.51085498032535759</v>
      </c>
      <c r="X473" s="6">
        <f t="shared" si="79"/>
        <v>-0.41583651036948732</v>
      </c>
    </row>
    <row r="474" spans="1:24" x14ac:dyDescent="0.35">
      <c r="A474" s="2" t="s">
        <v>516</v>
      </c>
      <c r="B474" s="2" t="s">
        <v>517</v>
      </c>
      <c r="C474" s="2">
        <v>22.86</v>
      </c>
      <c r="D474" s="2">
        <v>8.9700000000000006</v>
      </c>
      <c r="E474" s="2">
        <v>7446</v>
      </c>
      <c r="F474" s="2">
        <v>68.52</v>
      </c>
      <c r="G474" s="2">
        <v>68.5</v>
      </c>
      <c r="H474" s="2">
        <v>65.86</v>
      </c>
      <c r="I474" s="2">
        <v>98</v>
      </c>
      <c r="J474" s="2">
        <v>7.9</v>
      </c>
      <c r="K474" s="2">
        <v>71.53</v>
      </c>
      <c r="L474" s="2">
        <v>3474011</v>
      </c>
      <c r="M474" s="2">
        <v>1</v>
      </c>
      <c r="O474" s="6">
        <f t="shared" si="71"/>
        <v>1.4207780731204147</v>
      </c>
      <c r="P474" s="6">
        <f t="shared" si="71"/>
        <v>0.32737989813156382</v>
      </c>
      <c r="Q474" s="6">
        <f t="shared" si="72"/>
        <v>-1.0605224496473493</v>
      </c>
      <c r="R474" s="6">
        <f t="shared" si="73"/>
        <v>-0.21673598614148823</v>
      </c>
      <c r="S474" s="6">
        <f t="shared" si="74"/>
        <v>-0.33588059530058234</v>
      </c>
      <c r="T474" s="6">
        <f t="shared" si="75"/>
        <v>-0.61093192353649162</v>
      </c>
      <c r="U474" s="6">
        <f t="shared" si="76"/>
        <v>0.82003545892259477</v>
      </c>
      <c r="V474" s="6">
        <f t="shared" si="77"/>
        <v>1.0782349427871476</v>
      </c>
      <c r="W474" s="6">
        <f t="shared" si="78"/>
        <v>0.3232373365167836</v>
      </c>
      <c r="X474" s="6">
        <f t="shared" si="79"/>
        <v>-0.38635027559699342</v>
      </c>
    </row>
    <row r="475" spans="1:24" x14ac:dyDescent="0.35">
      <c r="A475" s="2" t="s">
        <v>516</v>
      </c>
      <c r="B475" s="2" t="s">
        <v>518</v>
      </c>
      <c r="C475" s="2">
        <v>16.04</v>
      </c>
      <c r="D475" s="2">
        <v>8.58</v>
      </c>
      <c r="E475" s="2">
        <v>8151</v>
      </c>
      <c r="F475" s="2">
        <v>65.31</v>
      </c>
      <c r="G475" s="2">
        <v>64.930000000000007</v>
      </c>
      <c r="H475" s="2">
        <v>74.569999999999993</v>
      </c>
      <c r="I475" s="2">
        <v>83.78</v>
      </c>
      <c r="J475" s="2">
        <v>3.23</v>
      </c>
      <c r="K475" s="2">
        <v>75.650000000000006</v>
      </c>
      <c r="L475" s="2">
        <v>1716123</v>
      </c>
      <c r="M475" s="2">
        <v>0</v>
      </c>
      <c r="O475" s="6">
        <f t="shared" si="71"/>
        <v>0.50551923207945038</v>
      </c>
      <c r="P475" s="6">
        <f t="shared" si="71"/>
        <v>8.8006632959936798E-2</v>
      </c>
      <c r="Q475" s="6">
        <f t="shared" si="72"/>
        <v>-0.80080608874460379</v>
      </c>
      <c r="R475" s="6">
        <f t="shared" si="73"/>
        <v>-0.71128897194429574</v>
      </c>
      <c r="S475" s="6">
        <f t="shared" si="74"/>
        <v>-1.3724331932902731</v>
      </c>
      <c r="T475" s="6">
        <f t="shared" si="75"/>
        <v>-0.1417813593326771</v>
      </c>
      <c r="U475" s="6">
        <f t="shared" si="76"/>
        <v>-8.6483628539775009E-2</v>
      </c>
      <c r="V475" s="6">
        <f t="shared" si="77"/>
        <v>-0.69446241202128833</v>
      </c>
      <c r="W475" s="6">
        <f t="shared" si="78"/>
        <v>0.9679766133253439</v>
      </c>
      <c r="X475" s="6">
        <f t="shared" si="79"/>
        <v>-0.42308137734353385</v>
      </c>
    </row>
    <row r="476" spans="1:24" x14ac:dyDescent="0.35">
      <c r="A476" s="2" t="s">
        <v>516</v>
      </c>
      <c r="B476" s="2" t="s">
        <v>519</v>
      </c>
      <c r="C476" s="2">
        <v>31.61</v>
      </c>
      <c r="D476" s="2">
        <v>7.08</v>
      </c>
      <c r="E476" s="2">
        <v>8034</v>
      </c>
      <c r="F476" s="2">
        <v>60.33</v>
      </c>
      <c r="G476" s="2">
        <v>60.24</v>
      </c>
      <c r="H476" s="2">
        <v>61.1</v>
      </c>
      <c r="I476" s="2">
        <v>19.78</v>
      </c>
      <c r="J476" s="2">
        <v>2.9</v>
      </c>
      <c r="K476" s="2">
        <v>74.97</v>
      </c>
      <c r="L476" s="2">
        <v>990094</v>
      </c>
      <c r="M476" s="2">
        <v>1</v>
      </c>
      <c r="O476" s="6">
        <f t="shared" si="71"/>
        <v>2.5950471140454052</v>
      </c>
      <c r="P476" s="6">
        <f t="shared" si="71"/>
        <v>-0.83265977154631954</v>
      </c>
      <c r="Q476" s="6">
        <f t="shared" si="72"/>
        <v>-0.84390795289442122</v>
      </c>
      <c r="R476" s="6">
        <f t="shared" si="73"/>
        <v>-1.4785393985168778</v>
      </c>
      <c r="S476" s="6">
        <f t="shared" si="74"/>
        <v>-2.7341787631983023</v>
      </c>
      <c r="T476" s="6">
        <f t="shared" si="75"/>
        <v>-0.86732189892227318</v>
      </c>
      <c r="U476" s="6">
        <f t="shared" si="76"/>
        <v>-4.1664570179625366</v>
      </c>
      <c r="V476" s="6">
        <f t="shared" si="77"/>
        <v>-0.81972796386000013</v>
      </c>
      <c r="W476" s="6">
        <f t="shared" si="78"/>
        <v>0.86156333462878443</v>
      </c>
      <c r="X476" s="6">
        <f t="shared" si="79"/>
        <v>-0.43825176650936182</v>
      </c>
    </row>
    <row r="477" spans="1:24" x14ac:dyDescent="0.35">
      <c r="A477" s="2" t="s">
        <v>516</v>
      </c>
      <c r="B477" s="2" t="s">
        <v>520</v>
      </c>
      <c r="C477" s="2">
        <v>29.79</v>
      </c>
      <c r="D477" s="2">
        <v>8.2200000000000006</v>
      </c>
      <c r="E477" s="2">
        <v>9708</v>
      </c>
      <c r="F477" s="2">
        <v>64.650000000000006</v>
      </c>
      <c r="G477" s="2">
        <v>60.99</v>
      </c>
      <c r="H477" s="2">
        <v>77.45</v>
      </c>
      <c r="I477" s="2">
        <v>90.37</v>
      </c>
      <c r="J477" s="2">
        <v>4.74</v>
      </c>
      <c r="K477" s="2">
        <v>67.349999999999994</v>
      </c>
      <c r="L477" s="2">
        <v>25061823</v>
      </c>
      <c r="M477" s="2">
        <v>1</v>
      </c>
      <c r="O477" s="6">
        <f t="shared" si="71"/>
        <v>2.3507991535330071</v>
      </c>
      <c r="P477" s="6">
        <f t="shared" si="71"/>
        <v>-0.13295330412156439</v>
      </c>
      <c r="Q477" s="6">
        <f t="shared" si="72"/>
        <v>-0.22721974275088053</v>
      </c>
      <c r="R477" s="6">
        <f t="shared" si="73"/>
        <v>-0.81297276341776981</v>
      </c>
      <c r="S477" s="6">
        <f t="shared" si="74"/>
        <v>-2.5164156123601318</v>
      </c>
      <c r="T477" s="6">
        <f t="shared" si="75"/>
        <v>1.3345348463762764E-2</v>
      </c>
      <c r="U477" s="6">
        <f t="shared" si="76"/>
        <v>0.3336261314023502</v>
      </c>
      <c r="V477" s="6">
        <f t="shared" si="77"/>
        <v>-0.12127761421384972</v>
      </c>
      <c r="W477" s="6">
        <f t="shared" si="78"/>
        <v>-0.33089134723559105</v>
      </c>
      <c r="X477" s="6">
        <f t="shared" si="79"/>
        <v>6.4727448954961561E-2</v>
      </c>
    </row>
    <row r="478" spans="1:24" x14ac:dyDescent="0.35">
      <c r="A478" s="2" t="s">
        <v>516</v>
      </c>
      <c r="B478" s="2" t="s">
        <v>521</v>
      </c>
      <c r="C478" s="2">
        <v>20.56</v>
      </c>
      <c r="D478" s="2">
        <v>8.34</v>
      </c>
      <c r="E478" s="2">
        <v>11977</v>
      </c>
      <c r="F478" s="2">
        <v>72.02</v>
      </c>
      <c r="G478" s="2">
        <v>68.819999999999993</v>
      </c>
      <c r="H478" s="2">
        <v>86.9</v>
      </c>
      <c r="I478" s="2">
        <v>86.2</v>
      </c>
      <c r="J478" s="2">
        <v>7.04</v>
      </c>
      <c r="K478" s="2">
        <v>71.489999999999995</v>
      </c>
      <c r="L478" s="2">
        <v>6593321</v>
      </c>
      <c r="M478" s="2">
        <v>1</v>
      </c>
      <c r="O478" s="6">
        <f t="shared" si="71"/>
        <v>1.1121130680772742</v>
      </c>
      <c r="P478" s="6">
        <f t="shared" si="71"/>
        <v>-5.9299991761064347E-2</v>
      </c>
      <c r="Q478" s="6">
        <f t="shared" si="72"/>
        <v>0.60866170815455178</v>
      </c>
      <c r="R478" s="6">
        <f t="shared" si="73"/>
        <v>0.32249624136936217</v>
      </c>
      <c r="S478" s="6">
        <f t="shared" si="74"/>
        <v>-0.24296831760963145</v>
      </c>
      <c r="T478" s="6">
        <f t="shared" si="75"/>
        <v>0.52235485842082952</v>
      </c>
      <c r="U478" s="6">
        <f t="shared" si="76"/>
        <v>6.7790365247773279E-2</v>
      </c>
      <c r="V478" s="6">
        <f t="shared" si="77"/>
        <v>0.75178532284383803</v>
      </c>
      <c r="W478" s="6">
        <f t="shared" si="78"/>
        <v>0.31697773188757328</v>
      </c>
      <c r="X478" s="6">
        <f t="shared" si="79"/>
        <v>-0.32117223638801018</v>
      </c>
    </row>
    <row r="479" spans="1:24" x14ac:dyDescent="0.35">
      <c r="A479" s="2" t="s">
        <v>516</v>
      </c>
      <c r="B479" s="2" t="s">
        <v>522</v>
      </c>
      <c r="C479" s="2">
        <v>18.55</v>
      </c>
      <c r="D479" s="2">
        <v>7.49</v>
      </c>
      <c r="E479" s="2">
        <v>6188</v>
      </c>
      <c r="F479" s="2">
        <v>62.46</v>
      </c>
      <c r="G479" s="2">
        <v>66.39</v>
      </c>
      <c r="H479" s="2">
        <v>41</v>
      </c>
      <c r="I479" s="2">
        <v>51.38</v>
      </c>
      <c r="J479" s="2">
        <v>3.55</v>
      </c>
      <c r="K479" s="2">
        <v>80.069999999999993</v>
      </c>
      <c r="L479" s="2">
        <v>1300536</v>
      </c>
      <c r="M479" s="2">
        <v>1</v>
      </c>
      <c r="O479" s="6">
        <f t="shared" si="71"/>
        <v>0.84236669410479081</v>
      </c>
      <c r="P479" s="6">
        <f t="shared" si="71"/>
        <v>-0.58101095431460936</v>
      </c>
      <c r="Q479" s="6">
        <f t="shared" si="72"/>
        <v>-1.5239595872582061</v>
      </c>
      <c r="R479" s="6">
        <f t="shared" si="73"/>
        <v>-1.1503780714888456</v>
      </c>
      <c r="S479" s="6">
        <f t="shared" si="74"/>
        <v>-0.9485209263253026</v>
      </c>
      <c r="T479" s="6">
        <f t="shared" si="75"/>
        <v>-1.9499770470849229</v>
      </c>
      <c r="U479" s="6">
        <f t="shared" si="76"/>
        <v>-2.151970156935048</v>
      </c>
      <c r="V479" s="6">
        <f t="shared" si="77"/>
        <v>-0.572992785995871</v>
      </c>
      <c r="W479" s="6">
        <f t="shared" si="78"/>
        <v>1.6596629248529713</v>
      </c>
      <c r="X479" s="6">
        <f t="shared" si="79"/>
        <v>-0.43176507527055735</v>
      </c>
    </row>
    <row r="480" spans="1:24" x14ac:dyDescent="0.35">
      <c r="A480" s="2" t="s">
        <v>516</v>
      </c>
      <c r="B480" s="2" t="s">
        <v>523</v>
      </c>
      <c r="C480" s="2">
        <v>27.78</v>
      </c>
      <c r="D480" s="2">
        <v>8.33</v>
      </c>
      <c r="E480" s="2">
        <v>7350</v>
      </c>
      <c r="F480" s="2">
        <v>65.77</v>
      </c>
      <c r="G480" s="2">
        <v>66.22</v>
      </c>
      <c r="H480" s="2">
        <v>84.26</v>
      </c>
      <c r="I480" s="2">
        <v>85.2</v>
      </c>
      <c r="J480" s="2">
        <v>3.36</v>
      </c>
      <c r="K480" s="2">
        <v>68.89</v>
      </c>
      <c r="L480" s="2">
        <v>8520874</v>
      </c>
      <c r="M480" s="2">
        <v>0</v>
      </c>
      <c r="O480" s="6">
        <f t="shared" si="71"/>
        <v>2.0810527795605238</v>
      </c>
      <c r="P480" s="6">
        <f t="shared" si="71"/>
        <v>-6.5437767791105925E-2</v>
      </c>
      <c r="Q480" s="6">
        <f t="shared" si="72"/>
        <v>-1.0958880817702765</v>
      </c>
      <c r="R480" s="6">
        <f t="shared" si="73"/>
        <v>-0.64041845061429925</v>
      </c>
      <c r="S480" s="6">
        <f t="shared" si="74"/>
        <v>-0.99788057384862183</v>
      </c>
      <c r="T480" s="6">
        <f t="shared" si="75"/>
        <v>0.3801553762740934</v>
      </c>
      <c r="U480" s="6">
        <f t="shared" si="76"/>
        <v>4.0407810380426222E-3</v>
      </c>
      <c r="V480" s="6">
        <f t="shared" si="77"/>
        <v>-0.64511537644846251</v>
      </c>
      <c r="W480" s="6">
        <f t="shared" si="78"/>
        <v>-8.989656901103138E-2</v>
      </c>
      <c r="X480" s="6">
        <f t="shared" si="79"/>
        <v>-0.28089598137924437</v>
      </c>
    </row>
    <row r="481" spans="1:24" x14ac:dyDescent="0.35">
      <c r="A481" s="2" t="s">
        <v>516</v>
      </c>
      <c r="B481" s="2" t="s">
        <v>524</v>
      </c>
      <c r="C481" s="2">
        <v>17.5</v>
      </c>
      <c r="D481" s="2">
        <v>8.02</v>
      </c>
      <c r="E481" s="2">
        <v>7882</v>
      </c>
      <c r="F481" s="2">
        <v>63.92</v>
      </c>
      <c r="G481" s="2">
        <v>64.83</v>
      </c>
      <c r="H481" s="2">
        <v>55.11</v>
      </c>
      <c r="I481" s="2">
        <v>73.45</v>
      </c>
      <c r="J481" s="2">
        <v>3.81</v>
      </c>
      <c r="K481" s="2">
        <v>66.430000000000007</v>
      </c>
      <c r="L481" s="2">
        <v>2590412</v>
      </c>
      <c r="M481" s="2">
        <v>1</v>
      </c>
      <c r="O481" s="6">
        <f t="shared" si="71"/>
        <v>0.70145440919379176</v>
      </c>
      <c r="P481" s="6">
        <f t="shared" si="71"/>
        <v>-0.2557088247223992</v>
      </c>
      <c r="Q481" s="6">
        <f t="shared" si="72"/>
        <v>-0.89990353708905568</v>
      </c>
      <c r="R481" s="6">
        <f t="shared" si="73"/>
        <v>-0.92544119944146208</v>
      </c>
      <c r="S481" s="6">
        <f t="shared" si="74"/>
        <v>-1.4014682800686984</v>
      </c>
      <c r="T481" s="6">
        <f t="shared" si="75"/>
        <v>-1.1899639057627842</v>
      </c>
      <c r="U481" s="6">
        <f t="shared" si="76"/>
        <v>-0.74501683342629255</v>
      </c>
      <c r="V481" s="6">
        <f t="shared" si="77"/>
        <v>-0.47429871485021918</v>
      </c>
      <c r="W481" s="6">
        <f t="shared" si="78"/>
        <v>-0.47486225370740337</v>
      </c>
      <c r="X481" s="6">
        <f t="shared" si="79"/>
        <v>-0.40481309277996602</v>
      </c>
    </row>
    <row r="482" spans="1:24" x14ac:dyDescent="0.35">
      <c r="A482" s="2" t="s">
        <v>516</v>
      </c>
      <c r="B482" s="2" t="s">
        <v>525</v>
      </c>
      <c r="C482" s="2">
        <v>33.86</v>
      </c>
      <c r="D482" s="2">
        <v>5.39</v>
      </c>
      <c r="E482" s="2">
        <v>4903</v>
      </c>
      <c r="F482" s="2">
        <v>53.71</v>
      </c>
      <c r="G482" s="2">
        <v>60.2</v>
      </c>
      <c r="H482" s="2">
        <v>69.75</v>
      </c>
      <c r="I482" s="2">
        <v>37.049999999999997</v>
      </c>
      <c r="J482" s="2">
        <v>1.49</v>
      </c>
      <c r="K482" s="2">
        <v>75.61</v>
      </c>
      <c r="L482" s="2">
        <v>147485</v>
      </c>
      <c r="M482" s="2">
        <v>1</v>
      </c>
      <c r="O482" s="6">
        <f t="shared" si="71"/>
        <v>2.8970020102832601</v>
      </c>
      <c r="P482" s="6">
        <f t="shared" si="71"/>
        <v>-1.8699439206233688</v>
      </c>
      <c r="Q482" s="6">
        <f t="shared" si="72"/>
        <v>-1.9973433089036361</v>
      </c>
      <c r="R482" s="6">
        <f t="shared" si="73"/>
        <v>-2.4984586402659716</v>
      </c>
      <c r="S482" s="6">
        <f t="shared" si="74"/>
        <v>-2.7457927979096715</v>
      </c>
      <c r="T482" s="6">
        <f t="shared" si="75"/>
        <v>-0.40140314113088427</v>
      </c>
      <c r="U482" s="6">
        <f t="shared" si="76"/>
        <v>-3.0655016986604888</v>
      </c>
      <c r="V482" s="6">
        <f t="shared" si="77"/>
        <v>-1.3549535035344955</v>
      </c>
      <c r="W482" s="6">
        <f t="shared" si="78"/>
        <v>0.96171700869613352</v>
      </c>
      <c r="X482" s="6">
        <f t="shared" si="79"/>
        <v>-0.45585809689648016</v>
      </c>
    </row>
    <row r="483" spans="1:24" x14ac:dyDescent="0.35">
      <c r="A483" s="2" t="s">
        <v>516</v>
      </c>
      <c r="B483" s="2" t="s">
        <v>526</v>
      </c>
      <c r="C483" s="2">
        <v>31.39</v>
      </c>
      <c r="D483" s="2">
        <v>6.96</v>
      </c>
      <c r="E483" s="2">
        <v>5245</v>
      </c>
      <c r="F483" s="2">
        <v>59.7</v>
      </c>
      <c r="G483" s="2">
        <v>65.25</v>
      </c>
      <c r="H483" s="2">
        <v>70.489999999999995</v>
      </c>
      <c r="I483" s="2">
        <v>40.83</v>
      </c>
      <c r="J483" s="2">
        <v>1.89</v>
      </c>
      <c r="K483" s="2">
        <v>81.510000000000005</v>
      </c>
      <c r="L483" s="2">
        <v>467690</v>
      </c>
      <c r="M483" s="2">
        <v>1</v>
      </c>
      <c r="O483" s="6">
        <f t="shared" si="71"/>
        <v>2.5655226353021487</v>
      </c>
      <c r="P483" s="6">
        <f t="shared" si="71"/>
        <v>-0.90631308390682019</v>
      </c>
      <c r="Q483" s="6">
        <f t="shared" si="72"/>
        <v>-1.8713532444657084</v>
      </c>
      <c r="R483" s="6">
        <f t="shared" si="73"/>
        <v>-1.5756011994688301</v>
      </c>
      <c r="S483" s="6">
        <f t="shared" si="74"/>
        <v>-1.2795209155993224</v>
      </c>
      <c r="T483" s="6">
        <f t="shared" si="75"/>
        <v>-0.36154419537763277</v>
      </c>
      <c r="U483" s="6">
        <f t="shared" si="76"/>
        <v>-2.8245282703477068</v>
      </c>
      <c r="V483" s="6">
        <f t="shared" si="77"/>
        <v>-1.203116471002724</v>
      </c>
      <c r="W483" s="6">
        <f t="shared" si="78"/>
        <v>1.8850086915045086</v>
      </c>
      <c r="X483" s="6">
        <f t="shared" si="79"/>
        <v>-0.4491674075950281</v>
      </c>
    </row>
    <row r="484" spans="1:24" x14ac:dyDescent="0.35">
      <c r="A484" s="2" t="s">
        <v>516</v>
      </c>
      <c r="B484" s="2" t="s">
        <v>527</v>
      </c>
      <c r="C484" s="2">
        <v>29.3</v>
      </c>
      <c r="D484" s="2">
        <v>6.63</v>
      </c>
      <c r="E484" s="2">
        <v>5505</v>
      </c>
      <c r="F484" s="2">
        <v>59.85</v>
      </c>
      <c r="G484" s="2">
        <v>67.599999999999994</v>
      </c>
      <c r="H484" s="2">
        <v>91.54</v>
      </c>
      <c r="I484" s="2">
        <v>80.77</v>
      </c>
      <c r="J484" s="2">
        <v>2.9</v>
      </c>
      <c r="K484" s="2">
        <v>84.61</v>
      </c>
      <c r="L484" s="2">
        <v>586829</v>
      </c>
      <c r="M484" s="2">
        <v>1</v>
      </c>
      <c r="O484" s="6">
        <f t="shared" si="71"/>
        <v>2.285040087241208</v>
      </c>
      <c r="P484" s="6">
        <f t="shared" si="71"/>
        <v>-1.1088596928981966</v>
      </c>
      <c r="Q484" s="6">
        <f t="shared" si="72"/>
        <v>-1.7755713241327811</v>
      </c>
      <c r="R484" s="6">
        <f t="shared" si="73"/>
        <v>-1.5524912468612224</v>
      </c>
      <c r="S484" s="6">
        <f t="shared" si="74"/>
        <v>-0.59719637630638889</v>
      </c>
      <c r="T484" s="6">
        <f t="shared" si="75"/>
        <v>0.77228122098175955</v>
      </c>
      <c r="U484" s="6">
        <f t="shared" si="76"/>
        <v>-0.27836987701106458</v>
      </c>
      <c r="V484" s="6">
        <f t="shared" si="77"/>
        <v>-0.81972796386000013</v>
      </c>
      <c r="W484" s="6">
        <f t="shared" si="78"/>
        <v>2.3701280502682298</v>
      </c>
      <c r="X484" s="6">
        <f t="shared" si="79"/>
        <v>-0.44667799602217417</v>
      </c>
    </row>
    <row r="485" spans="1:24" x14ac:dyDescent="0.35">
      <c r="A485" s="2" t="s">
        <v>516</v>
      </c>
      <c r="B485" s="2" t="s">
        <v>528</v>
      </c>
      <c r="C485" s="2">
        <v>34.700000000000003</v>
      </c>
      <c r="D485" s="2">
        <v>5.12</v>
      </c>
      <c r="E485" s="2">
        <v>5009</v>
      </c>
      <c r="F485" s="2">
        <v>56.13</v>
      </c>
      <c r="G485" s="2">
        <v>67.260000000000005</v>
      </c>
      <c r="H485" s="2">
        <v>45.21</v>
      </c>
      <c r="I485" s="2">
        <v>82.47</v>
      </c>
      <c r="J485" s="2">
        <v>0.7</v>
      </c>
      <c r="K485" s="2">
        <v>94.71</v>
      </c>
      <c r="L485" s="2">
        <v>157525</v>
      </c>
      <c r="M485" s="2">
        <v>0</v>
      </c>
      <c r="O485" s="6">
        <f t="shared" si="71"/>
        <v>3.0097318382120597</v>
      </c>
      <c r="P485" s="6">
        <f t="shared" si="71"/>
        <v>-2.0356638734344945</v>
      </c>
      <c r="Q485" s="6">
        <f t="shared" si="72"/>
        <v>-1.9582937567679042</v>
      </c>
      <c r="R485" s="6">
        <f t="shared" si="73"/>
        <v>-2.1256180715298973</v>
      </c>
      <c r="S485" s="6">
        <f t="shared" si="74"/>
        <v>-0.69591567135302324</v>
      </c>
      <c r="T485" s="6">
        <f t="shared" si="75"/>
        <v>-1.7232119638130445</v>
      </c>
      <c r="U485" s="6">
        <f t="shared" si="76"/>
        <v>-0.16999558385452232</v>
      </c>
      <c r="V485" s="6">
        <f t="shared" si="77"/>
        <v>-1.6548316427847449</v>
      </c>
      <c r="W485" s="6">
        <f t="shared" si="78"/>
        <v>3.9506782191435814</v>
      </c>
      <c r="X485" s="6">
        <f t="shared" si="79"/>
        <v>-0.45564831091379226</v>
      </c>
    </row>
    <row r="486" spans="1:24" x14ac:dyDescent="0.35">
      <c r="A486" s="2" t="s">
        <v>516</v>
      </c>
      <c r="B486" s="2" t="s">
        <v>529</v>
      </c>
      <c r="C486" s="2">
        <v>15.35</v>
      </c>
      <c r="D486" s="2">
        <v>11.19</v>
      </c>
      <c r="E486" s="2">
        <v>13744</v>
      </c>
      <c r="F486" s="2">
        <v>78.489999999999995</v>
      </c>
      <c r="G486" s="2">
        <v>70.930000000000007</v>
      </c>
      <c r="H486" s="2">
        <v>90.73</v>
      </c>
      <c r="I486" s="2">
        <v>92.18</v>
      </c>
      <c r="J486" s="2">
        <v>9.9499999999999993</v>
      </c>
      <c r="K486" s="2">
        <v>61.4</v>
      </c>
      <c r="L486" s="2">
        <v>9986993</v>
      </c>
      <c r="M486" s="2">
        <v>0</v>
      </c>
      <c r="O486" s="6">
        <f t="shared" si="71"/>
        <v>0.41291973056650833</v>
      </c>
      <c r="P486" s="6">
        <f t="shared" si="71"/>
        <v>1.6899661768008225</v>
      </c>
      <c r="Q486" s="6">
        <f t="shared" si="72"/>
        <v>1.259610374417178</v>
      </c>
      <c r="R486" s="6">
        <f t="shared" si="73"/>
        <v>1.3193055305108483</v>
      </c>
      <c r="S486" s="6">
        <f t="shared" si="74"/>
        <v>0.36967201341509293</v>
      </c>
      <c r="T486" s="6">
        <f t="shared" si="75"/>
        <v>0.72865183441401093</v>
      </c>
      <c r="U486" s="6">
        <f t="shared" si="76"/>
        <v>0.44901287882196284</v>
      </c>
      <c r="V486" s="6">
        <f t="shared" si="77"/>
        <v>1.8563997345124774</v>
      </c>
      <c r="W486" s="6">
        <f t="shared" si="78"/>
        <v>-1.2620075358304761</v>
      </c>
      <c r="X486" s="6">
        <f t="shared" si="79"/>
        <v>-0.25026139819673437</v>
      </c>
    </row>
    <row r="487" spans="1:24" x14ac:dyDescent="0.35">
      <c r="A487" s="2" t="s">
        <v>530</v>
      </c>
      <c r="B487" s="2" t="s">
        <v>531</v>
      </c>
      <c r="C487" s="2">
        <v>10.16</v>
      </c>
      <c r="D487" s="2">
        <v>8.73</v>
      </c>
      <c r="E487" s="2">
        <v>10201</v>
      </c>
      <c r="F487" s="2">
        <v>70.489999999999995</v>
      </c>
      <c r="G487" s="2">
        <v>67.069999999999993</v>
      </c>
      <c r="H487" s="2">
        <v>82.1</v>
      </c>
      <c r="I487" s="2">
        <v>71.349999999999994</v>
      </c>
      <c r="J487" s="2">
        <v>2.19</v>
      </c>
      <c r="K487" s="2">
        <v>70.69</v>
      </c>
      <c r="L487" s="2">
        <v>10424592</v>
      </c>
      <c r="M487" s="2">
        <v>1</v>
      </c>
      <c r="O487" s="6">
        <f t="shared" si="71"/>
        <v>-0.28358956342214331</v>
      </c>
      <c r="P487" s="6">
        <f t="shared" si="71"/>
        <v>0.18007327341056265</v>
      </c>
      <c r="Q487" s="6">
        <f t="shared" si="72"/>
        <v>-4.5602486119598835E-2</v>
      </c>
      <c r="R487" s="6">
        <f t="shared" si="73"/>
        <v>8.6774724771761666E-2</v>
      </c>
      <c r="S487" s="6">
        <f t="shared" si="74"/>
        <v>-0.75108233623202991</v>
      </c>
      <c r="T487" s="6">
        <f t="shared" si="75"/>
        <v>0.26381034542676335</v>
      </c>
      <c r="U487" s="6">
        <f t="shared" si="76"/>
        <v>-0.87889096026672742</v>
      </c>
      <c r="V487" s="6">
        <f t="shared" si="77"/>
        <v>-1.0892386966038949</v>
      </c>
      <c r="W487" s="6">
        <f t="shared" si="78"/>
        <v>0.19178563930338741</v>
      </c>
      <c r="X487" s="6">
        <f t="shared" si="79"/>
        <v>-0.24111775912918038</v>
      </c>
    </row>
    <row r="488" spans="1:24" x14ac:dyDescent="0.35">
      <c r="A488" s="2" t="s">
        <v>530</v>
      </c>
      <c r="B488" s="2" t="s">
        <v>532</v>
      </c>
      <c r="C488" s="2">
        <v>37.090000000000003</v>
      </c>
      <c r="D488" s="2">
        <v>5.6</v>
      </c>
      <c r="E488" s="2">
        <v>7545</v>
      </c>
      <c r="F488" s="2">
        <v>58.67</v>
      </c>
      <c r="G488" s="2">
        <v>59.9</v>
      </c>
      <c r="H488" s="2">
        <v>23.7</v>
      </c>
      <c r="I488" s="2">
        <v>43.48</v>
      </c>
      <c r="J488" s="2">
        <v>1.62</v>
      </c>
      <c r="K488" s="2">
        <v>84.14</v>
      </c>
      <c r="L488" s="2">
        <v>4659979</v>
      </c>
      <c r="M488" s="2">
        <v>0</v>
      </c>
      <c r="O488" s="6">
        <f t="shared" si="71"/>
        <v>3.3304750391047144</v>
      </c>
      <c r="P488" s="6">
        <f t="shared" si="71"/>
        <v>-1.7410506239924928</v>
      </c>
      <c r="Q488" s="6">
        <f t="shared" si="72"/>
        <v>-1.0240516415205809</v>
      </c>
      <c r="R488" s="6">
        <f t="shared" si="73"/>
        <v>-1.7342895407077377</v>
      </c>
      <c r="S488" s="6">
        <f t="shared" si="74"/>
        <v>-2.832898058244941</v>
      </c>
      <c r="T488" s="6">
        <f t="shared" si="75"/>
        <v>-2.8818145626677008</v>
      </c>
      <c r="U488" s="6">
        <f t="shared" si="76"/>
        <v>-2.6555918721919207</v>
      </c>
      <c r="V488" s="6">
        <f t="shared" si="77"/>
        <v>-1.3056064679616697</v>
      </c>
      <c r="W488" s="6">
        <f t="shared" si="78"/>
        <v>2.2965776958750204</v>
      </c>
      <c r="X488" s="6">
        <f t="shared" si="79"/>
        <v>-0.36156945265711266</v>
      </c>
    </row>
    <row r="489" spans="1:24" x14ac:dyDescent="0.35">
      <c r="A489" s="2" t="s">
        <v>530</v>
      </c>
      <c r="B489" s="2" t="s">
        <v>533</v>
      </c>
      <c r="C489" s="2">
        <v>12.13</v>
      </c>
      <c r="D489" s="2">
        <v>10.050000000000001</v>
      </c>
      <c r="E489" s="2">
        <v>9989</v>
      </c>
      <c r="F489" s="2">
        <v>72.03</v>
      </c>
      <c r="G489" s="2">
        <v>67.16</v>
      </c>
      <c r="H489" s="2">
        <v>71.239999999999995</v>
      </c>
      <c r="I489" s="2">
        <v>74.87</v>
      </c>
      <c r="J489" s="2">
        <v>7.87</v>
      </c>
      <c r="K489" s="2">
        <v>67.97</v>
      </c>
      <c r="L489" s="2">
        <v>10271631</v>
      </c>
      <c r="M489" s="2">
        <v>1</v>
      </c>
      <c r="O489" s="6">
        <f t="shared" si="71"/>
        <v>-1.9211276493888138E-2</v>
      </c>
      <c r="P489" s="6">
        <f t="shared" si="71"/>
        <v>0.99025970937606844</v>
      </c>
      <c r="Q489" s="6">
        <f t="shared" si="72"/>
        <v>-0.12370159039106277</v>
      </c>
      <c r="R489" s="6">
        <f t="shared" si="73"/>
        <v>0.3240369048765368</v>
      </c>
      <c r="S489" s="6">
        <f t="shared" si="74"/>
        <v>-0.72495075813144838</v>
      </c>
      <c r="T489" s="6">
        <f t="shared" si="75"/>
        <v>-0.32114661522231003</v>
      </c>
      <c r="U489" s="6">
        <f t="shared" si="76"/>
        <v>-0.65449242384847495</v>
      </c>
      <c r="V489" s="6">
        <f t="shared" si="77"/>
        <v>1.0668471653472644</v>
      </c>
      <c r="W489" s="6">
        <f t="shared" si="78"/>
        <v>-0.23386747548284592</v>
      </c>
      <c r="X489" s="6">
        <f t="shared" si="79"/>
        <v>-0.24431388200745963</v>
      </c>
    </row>
    <row r="490" spans="1:24" x14ac:dyDescent="0.35">
      <c r="A490" s="2" t="s">
        <v>530</v>
      </c>
      <c r="B490" s="2" t="s">
        <v>534</v>
      </c>
      <c r="C490" s="2">
        <v>23.83</v>
      </c>
      <c r="D490" s="2">
        <v>10.01</v>
      </c>
      <c r="E490" s="2">
        <v>8856</v>
      </c>
      <c r="F490" s="2">
        <v>69.150000000000006</v>
      </c>
      <c r="G490" s="2">
        <v>68.150000000000006</v>
      </c>
      <c r="H490" s="2">
        <v>85.73</v>
      </c>
      <c r="I490" s="2">
        <v>87.19</v>
      </c>
      <c r="J490" s="2">
        <v>3.05</v>
      </c>
      <c r="K490" s="2">
        <v>73.09</v>
      </c>
      <c r="L490" s="2">
        <v>7693272</v>
      </c>
      <c r="M490" s="2">
        <v>1</v>
      </c>
      <c r="O490" s="6">
        <f t="shared" si="71"/>
        <v>1.5509541839429564</v>
      </c>
      <c r="P490" s="6">
        <f t="shared" si="71"/>
        <v>0.96570860525590108</v>
      </c>
      <c r="Q490" s="6">
        <f t="shared" si="72"/>
        <v>-0.54108972784185816</v>
      </c>
      <c r="R490" s="6">
        <f t="shared" si="73"/>
        <v>-0.11967418518953367</v>
      </c>
      <c r="S490" s="6">
        <f t="shared" si="74"/>
        <v>-0.43750339902506036</v>
      </c>
      <c r="T490" s="6">
        <f t="shared" si="75"/>
        <v>0.45933463337852593</v>
      </c>
      <c r="U490" s="6">
        <f t="shared" si="76"/>
        <v>0.13090245361540628</v>
      </c>
      <c r="V490" s="6">
        <f t="shared" si="77"/>
        <v>-0.76278907666058571</v>
      </c>
      <c r="W490" s="6">
        <f t="shared" si="78"/>
        <v>0.5673619170559473</v>
      </c>
      <c r="X490" s="6">
        <f t="shared" si="79"/>
        <v>-0.29818874022829528</v>
      </c>
    </row>
    <row r="491" spans="1:24" x14ac:dyDescent="0.35">
      <c r="A491" s="2" t="s">
        <v>530</v>
      </c>
      <c r="B491" s="2" t="s">
        <v>535</v>
      </c>
      <c r="C491" s="2">
        <v>26.09</v>
      </c>
      <c r="D491" s="2">
        <v>9.4700000000000006</v>
      </c>
      <c r="E491" s="2">
        <v>7491</v>
      </c>
      <c r="F491" s="2">
        <v>67.72</v>
      </c>
      <c r="G491" s="2">
        <v>69.17</v>
      </c>
      <c r="H491" s="2">
        <v>68.36</v>
      </c>
      <c r="I491" s="2">
        <v>80.89</v>
      </c>
      <c r="J491" s="2">
        <v>2.4700000000000002</v>
      </c>
      <c r="K491" s="2">
        <v>63.94</v>
      </c>
      <c r="L491" s="2">
        <v>2901321</v>
      </c>
      <c r="M491" s="2">
        <v>1</v>
      </c>
      <c r="O491" s="6">
        <f t="shared" si="71"/>
        <v>1.8542511019418684</v>
      </c>
      <c r="P491" s="6">
        <f t="shared" si="71"/>
        <v>0.63426869963364929</v>
      </c>
      <c r="Q491" s="6">
        <f t="shared" si="72"/>
        <v>-1.0439448095897275</v>
      </c>
      <c r="R491" s="6">
        <f t="shared" si="73"/>
        <v>-0.33998906671539642</v>
      </c>
      <c r="S491" s="6">
        <f t="shared" si="74"/>
        <v>-0.14134551388514929</v>
      </c>
      <c r="T491" s="6">
        <f t="shared" si="75"/>
        <v>-0.47627332301874908</v>
      </c>
      <c r="U491" s="6">
        <f t="shared" si="76"/>
        <v>-0.27071992690589664</v>
      </c>
      <c r="V491" s="6">
        <f t="shared" si="77"/>
        <v>-0.98295277383165469</v>
      </c>
      <c r="W491" s="6">
        <f t="shared" si="78"/>
        <v>-0.86452264187568473</v>
      </c>
      <c r="X491" s="6">
        <f t="shared" si="79"/>
        <v>-0.39831664356766405</v>
      </c>
    </row>
    <row r="492" spans="1:24" x14ac:dyDescent="0.35">
      <c r="A492" s="2" t="s">
        <v>530</v>
      </c>
      <c r="B492" s="2" t="s">
        <v>536</v>
      </c>
      <c r="C492" s="2">
        <v>24.45</v>
      </c>
      <c r="D492" s="2">
        <v>10.34</v>
      </c>
      <c r="E492" s="2">
        <v>9607</v>
      </c>
      <c r="F492" s="2">
        <v>72.33</v>
      </c>
      <c r="G492" s="2">
        <v>68.290000000000006</v>
      </c>
      <c r="H492" s="2">
        <v>83.32</v>
      </c>
      <c r="I492" s="2">
        <v>97.67</v>
      </c>
      <c r="J492" s="2">
        <v>9.49</v>
      </c>
      <c r="K492" s="2">
        <v>69.47</v>
      </c>
      <c r="L492" s="2">
        <v>3327269</v>
      </c>
      <c r="M492" s="2">
        <v>1</v>
      </c>
      <c r="O492" s="6">
        <f t="shared" si="71"/>
        <v>1.6341595331284986</v>
      </c>
      <c r="P492" s="6">
        <f t="shared" si="71"/>
        <v>1.1682552142472775</v>
      </c>
      <c r="Q492" s="6">
        <f t="shared" si="72"/>
        <v>-0.26442733488021003</v>
      </c>
      <c r="R492" s="6">
        <f t="shared" si="73"/>
        <v>0.3702568100917521</v>
      </c>
      <c r="S492" s="6">
        <f t="shared" si="74"/>
        <v>-0.39685427753526831</v>
      </c>
      <c r="T492" s="6">
        <f t="shared" si="75"/>
        <v>0.32952374247942162</v>
      </c>
      <c r="U492" s="6">
        <f t="shared" si="76"/>
        <v>0.79899809613338379</v>
      </c>
      <c r="V492" s="6">
        <f t="shared" si="77"/>
        <v>1.6817871471009402</v>
      </c>
      <c r="W492" s="6">
        <f t="shared" si="78"/>
        <v>8.6769811250344078E-4</v>
      </c>
      <c r="X492" s="6">
        <f t="shared" si="79"/>
        <v>-0.3894164523571117</v>
      </c>
    </row>
    <row r="493" spans="1:24" x14ac:dyDescent="0.35">
      <c r="A493" s="2" t="s">
        <v>530</v>
      </c>
      <c r="B493" s="2" t="s">
        <v>537</v>
      </c>
      <c r="C493" s="2">
        <v>36.590000000000003</v>
      </c>
      <c r="D493" s="2">
        <v>4.7699999999999996</v>
      </c>
      <c r="E493" s="2">
        <v>6377</v>
      </c>
      <c r="F493" s="2">
        <v>56.7</v>
      </c>
      <c r="G493" s="2">
        <v>66.62</v>
      </c>
      <c r="H493" s="2">
        <v>0.26</v>
      </c>
      <c r="I493" s="2">
        <v>82.09</v>
      </c>
      <c r="J493" s="2">
        <v>0.74</v>
      </c>
      <c r="K493" s="2">
        <v>89.26</v>
      </c>
      <c r="L493" s="2">
        <v>3084841</v>
      </c>
      <c r="M493" s="2">
        <v>1</v>
      </c>
      <c r="O493" s="6">
        <f t="shared" si="71"/>
        <v>3.2633739510518578</v>
      </c>
      <c r="P493" s="6">
        <f t="shared" si="71"/>
        <v>-2.2504860344859545</v>
      </c>
      <c r="Q493" s="6">
        <f t="shared" si="72"/>
        <v>-1.4543334990161936</v>
      </c>
      <c r="R493" s="6">
        <f t="shared" si="73"/>
        <v>-2.0378002516209874</v>
      </c>
      <c r="S493" s="6">
        <f t="shared" si="74"/>
        <v>-0.88174022673492913</v>
      </c>
      <c r="T493" s="6">
        <f t="shared" si="75"/>
        <v>-4.1443736011220542</v>
      </c>
      <c r="U493" s="6">
        <f t="shared" si="76"/>
        <v>-0.19422042585421967</v>
      </c>
      <c r="V493" s="6">
        <f t="shared" si="77"/>
        <v>-1.6396479395315677</v>
      </c>
      <c r="W493" s="6">
        <f t="shared" si="78"/>
        <v>3.0978070884138136</v>
      </c>
      <c r="X493" s="6">
        <f t="shared" si="79"/>
        <v>-0.39448198982833305</v>
      </c>
    </row>
    <row r="494" spans="1:24" x14ac:dyDescent="0.35">
      <c r="A494" s="2" t="s">
        <v>530</v>
      </c>
      <c r="B494" s="2" t="s">
        <v>538</v>
      </c>
      <c r="C494" s="2">
        <v>36</v>
      </c>
      <c r="D494" s="2">
        <v>3.74</v>
      </c>
      <c r="E494" s="2">
        <v>5289</v>
      </c>
      <c r="F494" s="2">
        <v>48.99</v>
      </c>
      <c r="G494" s="2">
        <v>65.33</v>
      </c>
      <c r="H494" s="2">
        <v>15.79</v>
      </c>
      <c r="I494" s="2">
        <v>82.87</v>
      </c>
      <c r="J494" s="2">
        <v>1.74</v>
      </c>
      <c r="K494" s="2">
        <v>91.39</v>
      </c>
      <c r="L494" s="2">
        <v>983029</v>
      </c>
      <c r="M494" s="2">
        <v>1</v>
      </c>
      <c r="O494" s="6">
        <f t="shared" si="71"/>
        <v>3.1841946671494865</v>
      </c>
      <c r="P494" s="6">
        <f t="shared" si="71"/>
        <v>-2.8826769655802504</v>
      </c>
      <c r="Q494" s="6">
        <f t="shared" si="72"/>
        <v>-1.8551439964093668</v>
      </c>
      <c r="R494" s="6">
        <f t="shared" si="73"/>
        <v>-3.2256518156520322</v>
      </c>
      <c r="S494" s="6">
        <f t="shared" si="74"/>
        <v>-1.2562928461765845</v>
      </c>
      <c r="T494" s="6">
        <f t="shared" si="75"/>
        <v>-3.3078743747058383</v>
      </c>
      <c r="U494" s="6">
        <f t="shared" si="76"/>
        <v>-0.14449575017062968</v>
      </c>
      <c r="V494" s="6">
        <f t="shared" si="77"/>
        <v>-1.2600553582021381</v>
      </c>
      <c r="W494" s="6">
        <f t="shared" si="78"/>
        <v>3.431131034919209</v>
      </c>
      <c r="X494" s="6">
        <f t="shared" si="79"/>
        <v>-0.4383993898129166</v>
      </c>
    </row>
    <row r="495" spans="1:24" x14ac:dyDescent="0.35">
      <c r="A495" s="2" t="s">
        <v>530</v>
      </c>
      <c r="B495" s="2" t="s">
        <v>539</v>
      </c>
      <c r="C495" s="2">
        <v>14.17</v>
      </c>
      <c r="D495" s="2">
        <v>10.18</v>
      </c>
      <c r="E495" s="2">
        <v>11400</v>
      </c>
      <c r="F495" s="2">
        <v>74.48</v>
      </c>
      <c r="G495" s="2">
        <v>72.36</v>
      </c>
      <c r="H495" s="2">
        <v>83.63</v>
      </c>
      <c r="I495" s="2">
        <v>91.26</v>
      </c>
      <c r="J495" s="2">
        <v>5.37</v>
      </c>
      <c r="K495" s="2">
        <v>64.77</v>
      </c>
      <c r="L495" s="2">
        <v>69619313</v>
      </c>
      <c r="M495" s="2">
        <v>0</v>
      </c>
      <c r="O495" s="6">
        <f t="shared" si="71"/>
        <v>0.25456116276176671</v>
      </c>
      <c r="P495" s="6">
        <f t="shared" si="71"/>
        <v>1.0700507977666101</v>
      </c>
      <c r="Q495" s="6">
        <f t="shared" si="72"/>
        <v>0.39609952341570898</v>
      </c>
      <c r="R495" s="6">
        <f t="shared" si="73"/>
        <v>0.70149946413413244</v>
      </c>
      <c r="S495" s="6">
        <f t="shared" si="74"/>
        <v>0.78487375434653639</v>
      </c>
      <c r="T495" s="6">
        <f t="shared" si="75"/>
        <v>0.3462214089436218</v>
      </c>
      <c r="U495" s="6">
        <f t="shared" si="76"/>
        <v>0.3903632613490105</v>
      </c>
      <c r="V495" s="6">
        <f t="shared" si="77"/>
        <v>0.11786571202369081</v>
      </c>
      <c r="W495" s="6">
        <f t="shared" si="78"/>
        <v>-0.73463584581959163</v>
      </c>
      <c r="X495" s="6">
        <f t="shared" si="79"/>
        <v>0.99575701327331334</v>
      </c>
    </row>
    <row r="496" spans="1:24" x14ac:dyDescent="0.35">
      <c r="A496" s="2" t="s">
        <v>530</v>
      </c>
      <c r="B496" s="2" t="s">
        <v>540</v>
      </c>
      <c r="C496" s="2">
        <v>19.899999999999999</v>
      </c>
      <c r="D496" s="2">
        <v>8.7899999999999991</v>
      </c>
      <c r="E496" s="2">
        <v>7864</v>
      </c>
      <c r="F496" s="2">
        <v>61.62</v>
      </c>
      <c r="G496" s="2">
        <v>60.32</v>
      </c>
      <c r="H496" s="2">
        <v>61.71</v>
      </c>
      <c r="I496" s="2">
        <v>64.5</v>
      </c>
      <c r="J496" s="2">
        <v>6.73</v>
      </c>
      <c r="K496" s="2">
        <v>79.72</v>
      </c>
      <c r="L496" s="2">
        <v>3223281</v>
      </c>
      <c r="M496" s="2">
        <v>0</v>
      </c>
      <c r="O496" s="6">
        <f t="shared" si="71"/>
        <v>1.0235396318475034</v>
      </c>
      <c r="P496" s="6">
        <f t="shared" si="71"/>
        <v>0.21689992959081214</v>
      </c>
      <c r="Q496" s="6">
        <f t="shared" si="72"/>
        <v>-0.90653459311210449</v>
      </c>
      <c r="R496" s="6">
        <f t="shared" si="73"/>
        <v>-1.2797938060914502</v>
      </c>
      <c r="S496" s="6">
        <f t="shared" si="74"/>
        <v>-2.710950693775565</v>
      </c>
      <c r="T496" s="6">
        <f t="shared" si="75"/>
        <v>-0.83446520039594407</v>
      </c>
      <c r="U496" s="6">
        <f t="shared" si="76"/>
        <v>-1.3155756121033821</v>
      </c>
      <c r="V496" s="6">
        <f t="shared" si="77"/>
        <v>0.63411162263171506</v>
      </c>
      <c r="W496" s="6">
        <f t="shared" si="78"/>
        <v>1.6048913843473906</v>
      </c>
      <c r="X496" s="6">
        <f t="shared" si="79"/>
        <v>-0.39158928350927796</v>
      </c>
    </row>
    <row r="497" spans="1:24" x14ac:dyDescent="0.35">
      <c r="A497" s="2" t="s">
        <v>530</v>
      </c>
      <c r="B497" s="2" t="s">
        <v>541</v>
      </c>
      <c r="C497" s="2">
        <v>26.05</v>
      </c>
      <c r="D497" s="2">
        <v>6.51</v>
      </c>
      <c r="E497" s="2">
        <v>6327</v>
      </c>
      <c r="F497" s="2">
        <v>58.7</v>
      </c>
      <c r="G497" s="2">
        <v>65.31</v>
      </c>
      <c r="H497" s="2">
        <v>35.29</v>
      </c>
      <c r="I497" s="2">
        <v>48.66</v>
      </c>
      <c r="J497" s="2">
        <v>4.1100000000000003</v>
      </c>
      <c r="K497" s="2">
        <v>61.6</v>
      </c>
      <c r="L497" s="2">
        <v>1883775</v>
      </c>
      <c r="M497" s="2">
        <v>1</v>
      </c>
      <c r="O497" s="6">
        <f t="shared" si="71"/>
        <v>1.8488830148976401</v>
      </c>
      <c r="P497" s="6">
        <f t="shared" si="71"/>
        <v>-1.1825130052586972</v>
      </c>
      <c r="Q497" s="6">
        <f t="shared" si="72"/>
        <v>-1.472753099080218</v>
      </c>
      <c r="R497" s="6">
        <f t="shared" si="73"/>
        <v>-1.729667550186216</v>
      </c>
      <c r="S497" s="6">
        <f t="shared" si="74"/>
        <v>-1.262099863532268</v>
      </c>
      <c r="T497" s="6">
        <f t="shared" si="75"/>
        <v>-2.2575372906674467</v>
      </c>
      <c r="U497" s="6">
        <f t="shared" si="76"/>
        <v>-2.3253690259855158</v>
      </c>
      <c r="V497" s="6">
        <f t="shared" si="77"/>
        <v>-0.36042094045139028</v>
      </c>
      <c r="W497" s="6">
        <f t="shared" si="78"/>
        <v>-1.2307095126844292</v>
      </c>
      <c r="X497" s="6">
        <f t="shared" si="79"/>
        <v>-0.41957828575293704</v>
      </c>
    </row>
    <row r="498" spans="1:24" x14ac:dyDescent="0.35">
      <c r="A498" s="2" t="s">
        <v>530</v>
      </c>
      <c r="B498" s="2" t="s">
        <v>542</v>
      </c>
      <c r="C498" s="2">
        <v>24.83</v>
      </c>
      <c r="D498" s="2">
        <v>5.08</v>
      </c>
      <c r="E498" s="2">
        <v>5736</v>
      </c>
      <c r="F498" s="2">
        <v>51.29</v>
      </c>
      <c r="G498" s="2">
        <v>58.59</v>
      </c>
      <c r="H498" s="2">
        <v>31.34</v>
      </c>
      <c r="I498" s="2">
        <v>98.67</v>
      </c>
      <c r="J498" s="2">
        <v>0.45</v>
      </c>
      <c r="K498" s="2">
        <v>81.16</v>
      </c>
      <c r="L498" s="2">
        <v>1563594</v>
      </c>
      <c r="M498" s="2">
        <v>1</v>
      </c>
      <c r="O498" s="6">
        <f t="shared" si="71"/>
        <v>1.6851563600486694</v>
      </c>
      <c r="P498" s="6">
        <f t="shared" si="71"/>
        <v>-2.0602149775546614</v>
      </c>
      <c r="Q498" s="6">
        <f t="shared" si="72"/>
        <v>-1.6904727718369876</v>
      </c>
      <c r="R498" s="6">
        <f t="shared" si="73"/>
        <v>-2.8712992090020455</v>
      </c>
      <c r="S498" s="6">
        <f t="shared" si="74"/>
        <v>-3.213257695042278</v>
      </c>
      <c r="T498" s="6">
        <f t="shared" si="75"/>
        <v>-2.4702978794854795</v>
      </c>
      <c r="U498" s="6">
        <f t="shared" si="76"/>
        <v>0.86274768034311444</v>
      </c>
      <c r="V498" s="6">
        <f t="shared" si="77"/>
        <v>-1.7497297881171021</v>
      </c>
      <c r="W498" s="6">
        <f t="shared" si="78"/>
        <v>1.8302371509989257</v>
      </c>
      <c r="X498" s="6">
        <f t="shared" si="79"/>
        <v>-0.42626847357395242</v>
      </c>
    </row>
    <row r="499" spans="1:24" x14ac:dyDescent="0.35">
      <c r="A499" s="2" t="s">
        <v>530</v>
      </c>
      <c r="B499" s="2" t="s">
        <v>543</v>
      </c>
      <c r="C499" s="2">
        <v>37.64</v>
      </c>
      <c r="D499" s="2">
        <v>4.2699999999999996</v>
      </c>
      <c r="E499" s="2">
        <v>4895</v>
      </c>
      <c r="F499" s="2">
        <v>49.48</v>
      </c>
      <c r="G499" s="2">
        <v>66.05</v>
      </c>
      <c r="H499" s="2">
        <v>13.09</v>
      </c>
      <c r="I499" s="2">
        <v>43.46</v>
      </c>
      <c r="J499" s="2">
        <v>2.25</v>
      </c>
      <c r="K499" s="2">
        <v>85.47</v>
      </c>
      <c r="L499" s="2">
        <v>1556231</v>
      </c>
      <c r="M499" s="2">
        <v>1</v>
      </c>
      <c r="O499" s="6">
        <f t="shared" si="71"/>
        <v>3.4042862359628563</v>
      </c>
      <c r="P499" s="6">
        <f t="shared" si="71"/>
        <v>-2.5573748359880404</v>
      </c>
      <c r="Q499" s="6">
        <f t="shared" si="72"/>
        <v>-2.0002904449138801</v>
      </c>
      <c r="R499" s="6">
        <f t="shared" si="73"/>
        <v>-3.150159303800514</v>
      </c>
      <c r="S499" s="6">
        <f t="shared" si="74"/>
        <v>-1.0472402213719409</v>
      </c>
      <c r="T499" s="6">
        <f t="shared" si="75"/>
        <v>-3.4533056632649997</v>
      </c>
      <c r="U499" s="6">
        <f t="shared" si="76"/>
        <v>-2.656866863876115</v>
      </c>
      <c r="V499" s="6">
        <f t="shared" si="77"/>
        <v>-1.0664631417241293</v>
      </c>
      <c r="W499" s="6">
        <f t="shared" si="78"/>
        <v>2.50470954979623</v>
      </c>
      <c r="X499" s="6">
        <f t="shared" si="79"/>
        <v>-0.42642232359292964</v>
      </c>
    </row>
    <row r="500" spans="1:24" x14ac:dyDescent="0.35">
      <c r="A500" s="2" t="s">
        <v>530</v>
      </c>
      <c r="B500" s="2" t="s">
        <v>544</v>
      </c>
      <c r="C500" s="2">
        <v>30.46</v>
      </c>
      <c r="D500" s="2">
        <v>3.04</v>
      </c>
      <c r="E500" s="2">
        <v>5429</v>
      </c>
      <c r="F500" s="2">
        <v>46.28</v>
      </c>
      <c r="G500" s="2">
        <v>64.540000000000006</v>
      </c>
      <c r="H500" s="2">
        <v>31.28</v>
      </c>
      <c r="I500" s="2">
        <v>80.88</v>
      </c>
      <c r="J500" s="2">
        <v>4.43</v>
      </c>
      <c r="K500" s="2">
        <v>87.88</v>
      </c>
      <c r="L500" s="2">
        <v>1444833</v>
      </c>
      <c r="M500" s="2">
        <v>1</v>
      </c>
      <c r="O500" s="6">
        <f t="shared" si="71"/>
        <v>2.4407146115238354</v>
      </c>
      <c r="P500" s="6">
        <f t="shared" si="71"/>
        <v>-3.31232128768317</v>
      </c>
      <c r="Q500" s="6">
        <f t="shared" si="72"/>
        <v>-1.8035691162300982</v>
      </c>
      <c r="R500" s="6">
        <f t="shared" si="73"/>
        <v>-3.643171626096148</v>
      </c>
      <c r="S500" s="6">
        <f t="shared" si="74"/>
        <v>-1.4856700317261222</v>
      </c>
      <c r="T500" s="6">
        <f t="shared" si="75"/>
        <v>-2.4735296858979057</v>
      </c>
      <c r="U500" s="6">
        <f t="shared" si="76"/>
        <v>-0.27135742274799424</v>
      </c>
      <c r="V500" s="6">
        <f t="shared" si="77"/>
        <v>-0.23895131442597306</v>
      </c>
      <c r="W500" s="6">
        <f t="shared" si="78"/>
        <v>2.8818507287060906</v>
      </c>
      <c r="X500" s="6">
        <f t="shared" si="79"/>
        <v>-0.42874998682992832</v>
      </c>
    </row>
    <row r="501" spans="1:24" x14ac:dyDescent="0.35">
      <c r="A501" s="2" t="s">
        <v>530</v>
      </c>
      <c r="B501" s="2" t="s">
        <v>545</v>
      </c>
      <c r="C501" s="2">
        <v>32.6</v>
      </c>
      <c r="D501" s="2">
        <v>3.65</v>
      </c>
      <c r="E501" s="2">
        <v>4841</v>
      </c>
      <c r="F501" s="2">
        <v>49.6</v>
      </c>
      <c r="G501" s="2">
        <v>65.83</v>
      </c>
      <c r="H501" s="2">
        <v>3.24</v>
      </c>
      <c r="I501" s="2">
        <v>6.6</v>
      </c>
      <c r="J501" s="2">
        <v>1.1200000000000001</v>
      </c>
      <c r="K501" s="2">
        <v>90.61</v>
      </c>
      <c r="L501" s="2">
        <v>1068562</v>
      </c>
      <c r="M501" s="2">
        <v>1</v>
      </c>
      <c r="O501" s="6">
        <f t="shared" si="71"/>
        <v>2.7279072683900618</v>
      </c>
      <c r="P501" s="6">
        <f t="shared" si="71"/>
        <v>-2.9379169498506257</v>
      </c>
      <c r="Q501" s="6">
        <f t="shared" si="72"/>
        <v>-2.0201836129830264</v>
      </c>
      <c r="R501" s="6">
        <f t="shared" si="73"/>
        <v>-3.1316713417144273</v>
      </c>
      <c r="S501" s="6">
        <f t="shared" si="74"/>
        <v>-1.1111174122844707</v>
      </c>
      <c r="T501" s="6">
        <f t="shared" si="75"/>
        <v>-3.9838605493049055</v>
      </c>
      <c r="U501" s="6">
        <f t="shared" si="76"/>
        <v>-5.0066765378467872</v>
      </c>
      <c r="V501" s="6">
        <f t="shared" si="77"/>
        <v>-1.4954027586263845</v>
      </c>
      <c r="W501" s="6">
        <f t="shared" si="78"/>
        <v>3.3090687446496272</v>
      </c>
      <c r="X501" s="6">
        <f t="shared" si="79"/>
        <v>-0.43661217622155762</v>
      </c>
    </row>
    <row r="502" spans="1:24" x14ac:dyDescent="0.35">
      <c r="A502" s="2" t="s">
        <v>530</v>
      </c>
      <c r="B502" s="2" t="s">
        <v>546</v>
      </c>
      <c r="C502" s="2">
        <v>13.84</v>
      </c>
      <c r="D502" s="2">
        <v>8.83</v>
      </c>
      <c r="E502" s="2">
        <v>6617</v>
      </c>
      <c r="F502" s="2">
        <v>63.94</v>
      </c>
      <c r="G502" s="2">
        <v>66.459999999999994</v>
      </c>
      <c r="H502" s="2">
        <v>68.36</v>
      </c>
      <c r="I502" s="2">
        <v>89.82</v>
      </c>
      <c r="J502" s="2">
        <v>3.5</v>
      </c>
      <c r="K502" s="2">
        <v>68.569999999999993</v>
      </c>
      <c r="L502" s="2">
        <v>1862596</v>
      </c>
      <c r="M502" s="2">
        <v>0</v>
      </c>
      <c r="O502" s="6">
        <f t="shared" si="71"/>
        <v>0.21027444464688136</v>
      </c>
      <c r="P502" s="6">
        <f t="shared" si="71"/>
        <v>0.24145103371097953</v>
      </c>
      <c r="Q502" s="6">
        <f t="shared" si="72"/>
        <v>-1.3659194187088759</v>
      </c>
      <c r="R502" s="6">
        <f t="shared" si="73"/>
        <v>-0.92235987242711504</v>
      </c>
      <c r="S502" s="6">
        <f t="shared" si="74"/>
        <v>-0.92819636558040863</v>
      </c>
      <c r="T502" s="6">
        <f t="shared" si="75"/>
        <v>-0.47627332301874908</v>
      </c>
      <c r="U502" s="6">
        <f t="shared" si="76"/>
        <v>0.29856386008699759</v>
      </c>
      <c r="V502" s="6">
        <f t="shared" si="77"/>
        <v>-0.59197241506234233</v>
      </c>
      <c r="W502" s="6">
        <f t="shared" si="78"/>
        <v>-0.13997340604470707</v>
      </c>
      <c r="X502" s="6">
        <f t="shared" si="79"/>
        <v>-0.42002082134331026</v>
      </c>
    </row>
    <row r="503" spans="1:24" x14ac:dyDescent="0.35">
      <c r="A503" s="2" t="s">
        <v>530</v>
      </c>
      <c r="B503" s="2" t="s">
        <v>547</v>
      </c>
      <c r="C503" s="2">
        <v>16</v>
      </c>
      <c r="D503" s="2">
        <v>8.02</v>
      </c>
      <c r="E503" s="2">
        <v>8926</v>
      </c>
      <c r="F503" s="2">
        <v>66.489999999999995</v>
      </c>
      <c r="G503" s="2">
        <v>66.78</v>
      </c>
      <c r="H503" s="2">
        <v>60.58</v>
      </c>
      <c r="I503" s="2">
        <v>75.64</v>
      </c>
      <c r="J503" s="2">
        <v>1.41</v>
      </c>
      <c r="K503" s="2">
        <v>76.91</v>
      </c>
      <c r="L503" s="2">
        <v>2048897</v>
      </c>
      <c r="M503" s="2">
        <v>0</v>
      </c>
      <c r="O503" s="6">
        <f t="shared" si="71"/>
        <v>0.50015114503522196</v>
      </c>
      <c r="P503" s="6">
        <f t="shared" si="71"/>
        <v>-0.2557088247223992</v>
      </c>
      <c r="Q503" s="6">
        <f t="shared" si="72"/>
        <v>-0.51530228775222386</v>
      </c>
      <c r="R503" s="6">
        <f t="shared" si="73"/>
        <v>-0.52949067809778161</v>
      </c>
      <c r="S503" s="6">
        <f t="shared" si="74"/>
        <v>-0.83528408788945363</v>
      </c>
      <c r="T503" s="6">
        <f t="shared" si="75"/>
        <v>-0.89533088782996373</v>
      </c>
      <c r="U503" s="6">
        <f t="shared" si="76"/>
        <v>-0.60540524400698259</v>
      </c>
      <c r="V503" s="6">
        <f t="shared" si="77"/>
        <v>-1.3853209100408499</v>
      </c>
      <c r="W503" s="6">
        <f t="shared" si="78"/>
        <v>1.165154159145436</v>
      </c>
      <c r="X503" s="6">
        <f t="shared" si="79"/>
        <v>-0.4161280585583762</v>
      </c>
    </row>
    <row r="504" spans="1:24" x14ac:dyDescent="0.35">
      <c r="A504" s="2" t="s">
        <v>530</v>
      </c>
      <c r="B504" s="2" t="s">
        <v>548</v>
      </c>
      <c r="C504" s="2">
        <v>29.85</v>
      </c>
      <c r="D504" s="2">
        <v>9.2100000000000009</v>
      </c>
      <c r="E504" s="2">
        <v>6788</v>
      </c>
      <c r="F504" s="2">
        <v>65.099999999999994</v>
      </c>
      <c r="G504" s="2">
        <v>66.42</v>
      </c>
      <c r="H504" s="2">
        <v>84.68</v>
      </c>
      <c r="I504" s="2">
        <v>72.89</v>
      </c>
      <c r="J504" s="2">
        <v>8.56</v>
      </c>
      <c r="K504" s="2">
        <v>56.39</v>
      </c>
      <c r="L504" s="2">
        <v>1485621</v>
      </c>
      <c r="M504" s="2">
        <v>1</v>
      </c>
      <c r="O504" s="6">
        <f t="shared" si="71"/>
        <v>2.3588512840993503</v>
      </c>
      <c r="P504" s="6">
        <f t="shared" si="71"/>
        <v>0.47468652285256496</v>
      </c>
      <c r="Q504" s="6">
        <f t="shared" si="72"/>
        <v>-1.302924386489912</v>
      </c>
      <c r="R504" s="6">
        <f t="shared" si="73"/>
        <v>-0.74364290559494794</v>
      </c>
      <c r="S504" s="6">
        <f t="shared" si="74"/>
        <v>-0.93981040029177543</v>
      </c>
      <c r="T504" s="6">
        <f t="shared" si="75"/>
        <v>0.40277802116107425</v>
      </c>
      <c r="U504" s="6">
        <f t="shared" si="76"/>
        <v>-0.78071660058374182</v>
      </c>
      <c r="V504" s="6">
        <f t="shared" si="77"/>
        <v>1.328766046464571</v>
      </c>
      <c r="W504" s="6">
        <f t="shared" si="78"/>
        <v>-2.0460230156389425</v>
      </c>
      <c r="X504" s="6">
        <f t="shared" si="79"/>
        <v>-0.42789772082774963</v>
      </c>
    </row>
    <row r="505" spans="1:24" x14ac:dyDescent="0.35">
      <c r="A505" s="2" t="s">
        <v>530</v>
      </c>
      <c r="B505" s="2" t="s">
        <v>549</v>
      </c>
      <c r="C505" s="2">
        <v>37.909999999999997</v>
      </c>
      <c r="D505" s="2">
        <v>8.8699999999999992</v>
      </c>
      <c r="E505" s="2">
        <v>5708</v>
      </c>
      <c r="F505" s="2">
        <v>62.72</v>
      </c>
      <c r="G505" s="2">
        <v>66.06</v>
      </c>
      <c r="H505" s="2">
        <v>80.319999999999993</v>
      </c>
      <c r="I505" s="2">
        <v>45.56</v>
      </c>
      <c r="J505" s="2">
        <v>2.66</v>
      </c>
      <c r="K505" s="2">
        <v>68.56</v>
      </c>
      <c r="L505" s="2">
        <v>781180</v>
      </c>
      <c r="M505" s="2">
        <v>1</v>
      </c>
      <c r="O505" s="6">
        <f t="shared" si="71"/>
        <v>3.4405208235113984</v>
      </c>
      <c r="P505" s="6">
        <f t="shared" si="71"/>
        <v>0.26600213783114585</v>
      </c>
      <c r="Q505" s="6">
        <f t="shared" si="72"/>
        <v>-1.7007877478728415</v>
      </c>
      <c r="R505" s="6">
        <f t="shared" si="73"/>
        <v>-1.1103208203023256</v>
      </c>
      <c r="S505" s="6">
        <f t="shared" si="74"/>
        <v>-1.0443367126940972</v>
      </c>
      <c r="T505" s="6">
        <f t="shared" si="75"/>
        <v>0.16793342185813062</v>
      </c>
      <c r="U505" s="6">
        <f t="shared" si="76"/>
        <v>-2.5229927370356804</v>
      </c>
      <c r="V505" s="6">
        <f t="shared" si="77"/>
        <v>-0.91083018337906307</v>
      </c>
      <c r="W505" s="6">
        <f t="shared" si="78"/>
        <v>-0.14153830720200797</v>
      </c>
      <c r="X505" s="6">
        <f t="shared" si="79"/>
        <v>-0.44261702834076222</v>
      </c>
    </row>
    <row r="506" spans="1:24" x14ac:dyDescent="0.35">
      <c r="A506" s="2" t="s">
        <v>530</v>
      </c>
      <c r="B506" s="2" t="s">
        <v>550</v>
      </c>
      <c r="C506" s="2">
        <v>28.78</v>
      </c>
      <c r="D506" s="2">
        <v>5.87</v>
      </c>
      <c r="E506" s="2">
        <v>4603</v>
      </c>
      <c r="F506" s="2">
        <v>52.18</v>
      </c>
      <c r="G506" s="2">
        <v>58</v>
      </c>
      <c r="H506" s="2">
        <v>65.19</v>
      </c>
      <c r="I506" s="2">
        <v>66.099999999999994</v>
      </c>
      <c r="J506" s="2">
        <v>1.91</v>
      </c>
      <c r="K506" s="2">
        <v>66.84</v>
      </c>
      <c r="L506" s="2">
        <v>1030714</v>
      </c>
      <c r="M506" s="2">
        <v>1</v>
      </c>
      <c r="O506" s="6">
        <f t="shared" si="71"/>
        <v>2.2152549556662371</v>
      </c>
      <c r="P506" s="6">
        <f t="shared" si="71"/>
        <v>-1.5753306711813664</v>
      </c>
      <c r="Q506" s="6">
        <f t="shared" si="72"/>
        <v>-2.1078609092877834</v>
      </c>
      <c r="R506" s="6">
        <f t="shared" si="73"/>
        <v>-2.7341801568635717</v>
      </c>
      <c r="S506" s="6">
        <f t="shared" si="74"/>
        <v>-3.3845647070349729</v>
      </c>
      <c r="T506" s="6">
        <f t="shared" si="75"/>
        <v>-0.64702042847524666</v>
      </c>
      <c r="U506" s="6">
        <f t="shared" si="76"/>
        <v>-1.2135762773678134</v>
      </c>
      <c r="V506" s="6">
        <f t="shared" si="77"/>
        <v>-1.1955246193761351</v>
      </c>
      <c r="W506" s="6">
        <f t="shared" si="78"/>
        <v>-0.41070130625800838</v>
      </c>
      <c r="X506" s="6">
        <f t="shared" si="79"/>
        <v>-0.43740301087024008</v>
      </c>
    </row>
    <row r="507" spans="1:24" x14ac:dyDescent="0.35">
      <c r="A507" s="2" t="s">
        <v>530</v>
      </c>
      <c r="B507" s="2" t="s">
        <v>551</v>
      </c>
      <c r="C507" s="2">
        <v>37.18</v>
      </c>
      <c r="D507" s="2">
        <v>1.42</v>
      </c>
      <c r="E507" s="2">
        <v>3976</v>
      </c>
      <c r="F507" s="2">
        <v>32.840000000000003</v>
      </c>
      <c r="G507" s="2">
        <v>55.43</v>
      </c>
      <c r="H507" s="2">
        <v>4.3499999999999996</v>
      </c>
      <c r="I507" s="2">
        <v>13.35</v>
      </c>
      <c r="J507" s="2">
        <v>0</v>
      </c>
      <c r="K507" s="2">
        <v>97.93</v>
      </c>
      <c r="L507" s="2">
        <v>815251</v>
      </c>
      <c r="M507" s="2">
        <v>1</v>
      </c>
      <c r="O507" s="6">
        <f t="shared" si="71"/>
        <v>3.3425532349542282</v>
      </c>
      <c r="P507" s="6">
        <f t="shared" si="71"/>
        <v>-4.3066410045499275</v>
      </c>
      <c r="Q507" s="6">
        <f t="shared" si="72"/>
        <v>-2.3388426940906504</v>
      </c>
      <c r="R507" s="6">
        <f t="shared" si="73"/>
        <v>-5.7138233797378133</v>
      </c>
      <c r="S507" s="6">
        <f t="shared" si="74"/>
        <v>-4.130766437240438</v>
      </c>
      <c r="T507" s="6">
        <f t="shared" si="75"/>
        <v>-3.9240721306750279</v>
      </c>
      <c r="U507" s="6">
        <f t="shared" si="76"/>
        <v>-4.5763668444311056</v>
      </c>
      <c r="V507" s="6">
        <f t="shared" si="77"/>
        <v>-1.9205464497153455</v>
      </c>
      <c r="W507" s="6">
        <f t="shared" si="78"/>
        <v>4.4545763917949328</v>
      </c>
      <c r="X507" s="6">
        <f t="shared" si="79"/>
        <v>-0.44190511417580608</v>
      </c>
    </row>
    <row r="508" spans="1:24" x14ac:dyDescent="0.35">
      <c r="A508" s="2" t="s">
        <v>530</v>
      </c>
      <c r="B508" s="2" t="s">
        <v>552</v>
      </c>
      <c r="C508" s="2">
        <v>38.729999999999997</v>
      </c>
      <c r="D508" s="2">
        <v>3.43</v>
      </c>
      <c r="E508" s="2">
        <v>4393</v>
      </c>
      <c r="F508" s="2">
        <v>48.68</v>
      </c>
      <c r="G508" s="2">
        <v>66.11</v>
      </c>
      <c r="H508" s="2">
        <v>2.5099999999999998</v>
      </c>
      <c r="I508" s="2">
        <v>0.87</v>
      </c>
      <c r="J508" s="2">
        <v>0</v>
      </c>
      <c r="K508" s="2">
        <v>95.66</v>
      </c>
      <c r="L508" s="2">
        <v>1202144</v>
      </c>
      <c r="M508" s="2">
        <v>1</v>
      </c>
      <c r="O508" s="6">
        <f t="shared" si="71"/>
        <v>3.5505666079180833</v>
      </c>
      <c r="P508" s="6">
        <f t="shared" si="71"/>
        <v>-3.0729480225115435</v>
      </c>
      <c r="Q508" s="6">
        <f t="shared" si="72"/>
        <v>-2.1852232295566862</v>
      </c>
      <c r="R508" s="6">
        <f t="shared" si="73"/>
        <v>-3.2734123843744225</v>
      </c>
      <c r="S508" s="6">
        <f t="shared" si="74"/>
        <v>-1.0298191693048866</v>
      </c>
      <c r="T508" s="6">
        <f t="shared" si="75"/>
        <v>-4.0231808606560859</v>
      </c>
      <c r="U508" s="6">
        <f t="shared" si="76"/>
        <v>-5.3719616553685432</v>
      </c>
      <c r="V508" s="6">
        <f t="shared" si="77"/>
        <v>-1.9205464497153455</v>
      </c>
      <c r="W508" s="6">
        <f t="shared" si="78"/>
        <v>4.099343829087303</v>
      </c>
      <c r="X508" s="6">
        <f t="shared" si="79"/>
        <v>-0.4338209779008988</v>
      </c>
    </row>
    <row r="509" spans="1:24" x14ac:dyDescent="0.35">
      <c r="A509" s="2" t="s">
        <v>530</v>
      </c>
      <c r="B509" s="2" t="s">
        <v>553</v>
      </c>
      <c r="C509" s="2">
        <v>36.76</v>
      </c>
      <c r="D509" s="2">
        <v>3.33</v>
      </c>
      <c r="E509" s="2">
        <v>4487</v>
      </c>
      <c r="F509" s="2">
        <v>48.32</v>
      </c>
      <c r="G509" s="2">
        <v>63.75</v>
      </c>
      <c r="H509" s="2">
        <v>2.54</v>
      </c>
      <c r="I509" s="2">
        <v>0</v>
      </c>
      <c r="J509" s="2">
        <v>0.9</v>
      </c>
      <c r="K509" s="2">
        <v>95.84</v>
      </c>
      <c r="L509" s="2">
        <v>769368</v>
      </c>
      <c r="M509" s="2">
        <v>1</v>
      </c>
      <c r="O509" s="6">
        <f t="shared" si="71"/>
        <v>3.2861883209898282</v>
      </c>
      <c r="P509" s="6">
        <f t="shared" si="71"/>
        <v>-3.1343257828119606</v>
      </c>
      <c r="Q509" s="6">
        <f t="shared" si="72"/>
        <v>-2.1505943814363202</v>
      </c>
      <c r="R509" s="6">
        <f t="shared" si="73"/>
        <v>-3.3288762706326813</v>
      </c>
      <c r="S509" s="6">
        <f t="shared" si="74"/>
        <v>-1.7150472172756639</v>
      </c>
      <c r="T509" s="6">
        <f t="shared" si="75"/>
        <v>-4.0215649574498729</v>
      </c>
      <c r="U509" s="6">
        <f t="shared" si="76"/>
        <v>-5.427423793631009</v>
      </c>
      <c r="V509" s="6">
        <f t="shared" si="77"/>
        <v>-1.578913126518859</v>
      </c>
      <c r="W509" s="6">
        <f t="shared" si="78"/>
        <v>4.1275120499187459</v>
      </c>
      <c r="X509" s="6">
        <f t="shared" si="79"/>
        <v>-0.44286384029569342</v>
      </c>
    </row>
    <row r="510" spans="1:24" x14ac:dyDescent="0.35">
      <c r="A510" s="2" t="s">
        <v>530</v>
      </c>
      <c r="B510" s="2" t="s">
        <v>554</v>
      </c>
      <c r="C510" s="2">
        <v>33.25</v>
      </c>
      <c r="D510" s="2">
        <v>3.01</v>
      </c>
      <c r="E510" s="2">
        <v>4664</v>
      </c>
      <c r="F510" s="2">
        <v>49.01</v>
      </c>
      <c r="G510" s="2">
        <v>65.489999999999995</v>
      </c>
      <c r="H510" s="2">
        <v>0.48</v>
      </c>
      <c r="I510" s="2">
        <v>59.96</v>
      </c>
      <c r="J510" s="2">
        <v>0.41</v>
      </c>
      <c r="K510" s="2">
        <v>93.68</v>
      </c>
      <c r="L510" s="2">
        <v>782619</v>
      </c>
      <c r="M510" s="2">
        <v>1</v>
      </c>
      <c r="O510" s="6">
        <f t="shared" si="71"/>
        <v>2.815138682858775</v>
      </c>
      <c r="P510" s="6">
        <f t="shared" si="71"/>
        <v>-3.3307346157732955</v>
      </c>
      <c r="Q510" s="6">
        <f t="shared" si="72"/>
        <v>-2.0853889972096731</v>
      </c>
      <c r="R510" s="6">
        <f t="shared" si="73"/>
        <v>-3.2225704886376851</v>
      </c>
      <c r="S510" s="6">
        <f t="shared" si="74"/>
        <v>-1.2098367073311092</v>
      </c>
      <c r="T510" s="6">
        <f t="shared" si="75"/>
        <v>-4.1325236442764925</v>
      </c>
      <c r="U510" s="6">
        <f t="shared" si="76"/>
        <v>-1.6049987244155592</v>
      </c>
      <c r="V510" s="6">
        <f t="shared" si="77"/>
        <v>-1.7649134913702793</v>
      </c>
      <c r="W510" s="6">
        <f t="shared" si="78"/>
        <v>3.7894933999414433</v>
      </c>
      <c r="X510" s="6">
        <f t="shared" si="79"/>
        <v>-0.44258696040957818</v>
      </c>
    </row>
    <row r="511" spans="1:24" x14ac:dyDescent="0.35">
      <c r="A511" s="2" t="s">
        <v>530</v>
      </c>
      <c r="B511" s="2" t="s">
        <v>555</v>
      </c>
      <c r="C511" s="2">
        <v>36.26</v>
      </c>
      <c r="D511" s="2">
        <v>2.16</v>
      </c>
      <c r="E511" s="2">
        <v>5412</v>
      </c>
      <c r="F511" s="2">
        <v>43.17</v>
      </c>
      <c r="G511" s="2">
        <v>65.86</v>
      </c>
      <c r="H511" s="2">
        <v>11.43</v>
      </c>
      <c r="I511" s="2">
        <v>85.03</v>
      </c>
      <c r="J511" s="2">
        <v>0.94</v>
      </c>
      <c r="K511" s="2">
        <v>89.43</v>
      </c>
      <c r="L511" s="2">
        <v>831070</v>
      </c>
      <c r="M511" s="2">
        <v>1</v>
      </c>
      <c r="O511" s="6">
        <f t="shared" si="71"/>
        <v>3.2190872329369715</v>
      </c>
      <c r="P511" s="6">
        <f t="shared" si="71"/>
        <v>-3.8524455783268405</v>
      </c>
      <c r="Q511" s="6">
        <f t="shared" si="72"/>
        <v>-1.8098317802518666</v>
      </c>
      <c r="R511" s="6">
        <f t="shared" si="73"/>
        <v>-4.122317976827218</v>
      </c>
      <c r="S511" s="6">
        <f t="shared" si="74"/>
        <v>-1.1024068862509435</v>
      </c>
      <c r="T511" s="6">
        <f t="shared" si="75"/>
        <v>-3.5427189740087814</v>
      </c>
      <c r="U511" s="6">
        <f t="shared" si="76"/>
        <v>-6.7966482776116973E-3</v>
      </c>
      <c r="V511" s="6">
        <f t="shared" si="77"/>
        <v>-1.5637294232656818</v>
      </c>
      <c r="W511" s="6">
        <f t="shared" si="78"/>
        <v>3.1244104080879533</v>
      </c>
      <c r="X511" s="6">
        <f t="shared" si="79"/>
        <v>-0.4415745758829635</v>
      </c>
    </row>
    <row r="512" spans="1:24" x14ac:dyDescent="0.35">
      <c r="A512" s="2" t="s">
        <v>530</v>
      </c>
      <c r="B512" s="2" t="s">
        <v>556</v>
      </c>
      <c r="C512" s="2">
        <v>28.81</v>
      </c>
      <c r="D512" s="2">
        <v>4.9400000000000004</v>
      </c>
      <c r="E512" s="2">
        <v>5415</v>
      </c>
      <c r="F512" s="2">
        <v>55</v>
      </c>
      <c r="G512" s="2">
        <v>65.849999999999994</v>
      </c>
      <c r="H512" s="2">
        <v>12.11</v>
      </c>
      <c r="I512" s="2">
        <v>71.239999999999995</v>
      </c>
      <c r="J512" s="2">
        <v>5.68</v>
      </c>
      <c r="K512" s="2">
        <v>78.2</v>
      </c>
      <c r="L512" s="2">
        <v>906904</v>
      </c>
      <c r="M512" s="2">
        <v>1</v>
      </c>
      <c r="O512" s="6">
        <f t="shared" si="71"/>
        <v>2.219281020949408</v>
      </c>
      <c r="P512" s="6">
        <f t="shared" si="71"/>
        <v>-2.146143841975245</v>
      </c>
      <c r="Q512" s="6">
        <f t="shared" si="72"/>
        <v>-1.808726604248025</v>
      </c>
      <c r="R512" s="6">
        <f t="shared" si="73"/>
        <v>-2.2997130478405441</v>
      </c>
      <c r="S512" s="6">
        <f t="shared" si="74"/>
        <v>-1.1053103949287875</v>
      </c>
      <c r="T512" s="6">
        <f t="shared" si="75"/>
        <v>-3.5060918346679553</v>
      </c>
      <c r="U512" s="6">
        <f t="shared" si="76"/>
        <v>-0.88590341452979782</v>
      </c>
      <c r="V512" s="6">
        <f t="shared" si="77"/>
        <v>0.23553941223581379</v>
      </c>
      <c r="W512" s="6">
        <f t="shared" si="78"/>
        <v>1.3670264084374373</v>
      </c>
      <c r="X512" s="6">
        <f t="shared" si="79"/>
        <v>-0.43999002307308754</v>
      </c>
    </row>
    <row r="513" spans="1:24" x14ac:dyDescent="0.35">
      <c r="A513" s="2" t="s">
        <v>530</v>
      </c>
      <c r="B513" s="2" t="s">
        <v>557</v>
      </c>
      <c r="C513" s="2">
        <v>41.66</v>
      </c>
      <c r="D513" s="2">
        <v>3.09</v>
      </c>
      <c r="E513" s="2">
        <v>5328</v>
      </c>
      <c r="F513" s="2">
        <v>48.34</v>
      </c>
      <c r="G513" s="2">
        <v>65.69</v>
      </c>
      <c r="H513" s="2">
        <v>0.36</v>
      </c>
      <c r="I513" s="2">
        <v>35.01</v>
      </c>
      <c r="J513" s="2">
        <v>1.43</v>
      </c>
      <c r="K513" s="2">
        <v>75.75</v>
      </c>
      <c r="L513" s="2">
        <v>767101</v>
      </c>
      <c r="M513" s="2">
        <v>1</v>
      </c>
      <c r="O513" s="6">
        <f t="shared" si="71"/>
        <v>3.9437789839078228</v>
      </c>
      <c r="P513" s="6">
        <f t="shared" si="71"/>
        <v>-3.2816324075329617</v>
      </c>
      <c r="Q513" s="6">
        <f t="shared" si="72"/>
        <v>-1.8407767083594277</v>
      </c>
      <c r="R513" s="6">
        <f t="shared" si="73"/>
        <v>-3.3257949436183329</v>
      </c>
      <c r="S513" s="6">
        <f t="shared" si="74"/>
        <v>-1.1517665337742629</v>
      </c>
      <c r="T513" s="6">
        <f t="shared" si="75"/>
        <v>-4.1389872571013449</v>
      </c>
      <c r="U513" s="6">
        <f t="shared" si="76"/>
        <v>-3.1955508504483392</v>
      </c>
      <c r="V513" s="6">
        <f t="shared" si="77"/>
        <v>-1.3777290584142614</v>
      </c>
      <c r="W513" s="6">
        <f t="shared" si="78"/>
        <v>0.98362562489836625</v>
      </c>
      <c r="X513" s="6">
        <f t="shared" si="79"/>
        <v>-0.44291120930194378</v>
      </c>
    </row>
    <row r="514" spans="1:24" x14ac:dyDescent="0.35">
      <c r="A514" s="2" t="s">
        <v>530</v>
      </c>
      <c r="B514" s="2" t="s">
        <v>558</v>
      </c>
      <c r="C514" s="2">
        <v>40.590000000000003</v>
      </c>
      <c r="D514" s="2">
        <v>3.25</v>
      </c>
      <c r="E514" s="2">
        <v>4673</v>
      </c>
      <c r="F514" s="2">
        <v>49.96</v>
      </c>
      <c r="G514" s="2">
        <v>65.36</v>
      </c>
      <c r="H514" s="2">
        <v>0</v>
      </c>
      <c r="I514" s="2">
        <v>85.23</v>
      </c>
      <c r="J514" s="2">
        <v>0.79</v>
      </c>
      <c r="K514" s="2">
        <v>85.01</v>
      </c>
      <c r="L514" s="2">
        <v>841296</v>
      </c>
      <c r="M514" s="2">
        <v>1</v>
      </c>
      <c r="O514" s="6">
        <f t="shared" si="71"/>
        <v>3.8001826554747109</v>
      </c>
      <c r="P514" s="6">
        <f t="shared" si="71"/>
        <v>-3.1834279910522945</v>
      </c>
      <c r="Q514" s="6">
        <f t="shared" si="72"/>
        <v>-2.0820734691981486</v>
      </c>
      <c r="R514" s="6">
        <f t="shared" si="73"/>
        <v>-3.0762074554561685</v>
      </c>
      <c r="S514" s="6">
        <f t="shared" si="74"/>
        <v>-1.2475823201430574</v>
      </c>
      <c r="T514" s="6">
        <f t="shared" si="75"/>
        <v>-4.1583780955759</v>
      </c>
      <c r="U514" s="6">
        <f t="shared" si="76"/>
        <v>5.953268564334614E-3</v>
      </c>
      <c r="V514" s="6">
        <f t="shared" si="77"/>
        <v>-1.6206683104650963</v>
      </c>
      <c r="W514" s="6">
        <f t="shared" si="78"/>
        <v>2.4327240965603236</v>
      </c>
      <c r="X514" s="6">
        <f t="shared" si="79"/>
        <v>-0.4413609034268911</v>
      </c>
    </row>
    <row r="515" spans="1:24" x14ac:dyDescent="0.35">
      <c r="A515" s="2" t="s">
        <v>530</v>
      </c>
      <c r="B515" s="2" t="s">
        <v>559</v>
      </c>
      <c r="C515" s="2">
        <v>11.39</v>
      </c>
      <c r="D515" s="2">
        <v>11.57</v>
      </c>
      <c r="E515" s="2">
        <v>14937</v>
      </c>
      <c r="F515" s="2">
        <v>80.11</v>
      </c>
      <c r="G515" s="2">
        <v>70.52</v>
      </c>
      <c r="H515" s="2">
        <v>85.31</v>
      </c>
      <c r="I515" s="2">
        <v>97.1</v>
      </c>
      <c r="J515" s="2">
        <v>11.67</v>
      </c>
      <c r="K515" s="2">
        <v>63.75</v>
      </c>
      <c r="L515" s="2">
        <v>22852202</v>
      </c>
      <c r="M515" s="2">
        <v>0</v>
      </c>
      <c r="O515" s="6">
        <f t="shared" ref="O515:P515" si="80">(C515 - C$516) / C$517</f>
        <v>-0.11852088681211596</v>
      </c>
      <c r="P515" s="6">
        <f t="shared" si="80"/>
        <v>1.923201665942408</v>
      </c>
      <c r="Q515" s="6">
        <f t="shared" ref="Q515" si="81">(E515 - E$516) / E$517</f>
        <v>1.6991020319448029</v>
      </c>
      <c r="R515" s="6">
        <f t="shared" ref="R515" si="82">(F515 - F$516) / F$517</f>
        <v>1.5688930186730139</v>
      </c>
      <c r="S515" s="6">
        <f t="shared" ref="S515" si="83">(G515 - G$516) / G$517</f>
        <v>0.25062815762355645</v>
      </c>
      <c r="T515" s="6">
        <f t="shared" ref="T515" si="84">(H515 - H$516) / H$517</f>
        <v>0.43671198849154513</v>
      </c>
      <c r="U515" s="6">
        <f t="shared" ref="U515" si="85">(I515 - I$516) / I$517</f>
        <v>0.76266083313383681</v>
      </c>
      <c r="V515" s="6">
        <f t="shared" ref="V515" si="86">(J515 - J$516) / J$517</f>
        <v>2.5092989743990963</v>
      </c>
      <c r="W515" s="6">
        <f t="shared" ref="W515" si="87">(K515 - K$516) / K$517</f>
        <v>-0.89425576386442862</v>
      </c>
      <c r="X515" s="6">
        <f t="shared" ref="X515" si="88">(L515 - L$516) / L$517</f>
        <v>1.855737795368476E-2</v>
      </c>
    </row>
    <row r="516" spans="1:24" x14ac:dyDescent="0.35">
      <c r="A516" s="1"/>
      <c r="B516" s="7" t="s">
        <v>561</v>
      </c>
      <c r="C516" s="7">
        <f>AVERAGE(C2:C515)</f>
        <v>12.273151750972765</v>
      </c>
      <c r="D516" s="7">
        <f>AVERAGE(D2:D515)</f>
        <v>8.4366147859922176</v>
      </c>
      <c r="E516" s="7">
        <f t="shared" ref="E516:L516" si="89">AVERAGE(E2:E515)</f>
        <v>10324.787937743191</v>
      </c>
      <c r="F516" s="7">
        <f t="shared" si="89"/>
        <v>69.92677042801553</v>
      </c>
      <c r="G516" s="7">
        <f t="shared" si="89"/>
        <v>69.656809338521384</v>
      </c>
      <c r="H516" s="7">
        <f t="shared" si="89"/>
        <v>77.202237354085597</v>
      </c>
      <c r="I516" s="7">
        <f t="shared" si="89"/>
        <v>85.136614785992194</v>
      </c>
      <c r="J516" s="7">
        <f t="shared" si="89"/>
        <v>5.0594941634241239</v>
      </c>
      <c r="K516" s="7">
        <f t="shared" si="89"/>
        <v>69.464455252918341</v>
      </c>
      <c r="L516" s="7">
        <f t="shared" si="89"/>
        <v>21964077.482490271</v>
      </c>
      <c r="M516" s="1"/>
    </row>
    <row r="517" spans="1:24" x14ac:dyDescent="0.35">
      <c r="B517" s="5" t="s">
        <v>562</v>
      </c>
      <c r="C517" s="5">
        <f>_xlfn.STDEV.P(C2:C515)</f>
        <v>7.4514440005226428</v>
      </c>
      <c r="D517" s="5">
        <f t="shared" ref="D517:L517" si="90">_xlfn.STDEV.P(D2:D515)</f>
        <v>1.6292546275808055</v>
      </c>
      <c r="E517" s="5">
        <f t="shared" si="90"/>
        <v>2714.4997625467154</v>
      </c>
      <c r="F517" s="5">
        <f t="shared" si="90"/>
        <v>6.4907099788088489</v>
      </c>
      <c r="G517" s="5">
        <f t="shared" si="90"/>
        <v>3.4441088729348772</v>
      </c>
      <c r="H517" s="5">
        <f t="shared" si="90"/>
        <v>18.565468454208407</v>
      </c>
      <c r="I517" s="5">
        <f t="shared" si="90"/>
        <v>15.686376819495575</v>
      </c>
      <c r="J517" s="5">
        <f t="shared" si="90"/>
        <v>2.6344034345922842</v>
      </c>
      <c r="K517" s="5">
        <f t="shared" si="90"/>
        <v>6.3901799505590517</v>
      </c>
      <c r="L517" s="5">
        <f t="shared" si="90"/>
        <v>47858297.639154479</v>
      </c>
    </row>
  </sheetData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F22B-D188-46A4-A980-757B974EFD39}">
  <dimension ref="A1:Q526"/>
  <sheetViews>
    <sheetView zoomScale="51" workbookViewId="0">
      <selection sqref="A1:L23"/>
    </sheetView>
  </sheetViews>
  <sheetFormatPr defaultRowHeight="14.5" x14ac:dyDescent="0.35"/>
  <cols>
    <col min="12" max="12" width="53.90625" bestFit="1" customWidth="1"/>
    <col min="17" max="17" width="15.453125" customWidth="1"/>
  </cols>
  <sheetData>
    <row r="1" spans="1:17" x14ac:dyDescent="0.35">
      <c r="A1" s="5" t="s">
        <v>560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N1" s="13" t="s">
        <v>566</v>
      </c>
      <c r="O1" s="13" t="s">
        <v>567</v>
      </c>
      <c r="P1" s="14" t="s">
        <v>569</v>
      </c>
      <c r="Q1" s="15" t="s">
        <v>568</v>
      </c>
    </row>
    <row r="2" spans="1:17" x14ac:dyDescent="0.35">
      <c r="A2" s="9" t="s">
        <v>12</v>
      </c>
      <c r="B2" s="9" t="s">
        <v>13</v>
      </c>
      <c r="C2" s="9">
        <v>0.90007362983024741</v>
      </c>
      <c r="D2" s="9">
        <v>0.6404064756636908</v>
      </c>
      <c r="E2" s="9">
        <v>-1.1703032660289354</v>
      </c>
      <c r="F2" s="9">
        <v>-0.54181598615517224</v>
      </c>
      <c r="G2" s="9">
        <v>-1.2708103895657952</v>
      </c>
      <c r="H2" s="9">
        <v>-0.30391031435603855</v>
      </c>
      <c r="I2" s="9">
        <v>0.14747734550993657</v>
      </c>
      <c r="J2" s="9">
        <v>0.24692718967569677</v>
      </c>
      <c r="K2" s="9">
        <v>0.26377109253929582</v>
      </c>
      <c r="L2" s="9">
        <v>-0.42450280274635355</v>
      </c>
      <c r="N2" s="8">
        <f t="shared" ref="N2:N66" si="0">SQRT((C2-$C$520)^2+(D2-$D$520)^2+(E2-$E$520)^2+(F2-$F$520)^2+(G2-$G$520)^2+(H2-$H$520)^2+(I2-$I$520)^2+(J2-$J$520)^2+(K2-$K$520)^2+(L2-$L$520)^2)</f>
        <v>0</v>
      </c>
      <c r="O2" s="8">
        <f>SQRT((C2-$C$521)^2+(D2-$D$521)^2+(E2-$E$521)^2+(F2-$F$521)^2+(G2-$G$521)^2+(H2-$H$521)^2+(I2-$I$521)^2+(J2-$J$521)^2+(K2-$K$521)^2+(L2-$L$521)^2)</f>
        <v>6.138434108439716</v>
      </c>
      <c r="P2" s="12">
        <f>IF(N2&lt;=O2, 0, 1)</f>
        <v>0</v>
      </c>
      <c r="Q2" s="11">
        <f>IF(P2=Sheet1!M2, 1, 0)</f>
        <v>1</v>
      </c>
    </row>
    <row r="3" spans="1:17" x14ac:dyDescent="0.35">
      <c r="A3" s="6" t="s">
        <v>12</v>
      </c>
      <c r="B3" s="6" t="s">
        <v>14</v>
      </c>
      <c r="C3" s="6">
        <v>1.0852726328561315</v>
      </c>
      <c r="D3" s="6">
        <v>0.14938439326035369</v>
      </c>
      <c r="E3" s="6">
        <v>-0.57056108794429738</v>
      </c>
      <c r="F3" s="6">
        <v>-0.1088895406393177</v>
      </c>
      <c r="G3" s="6">
        <v>-0.64655602382970401</v>
      </c>
      <c r="H3" s="6">
        <v>-0.41163719477023253</v>
      </c>
      <c r="I3" s="6">
        <v>-0.41798146643037459</v>
      </c>
      <c r="J3" s="6">
        <v>1.2528475301986848</v>
      </c>
      <c r="K3" s="6">
        <v>-1.0350968680216379</v>
      </c>
      <c r="L3" s="6">
        <v>-0.42173791125360344</v>
      </c>
      <c r="N3" s="8">
        <f t="shared" si="0"/>
        <v>2.0597332255683138</v>
      </c>
      <c r="O3" s="8">
        <f t="shared" ref="O3:O66" si="1">SQRT((C3-$C$521)^2+(D3-$D$521)^2+(E3-$E$521)^2+(F3-$F$521)^2+(G3-$G$521)^2+(H3-$H$521)^2+(I3-$I$521)^2+(J3-$J$521)^2+(K3-$K$521)^2+(L3-$L$521)^2)</f>
        <v>5.5472546842070747</v>
      </c>
      <c r="P3" s="12">
        <f t="shared" ref="P3:P66" si="2">IF(N3&lt;=O3, 0, 1)</f>
        <v>0</v>
      </c>
      <c r="Q3" s="11">
        <f>IF(P3=Sheet1!M3, 1, 0)</f>
        <v>0</v>
      </c>
    </row>
    <row r="4" spans="1:17" x14ac:dyDescent="0.35">
      <c r="A4" s="6" t="s">
        <v>12</v>
      </c>
      <c r="B4" s="6" t="s">
        <v>15</v>
      </c>
      <c r="C4" s="6">
        <v>0.12170100841711061</v>
      </c>
      <c r="D4" s="6">
        <v>0.27213991386118852</v>
      </c>
      <c r="E4" s="6">
        <v>-0.79012272070746958</v>
      </c>
      <c r="F4" s="6">
        <v>-0.38312764491626466</v>
      </c>
      <c r="G4" s="6">
        <v>-1.5263191532159142</v>
      </c>
      <c r="H4" s="6">
        <v>-0.78921991062198271</v>
      </c>
      <c r="I4" s="6">
        <v>-0.34976941132596229</v>
      </c>
      <c r="J4" s="6">
        <v>0.53162162567276894</v>
      </c>
      <c r="K4" s="6">
        <v>-1.3480770994821039</v>
      </c>
      <c r="L4" s="6">
        <v>-0.36813456289920671</v>
      </c>
      <c r="N4" s="8">
        <f t="shared" si="0"/>
        <v>2.0350800473644606</v>
      </c>
      <c r="O4" s="8">
        <f t="shared" si="1"/>
        <v>5.9672562882914875</v>
      </c>
      <c r="P4" s="12">
        <f t="shared" si="2"/>
        <v>0</v>
      </c>
      <c r="Q4" s="11">
        <f>IF(P4=Sheet1!M4, 1, 0)</f>
        <v>1</v>
      </c>
    </row>
    <row r="5" spans="1:17" x14ac:dyDescent="0.35">
      <c r="A5" s="6" t="s">
        <v>12</v>
      </c>
      <c r="B5" s="6" t="s">
        <v>16</v>
      </c>
      <c r="C5" s="6">
        <v>0.1525675089214247</v>
      </c>
      <c r="D5" s="6">
        <v>0.75702422023448301</v>
      </c>
      <c r="E5" s="6">
        <v>-0.8453815208995431</v>
      </c>
      <c r="F5" s="6">
        <v>-7.4994943481493007E-2</v>
      </c>
      <c r="G5" s="6">
        <v>-0.41717883828016644</v>
      </c>
      <c r="H5" s="6">
        <v>-0.78060176018884708</v>
      </c>
      <c r="I5" s="6">
        <v>0.10030265319473533</v>
      </c>
      <c r="J5" s="6">
        <v>0.52023384823288588</v>
      </c>
      <c r="K5" s="6">
        <v>2.4341215472039265E-2</v>
      </c>
      <c r="L5" s="6">
        <v>-0.38607558968778871</v>
      </c>
      <c r="N5" s="8">
        <f t="shared" si="0"/>
        <v>1.4097900493722133</v>
      </c>
      <c r="O5" s="8">
        <f t="shared" si="1"/>
        <v>5.3784932127144556</v>
      </c>
      <c r="P5" s="12">
        <f t="shared" si="2"/>
        <v>0</v>
      </c>
      <c r="Q5" s="11">
        <f>IF(P5=Sheet1!M5, 1, 0)</f>
        <v>1</v>
      </c>
    </row>
    <row r="6" spans="1:17" x14ac:dyDescent="0.35">
      <c r="A6" s="6" t="s">
        <v>12</v>
      </c>
      <c r="B6" s="6" t="s">
        <v>17</v>
      </c>
      <c r="C6" s="6">
        <v>0.29213777207136638</v>
      </c>
      <c r="D6" s="6">
        <v>-0.13909108015160596</v>
      </c>
      <c r="E6" s="6">
        <v>-0.64387109619911498</v>
      </c>
      <c r="F6" s="6">
        <v>-0.32304176813648411</v>
      </c>
      <c r="G6" s="6">
        <v>-0.2661963870323692</v>
      </c>
      <c r="H6" s="6">
        <v>-0.56299346175217524</v>
      </c>
      <c r="I6" s="6">
        <v>-0.12600837074980831</v>
      </c>
      <c r="J6" s="6">
        <v>0.78594865516348666</v>
      </c>
      <c r="K6" s="6">
        <v>-1.5624685580325237</v>
      </c>
      <c r="L6" s="6">
        <v>-0.2827211194286291</v>
      </c>
      <c r="N6" s="8">
        <f t="shared" si="0"/>
        <v>2.4696478879028865</v>
      </c>
      <c r="O6" s="8">
        <f t="shared" si="1"/>
        <v>5.6172593773773762</v>
      </c>
      <c r="P6" s="12">
        <f t="shared" si="2"/>
        <v>0</v>
      </c>
      <c r="Q6" s="11">
        <f>IF(P6=Sheet1!M6, 1, 0)</f>
        <v>1</v>
      </c>
    </row>
    <row r="7" spans="1:17" x14ac:dyDescent="0.35">
      <c r="A7" s="6" t="s">
        <v>12</v>
      </c>
      <c r="B7" s="6" t="s">
        <v>18</v>
      </c>
      <c r="C7" s="6">
        <v>0.40084153471699413</v>
      </c>
      <c r="D7" s="6">
        <v>0.87364196480527523</v>
      </c>
      <c r="E7" s="6">
        <v>0.167696482621805</v>
      </c>
      <c r="F7" s="6">
        <v>0.5304858148378343</v>
      </c>
      <c r="G7" s="6">
        <v>-0.23135428289826052</v>
      </c>
      <c r="H7" s="6">
        <v>0.72057231838294611</v>
      </c>
      <c r="I7" s="6">
        <v>0.31641374366572228</v>
      </c>
      <c r="J7" s="6">
        <v>-0.92980981244553462</v>
      </c>
      <c r="K7" s="6">
        <v>1.0696951885499939</v>
      </c>
      <c r="L7" s="6">
        <v>-0.33454928972214776</v>
      </c>
      <c r="N7" s="8">
        <f t="shared" si="0"/>
        <v>2.7284784005522149</v>
      </c>
      <c r="O7" s="8">
        <f t="shared" si="1"/>
        <v>4.9397498014428969</v>
      </c>
      <c r="P7" s="12">
        <f t="shared" si="2"/>
        <v>0</v>
      </c>
      <c r="Q7" s="11">
        <f>IF(P7=Sheet1!M7, 1, 0)</f>
        <v>1</v>
      </c>
    </row>
    <row r="8" spans="1:17" x14ac:dyDescent="0.35">
      <c r="A8" s="6" t="s">
        <v>12</v>
      </c>
      <c r="B8" s="6" t="s">
        <v>19</v>
      </c>
      <c r="C8" s="6">
        <v>0.87725925989227593</v>
      </c>
      <c r="D8" s="6">
        <v>0.68337090787398302</v>
      </c>
      <c r="E8" s="6">
        <v>-0.2695848228981369</v>
      </c>
      <c r="F8" s="6">
        <v>0.26857301861827798</v>
      </c>
      <c r="G8" s="6">
        <v>-0.48395953787053997</v>
      </c>
      <c r="H8" s="6">
        <v>0.66778614697999084</v>
      </c>
      <c r="I8" s="6">
        <v>0.57906203060981287</v>
      </c>
      <c r="J8" s="6">
        <v>0.77076495191030947</v>
      </c>
      <c r="K8" s="6">
        <v>-1.4732691920662908</v>
      </c>
      <c r="L8" s="6">
        <v>-0.30252259684734706</v>
      </c>
      <c r="N8" s="8">
        <f t="shared" si="0"/>
        <v>2.5547168588868221</v>
      </c>
      <c r="O8" s="8">
        <f t="shared" si="1"/>
        <v>4.5186444345839618</v>
      </c>
      <c r="P8" s="12">
        <f t="shared" si="2"/>
        <v>0</v>
      </c>
      <c r="Q8" s="11">
        <f>IF(P8=Sheet1!M8, 1, 0)</f>
        <v>1</v>
      </c>
    </row>
    <row r="9" spans="1:17" x14ac:dyDescent="0.35">
      <c r="A9" s="6" t="s">
        <v>12</v>
      </c>
      <c r="B9" s="6" t="s">
        <v>20</v>
      </c>
      <c r="C9" s="6">
        <v>0.23845690162908126</v>
      </c>
      <c r="D9" s="6">
        <v>1.1621174382172359</v>
      </c>
      <c r="E9" s="6">
        <v>-0.25079683083283189</v>
      </c>
      <c r="F9" s="6">
        <v>0.56283974848848439</v>
      </c>
      <c r="G9" s="6">
        <v>3.8672024141073208E-2</v>
      </c>
      <c r="H9" s="6">
        <v>0.54928657852437801</v>
      </c>
      <c r="I9" s="6">
        <v>-0.17700803811759264</v>
      </c>
      <c r="J9" s="6">
        <v>1.0023164265212616</v>
      </c>
      <c r="K9" s="6">
        <v>-1.2197552045833129</v>
      </c>
      <c r="L9" s="6">
        <v>-0.2445237933602567</v>
      </c>
      <c r="N9" s="8">
        <f t="shared" si="0"/>
        <v>2.8508789716795482</v>
      </c>
      <c r="O9" s="8">
        <f t="shared" si="1"/>
        <v>3.9847435214328577</v>
      </c>
      <c r="P9" s="12">
        <f t="shared" si="2"/>
        <v>0</v>
      </c>
      <c r="Q9" s="11">
        <f>IF(P9=Sheet1!M9, 1, 0)</f>
        <v>1</v>
      </c>
    </row>
    <row r="10" spans="1:17" x14ac:dyDescent="0.35">
      <c r="A10" s="6" t="s">
        <v>12</v>
      </c>
      <c r="B10" s="6" t="s">
        <v>21</v>
      </c>
      <c r="C10" s="6">
        <v>0.9819369572547324</v>
      </c>
      <c r="D10" s="6">
        <v>0.34579322622168857</v>
      </c>
      <c r="E10" s="6">
        <v>-0.17122415855624601</v>
      </c>
      <c r="F10" s="6">
        <v>0.11912865842241392</v>
      </c>
      <c r="G10" s="6">
        <v>-0.7859244403661344</v>
      </c>
      <c r="H10" s="6">
        <v>-1.2443659803719522</v>
      </c>
      <c r="I10" s="6">
        <v>0.26158910124535395</v>
      </c>
      <c r="J10" s="6">
        <v>0.8428875423629012</v>
      </c>
      <c r="K10" s="6">
        <v>-1.4357115642910345</v>
      </c>
      <c r="L10" s="6">
        <v>-0.2922999599351695</v>
      </c>
      <c r="N10" s="8">
        <f t="shared" si="0"/>
        <v>2.4335130630566186</v>
      </c>
      <c r="O10" s="8">
        <f t="shared" si="1"/>
        <v>5.3876955952642778</v>
      </c>
      <c r="P10" s="12">
        <f t="shared" si="2"/>
        <v>0</v>
      </c>
      <c r="Q10" s="11">
        <f>IF(P10=Sheet1!M10, 1, 0)</f>
        <v>1</v>
      </c>
    </row>
    <row r="11" spans="1:17" x14ac:dyDescent="0.35">
      <c r="A11" s="6" t="s">
        <v>12</v>
      </c>
      <c r="B11" s="6" t="s">
        <v>22</v>
      </c>
      <c r="C11" s="6">
        <v>0.13109516074451058</v>
      </c>
      <c r="D11" s="6">
        <v>0.52378873109289759</v>
      </c>
      <c r="E11" s="6">
        <v>-0.53703741582777276</v>
      </c>
      <c r="F11" s="6">
        <v>0.3702568100917521</v>
      </c>
      <c r="G11" s="6">
        <v>0.4654877997838876</v>
      </c>
      <c r="H11" s="6">
        <v>0.25249902298327331</v>
      </c>
      <c r="I11" s="6">
        <v>0.53507481750509889</v>
      </c>
      <c r="J11" s="6">
        <v>-0.28070649837221007</v>
      </c>
      <c r="K11" s="6">
        <v>-0.55623711388712604</v>
      </c>
      <c r="L11" s="6">
        <v>-0.24216485028101861</v>
      </c>
      <c r="N11" s="8">
        <f t="shared" si="0"/>
        <v>2.5092712999084554</v>
      </c>
      <c r="O11" s="8">
        <f t="shared" si="1"/>
        <v>4.7600929297891588</v>
      </c>
      <c r="P11" s="12">
        <f t="shared" si="2"/>
        <v>0</v>
      </c>
      <c r="Q11" s="11">
        <f>IF(P11=Sheet1!M11, 1, 0)</f>
        <v>1</v>
      </c>
    </row>
    <row r="12" spans="1:17" x14ac:dyDescent="0.35">
      <c r="A12" s="6" t="s">
        <v>12</v>
      </c>
      <c r="B12" s="6" t="s">
        <v>23</v>
      </c>
      <c r="C12" s="6">
        <v>0.69206025686639183</v>
      </c>
      <c r="D12" s="6">
        <v>0.12483328914018736</v>
      </c>
      <c r="E12" s="6">
        <v>-0.78238648868057925</v>
      </c>
      <c r="F12" s="6">
        <v>-7.1913616467145905E-2</v>
      </c>
      <c r="G12" s="6">
        <v>-0.24587182628747109</v>
      </c>
      <c r="H12" s="6">
        <v>0.14908121778564698</v>
      </c>
      <c r="I12" s="6">
        <v>0.37952583203335621</v>
      </c>
      <c r="J12" s="6">
        <v>1.2338679011322136</v>
      </c>
      <c r="K12" s="6">
        <v>-1.7205235749200585</v>
      </c>
      <c r="L12" s="6">
        <v>-0.10531035851903973</v>
      </c>
      <c r="N12" s="8">
        <f t="shared" si="0"/>
        <v>2.6463712769857528</v>
      </c>
      <c r="O12" s="8">
        <f t="shared" si="1"/>
        <v>5.2417044334155545</v>
      </c>
      <c r="P12" s="12">
        <f t="shared" si="2"/>
        <v>0</v>
      </c>
      <c r="Q12" s="11">
        <f>IF(P12=Sheet1!M12, 1, 0)</f>
        <v>1</v>
      </c>
    </row>
    <row r="13" spans="1:17" x14ac:dyDescent="0.35">
      <c r="A13" s="6" t="s">
        <v>12</v>
      </c>
      <c r="B13" s="6" t="s">
        <v>24</v>
      </c>
      <c r="C13" s="6">
        <v>0.54577988491116447</v>
      </c>
      <c r="D13" s="6">
        <v>0.1432466172303121</v>
      </c>
      <c r="E13" s="6">
        <v>-0.69876150438990803</v>
      </c>
      <c r="F13" s="6">
        <v>-0.45245750273908869</v>
      </c>
      <c r="G13" s="6">
        <v>-1.3346875804783249</v>
      </c>
      <c r="H13" s="6">
        <v>-0.61901143956755644</v>
      </c>
      <c r="I13" s="6">
        <v>0.65046156492471141</v>
      </c>
      <c r="J13" s="6">
        <v>-0.38699242114445043</v>
      </c>
      <c r="K13" s="6">
        <v>-1.8081580397289894</v>
      </c>
      <c r="L13" s="6">
        <v>-0.39479616732192818</v>
      </c>
      <c r="N13" s="8">
        <f t="shared" si="0"/>
        <v>2.3780280864564429</v>
      </c>
      <c r="O13" s="8">
        <f t="shared" si="1"/>
        <v>6.0879320077281385</v>
      </c>
      <c r="P13" s="12">
        <f t="shared" si="2"/>
        <v>0</v>
      </c>
      <c r="Q13" s="11">
        <f>IF(P13=Sheet1!M13, 1, 0)</f>
        <v>1</v>
      </c>
    </row>
    <row r="14" spans="1:17" x14ac:dyDescent="0.35">
      <c r="A14" s="6" t="s">
        <v>12</v>
      </c>
      <c r="B14" s="6" t="s">
        <v>25</v>
      </c>
      <c r="C14" s="6">
        <v>0.98864706606001818</v>
      </c>
      <c r="D14" s="6">
        <v>-2.247333558081379E-2</v>
      </c>
      <c r="E14" s="6">
        <v>-0.54108972784185816</v>
      </c>
      <c r="F14" s="6">
        <v>-0.36463968283017767</v>
      </c>
      <c r="G14" s="6">
        <v>-1.1982226726197382</v>
      </c>
      <c r="H14" s="6">
        <v>-1.5928624385118697</v>
      </c>
      <c r="I14" s="6">
        <v>-2.9109002751017063E-2</v>
      </c>
      <c r="J14" s="6">
        <v>-1.2220961000691954</v>
      </c>
      <c r="K14" s="6">
        <v>1.49065359986432</v>
      </c>
      <c r="L14" s="6">
        <v>-0.4175284008878361</v>
      </c>
      <c r="N14" s="8">
        <f t="shared" si="0"/>
        <v>2.4971431807452786</v>
      </c>
      <c r="O14" s="8">
        <f t="shared" si="1"/>
        <v>7.2116162267042156</v>
      </c>
      <c r="P14" s="12">
        <f t="shared" si="2"/>
        <v>0</v>
      </c>
      <c r="Q14" s="11">
        <f>IF(P14=Sheet1!M14, 1, 0)</f>
        <v>1</v>
      </c>
    </row>
    <row r="15" spans="1:17" x14ac:dyDescent="0.35">
      <c r="A15" s="6" t="s">
        <v>12</v>
      </c>
      <c r="B15" s="6" t="s">
        <v>26</v>
      </c>
      <c r="C15" s="6">
        <v>0.14317335659402475</v>
      </c>
      <c r="D15" s="6">
        <v>0.29055324195131327</v>
      </c>
      <c r="E15" s="6">
        <v>-0.72123341646801797</v>
      </c>
      <c r="F15" s="6">
        <v>-6.8832289452796611E-2</v>
      </c>
      <c r="G15" s="6">
        <v>-7.7841147044063561E-3</v>
      </c>
      <c r="H15" s="6">
        <v>0.55197975053473269</v>
      </c>
      <c r="I15" s="6">
        <v>-0.12855835411819702</v>
      </c>
      <c r="J15" s="6">
        <v>0.30766200268840554</v>
      </c>
      <c r="K15" s="6">
        <v>-0.47486225370740337</v>
      </c>
      <c r="L15" s="6">
        <v>-0.33226333294146831</v>
      </c>
      <c r="N15" s="8">
        <f t="shared" si="0"/>
        <v>2.0205018077255747</v>
      </c>
      <c r="O15" s="8">
        <f t="shared" si="1"/>
        <v>5.0990777191886982</v>
      </c>
      <c r="P15" s="12">
        <f t="shared" si="2"/>
        <v>0</v>
      </c>
      <c r="Q15" s="11">
        <f>IF(P15=Sheet1!M15, 1, 0)</f>
        <v>1</v>
      </c>
    </row>
    <row r="16" spans="1:17" x14ac:dyDescent="0.35">
      <c r="A16" s="6" t="s">
        <v>12</v>
      </c>
      <c r="B16" s="6" t="s">
        <v>27</v>
      </c>
      <c r="C16" s="6">
        <v>0.79942199775096245</v>
      </c>
      <c r="D16" s="6">
        <v>0.15552216929039525</v>
      </c>
      <c r="E16" s="6">
        <v>-0.74886281656405473</v>
      </c>
      <c r="F16" s="6">
        <v>-9.5023569074752456E-2</v>
      </c>
      <c r="G16" s="6">
        <v>-0.12102095314025532</v>
      </c>
      <c r="H16" s="6">
        <v>-0.12616096167261864</v>
      </c>
      <c r="I16" s="6">
        <v>0.31832623119201425</v>
      </c>
      <c r="J16" s="6">
        <v>-2.6379468881492351E-2</v>
      </c>
      <c r="K16" s="6">
        <v>-0.70020802035894059</v>
      </c>
      <c r="L16" s="6">
        <v>-0.31036742247885551</v>
      </c>
      <c r="N16" s="8">
        <f t="shared" si="0"/>
        <v>1.7384643007527008</v>
      </c>
      <c r="O16" s="8">
        <f t="shared" si="1"/>
        <v>5.4666484361474117</v>
      </c>
      <c r="P16" s="12">
        <f t="shared" si="2"/>
        <v>0</v>
      </c>
      <c r="Q16" s="11">
        <f>IF(P16=Sheet1!M16, 1, 0)</f>
        <v>1</v>
      </c>
    </row>
    <row r="17" spans="1:17" x14ac:dyDescent="0.35">
      <c r="A17" s="6" t="s">
        <v>12</v>
      </c>
      <c r="B17" s="6" t="s">
        <v>28</v>
      </c>
      <c r="C17" s="6">
        <v>0.12841111722239637</v>
      </c>
      <c r="D17" s="6">
        <v>0.16779772135047949</v>
      </c>
      <c r="E17" s="6">
        <v>-0.24269220680466111</v>
      </c>
      <c r="F17" s="6">
        <v>-1.33684031945378E-2</v>
      </c>
      <c r="G17" s="6">
        <v>-0.71624023209792131</v>
      </c>
      <c r="H17" s="6">
        <v>0.23687862532321483</v>
      </c>
      <c r="I17" s="6">
        <v>7.7990298721329954E-2</v>
      </c>
      <c r="J17" s="6">
        <v>-0.60336019250222517</v>
      </c>
      <c r="K17" s="6">
        <v>0.48911685919083081</v>
      </c>
      <c r="L17" s="6">
        <v>-0.41644259126728067</v>
      </c>
      <c r="N17" s="8">
        <f t="shared" si="0"/>
        <v>1.8268017663398672</v>
      </c>
      <c r="O17" s="8">
        <f t="shared" si="1"/>
        <v>5.4686465573379079</v>
      </c>
      <c r="P17" s="12">
        <f t="shared" si="2"/>
        <v>0</v>
      </c>
      <c r="Q17" s="11">
        <f>IF(P17=Sheet1!M17, 1, 0)</f>
        <v>1</v>
      </c>
    </row>
    <row r="18" spans="1:17" x14ac:dyDescent="0.35">
      <c r="A18" s="6" t="s">
        <v>12</v>
      </c>
      <c r="B18" s="6" t="s">
        <v>29</v>
      </c>
      <c r="C18" s="6">
        <v>0.9242300215292758</v>
      </c>
      <c r="D18" s="6">
        <v>0.95957082922585946</v>
      </c>
      <c r="E18" s="6">
        <v>0.29221297905461069</v>
      </c>
      <c r="F18" s="6">
        <v>0.51507917976609441</v>
      </c>
      <c r="G18" s="6">
        <v>-0.1152139357845678</v>
      </c>
      <c r="H18" s="6">
        <v>0.51104353597733876</v>
      </c>
      <c r="I18" s="6">
        <v>0.2915514058239273</v>
      </c>
      <c r="J18" s="6">
        <v>-1.4498516488668529</v>
      </c>
      <c r="K18" s="6">
        <v>1.2621780308981809</v>
      </c>
      <c r="L18" s="6">
        <v>-0.38070686550254335</v>
      </c>
      <c r="N18" s="8">
        <f t="shared" si="0"/>
        <v>3.0424552219143712</v>
      </c>
      <c r="O18" s="8">
        <f t="shared" si="1"/>
        <v>5.3575890735711491</v>
      </c>
      <c r="P18" s="12">
        <f t="shared" si="2"/>
        <v>0</v>
      </c>
      <c r="Q18" s="11">
        <f>IF(P18=Sheet1!M18, 1, 0)</f>
        <v>1</v>
      </c>
    </row>
    <row r="19" spans="1:17" x14ac:dyDescent="0.35">
      <c r="A19" s="6" t="s">
        <v>12</v>
      </c>
      <c r="B19" s="6" t="s">
        <v>30</v>
      </c>
      <c r="C19" s="6">
        <v>0.97656887021050398</v>
      </c>
      <c r="D19" s="6">
        <v>0.55447761124310657</v>
      </c>
      <c r="E19" s="6">
        <v>-1.2815598005635205E-2</v>
      </c>
      <c r="F19" s="6">
        <v>0.56592107550283144</v>
      </c>
      <c r="G19" s="6">
        <v>0.15190886257692218</v>
      </c>
      <c r="H19" s="6">
        <v>-0.15632448818859307</v>
      </c>
      <c r="I19" s="6">
        <v>0.53061234661041723</v>
      </c>
      <c r="J19" s="6">
        <v>-0.5654009343692824</v>
      </c>
      <c r="K19" s="6">
        <v>-1.8300666559312209</v>
      </c>
      <c r="L19" s="6">
        <v>-0.40387062298423521</v>
      </c>
      <c r="N19" s="8">
        <f t="shared" si="0"/>
        <v>3.1332503333416803</v>
      </c>
      <c r="O19" s="8">
        <f t="shared" si="1"/>
        <v>4.8619962351829509</v>
      </c>
      <c r="P19" s="12">
        <f t="shared" si="2"/>
        <v>0</v>
      </c>
      <c r="Q19" s="11">
        <f>IF(P19=Sheet1!M19, 1, 0)</f>
        <v>1</v>
      </c>
    </row>
    <row r="20" spans="1:17" x14ac:dyDescent="0.35">
      <c r="A20" s="9" t="s">
        <v>12</v>
      </c>
      <c r="B20" s="9" t="s">
        <v>31</v>
      </c>
      <c r="C20" s="9">
        <v>-0.625805112491712</v>
      </c>
      <c r="D20" s="9">
        <v>2.6965614457276632</v>
      </c>
      <c r="E20" s="9">
        <v>2.418940002446881</v>
      </c>
      <c r="F20" s="9">
        <v>2.4316645826903738</v>
      </c>
      <c r="G20" s="9">
        <v>0.5409790254077842</v>
      </c>
      <c r="H20" s="9">
        <v>1.2215023123089479</v>
      </c>
      <c r="I20" s="9">
        <v>0.90737238928992603</v>
      </c>
      <c r="J20" s="9">
        <v>1.4730112273697538</v>
      </c>
      <c r="K20" s="9">
        <v>-1.0116233506621033</v>
      </c>
      <c r="L20" s="9">
        <v>-0.13602043540229192</v>
      </c>
      <c r="N20" s="8">
        <f t="shared" si="0"/>
        <v>6.138434108439716</v>
      </c>
      <c r="O20" s="8">
        <f t="shared" si="1"/>
        <v>0</v>
      </c>
      <c r="P20" s="12">
        <f t="shared" si="2"/>
        <v>1</v>
      </c>
      <c r="Q20" s="11">
        <f>IF(P20=Sheet1!M20, 1, 0)</f>
        <v>0</v>
      </c>
    </row>
    <row r="21" spans="1:17" x14ac:dyDescent="0.35">
      <c r="A21" s="6" t="s">
        <v>12</v>
      </c>
      <c r="B21" s="6" t="s">
        <v>32</v>
      </c>
      <c r="C21" s="6">
        <v>0.40889366528333698</v>
      </c>
      <c r="D21" s="6">
        <v>1.6838284007707809</v>
      </c>
      <c r="E21" s="6">
        <v>0.38799489938753817</v>
      </c>
      <c r="F21" s="6">
        <v>0.95262761580347066</v>
      </c>
      <c r="G21" s="6">
        <v>0.2622421923349274</v>
      </c>
      <c r="H21" s="6">
        <v>0.81052426352879814</v>
      </c>
      <c r="I21" s="6">
        <v>0.70401121566088543</v>
      </c>
      <c r="J21" s="6">
        <v>-0.56919686018257654</v>
      </c>
      <c r="K21" s="6">
        <v>-0.90051536849363778</v>
      </c>
      <c r="L21" s="6">
        <v>-0.43485045455239779</v>
      </c>
      <c r="N21" s="8">
        <f t="shared" si="0"/>
        <v>3.4518567497833019</v>
      </c>
      <c r="O21" s="8">
        <f t="shared" si="1"/>
        <v>3.601212202117074</v>
      </c>
      <c r="P21" s="12">
        <f t="shared" si="2"/>
        <v>0</v>
      </c>
      <c r="Q21" s="11">
        <f>IF(P21=Sheet1!M21, 1, 0)</f>
        <v>1</v>
      </c>
    </row>
    <row r="22" spans="1:17" x14ac:dyDescent="0.35">
      <c r="A22" s="6" t="s">
        <v>12</v>
      </c>
      <c r="B22" s="6" t="s">
        <v>33</v>
      </c>
      <c r="C22" s="6">
        <v>-0.1762278225375726</v>
      </c>
      <c r="D22" s="6">
        <v>1.6470017445905305</v>
      </c>
      <c r="E22" s="6">
        <v>0.64181698826979594</v>
      </c>
      <c r="F22" s="6">
        <v>1.1575358622575935</v>
      </c>
      <c r="G22" s="6">
        <v>-6.5854288261248589E-2</v>
      </c>
      <c r="H22" s="6">
        <v>0.78682434983767557</v>
      </c>
      <c r="I22" s="6">
        <v>0.76521081650222644</v>
      </c>
      <c r="J22" s="6">
        <v>0.81631606166984105</v>
      </c>
      <c r="K22" s="6">
        <v>-0.37940328311196136</v>
      </c>
      <c r="L22" s="6">
        <v>-0.37589016680301823</v>
      </c>
      <c r="N22" s="8">
        <f t="shared" si="0"/>
        <v>3.4794671259958867</v>
      </c>
      <c r="O22" s="8">
        <f t="shared" si="1"/>
        <v>2.747936547041486</v>
      </c>
      <c r="P22" s="12">
        <f t="shared" si="2"/>
        <v>1</v>
      </c>
      <c r="Q22" s="11">
        <f>IF(P22=Sheet1!M22, 1, 0)</f>
        <v>0</v>
      </c>
    </row>
    <row r="23" spans="1:17" x14ac:dyDescent="0.35">
      <c r="A23" s="6" t="s">
        <v>12</v>
      </c>
      <c r="B23" s="6" t="s">
        <v>34</v>
      </c>
      <c r="C23" s="6">
        <v>-0.14938738731643006</v>
      </c>
      <c r="D23" s="6">
        <v>1.6408639685604889</v>
      </c>
      <c r="E23" s="6">
        <v>0.39241560340290405</v>
      </c>
      <c r="F23" s="6">
        <v>1.1775644878508531</v>
      </c>
      <c r="G23" s="6">
        <v>0.5758211295418928</v>
      </c>
      <c r="H23" s="6">
        <v>0.8563081877048303</v>
      </c>
      <c r="I23" s="6">
        <v>0.59308693913595356</v>
      </c>
      <c r="J23" s="6">
        <v>2.3157067579210877</v>
      </c>
      <c r="K23" s="6">
        <v>-0.86921734534759187</v>
      </c>
      <c r="L23" s="6">
        <v>-0.3073902167062158</v>
      </c>
      <c r="N23" s="8">
        <f t="shared" si="0"/>
        <v>4.2464800730578309</v>
      </c>
      <c r="O23" s="8">
        <f t="shared" si="1"/>
        <v>2.8309323719412136</v>
      </c>
      <c r="P23" s="12">
        <f t="shared" si="2"/>
        <v>1</v>
      </c>
      <c r="Q23" s="11">
        <f>IF(P23=Sheet1!M23, 1, 0)</f>
        <v>0</v>
      </c>
    </row>
    <row r="24" spans="1:17" x14ac:dyDescent="0.35">
      <c r="A24" s="6" t="s">
        <v>12</v>
      </c>
      <c r="B24" s="6" t="s">
        <v>35</v>
      </c>
      <c r="C24" s="6">
        <v>0.72158473560964864</v>
      </c>
      <c r="D24" s="6">
        <v>-0.24957104869235763</v>
      </c>
      <c r="E24" s="6">
        <v>-1.0829943617254594</v>
      </c>
      <c r="F24" s="6">
        <v>-0.71745162597299217</v>
      </c>
      <c r="G24" s="6">
        <v>-1.6221349395847131</v>
      </c>
      <c r="H24" s="6">
        <v>-0.40355767873916848</v>
      </c>
      <c r="I24" s="6">
        <v>-1.5469866027847046</v>
      </c>
      <c r="J24" s="6">
        <v>0.45570310940688291</v>
      </c>
      <c r="K24" s="6">
        <v>-0.88956106039252147</v>
      </c>
      <c r="L24" s="6">
        <v>-0.42887193015612018</v>
      </c>
      <c r="N24" s="8">
        <f t="shared" si="0"/>
        <v>2.2892656332607912</v>
      </c>
      <c r="O24" s="8">
        <f t="shared" si="1"/>
        <v>6.8669476722681271</v>
      </c>
      <c r="P24" s="12">
        <f t="shared" si="2"/>
        <v>0</v>
      </c>
      <c r="Q24" s="11">
        <f>IF(P24=Sheet1!M24, 1, 0)</f>
        <v>1</v>
      </c>
    </row>
    <row r="25" spans="1:17" x14ac:dyDescent="0.35">
      <c r="A25" s="6" t="s">
        <v>36</v>
      </c>
      <c r="B25" s="6" t="s">
        <v>37</v>
      </c>
      <c r="C25" s="6">
        <v>0.61019692944190684</v>
      </c>
      <c r="D25" s="6">
        <v>-1.7164995198723259</v>
      </c>
      <c r="E25" s="6">
        <v>-1.2266672422248506</v>
      </c>
      <c r="F25" s="6">
        <v>-1.1072394932879774</v>
      </c>
      <c r="G25" s="6">
        <v>3.5768515463229449E-2</v>
      </c>
      <c r="H25" s="6">
        <v>-3.0848797322484565</v>
      </c>
      <c r="I25" s="6">
        <v>-2.3808311642479811</v>
      </c>
      <c r="J25" s="6">
        <v>-0.73621759596752556</v>
      </c>
      <c r="K25" s="6">
        <v>1.928825923908974</v>
      </c>
      <c r="L25" s="6">
        <v>-0.40321581490400876</v>
      </c>
      <c r="N25" s="8">
        <f t="shared" si="0"/>
        <v>5.0531804508787372</v>
      </c>
      <c r="O25" s="8">
        <f t="shared" si="1"/>
        <v>9.4883020745919868</v>
      </c>
      <c r="P25" s="12">
        <f t="shared" si="2"/>
        <v>0</v>
      </c>
      <c r="Q25" s="11">
        <f>IF(P25=Sheet1!M25, 1, 0)</f>
        <v>1</v>
      </c>
    </row>
    <row r="26" spans="1:17" x14ac:dyDescent="0.35">
      <c r="A26" s="6" t="s">
        <v>36</v>
      </c>
      <c r="B26" s="6" t="s">
        <v>38</v>
      </c>
      <c r="C26" s="6">
        <v>-0.37350502141297115</v>
      </c>
      <c r="D26" s="6">
        <v>0.11869551311014578</v>
      </c>
      <c r="E26" s="6">
        <v>-0.20401104667020964</v>
      </c>
      <c r="F26" s="6">
        <v>-0.42164423259561112</v>
      </c>
      <c r="G26" s="6">
        <v>-2.0344331718383146</v>
      </c>
      <c r="H26" s="6">
        <v>-2.2338373769763242</v>
      </c>
      <c r="I26" s="6">
        <v>-0.72397947063708157</v>
      </c>
      <c r="J26" s="6">
        <v>0.4025601480207629</v>
      </c>
      <c r="K26" s="6">
        <v>5.094453514617913E-2</v>
      </c>
      <c r="L26" s="6">
        <v>-0.25864226462504314</v>
      </c>
      <c r="N26" s="8">
        <f t="shared" si="0"/>
        <v>2.8295845093065615</v>
      </c>
      <c r="O26" s="8">
        <f t="shared" si="1"/>
        <v>6.7270850215494704</v>
      </c>
      <c r="P26" s="12">
        <f t="shared" si="2"/>
        <v>0</v>
      </c>
      <c r="Q26" s="11">
        <f>IF(P26=Sheet1!M26, 1, 0)</f>
        <v>1</v>
      </c>
    </row>
    <row r="27" spans="1:17" x14ac:dyDescent="0.35">
      <c r="A27" s="6" t="s">
        <v>36</v>
      </c>
      <c r="B27" s="6" t="s">
        <v>39</v>
      </c>
      <c r="C27" s="6">
        <v>-0.4661045229259132</v>
      </c>
      <c r="D27" s="6">
        <v>0.52378873109289759</v>
      </c>
      <c r="E27" s="6">
        <v>0.36073389129278188</v>
      </c>
      <c r="F27" s="6">
        <v>6.212410865698046E-2</v>
      </c>
      <c r="G27" s="6">
        <v>-1.3608191585789065</v>
      </c>
      <c r="H27" s="6">
        <v>-1.6585758355645284</v>
      </c>
      <c r="I27" s="6">
        <v>-1.1313393137372605</v>
      </c>
      <c r="J27" s="6">
        <v>-0.40217612439762762</v>
      </c>
      <c r="K27" s="6">
        <v>0.7692341663479465</v>
      </c>
      <c r="L27" s="6">
        <v>-0.24922251878704715</v>
      </c>
      <c r="N27" s="8">
        <f t="shared" si="0"/>
        <v>2.962263386116585</v>
      </c>
      <c r="O27" s="8">
        <f t="shared" si="1"/>
        <v>6.112774140452033</v>
      </c>
      <c r="P27" s="12">
        <f t="shared" si="2"/>
        <v>0</v>
      </c>
      <c r="Q27" s="11">
        <f>IF(P27=Sheet1!M27, 1, 0)</f>
        <v>1</v>
      </c>
    </row>
    <row r="28" spans="1:17" x14ac:dyDescent="0.35">
      <c r="A28" s="6" t="s">
        <v>36</v>
      </c>
      <c r="B28" s="6" t="s">
        <v>40</v>
      </c>
      <c r="C28" s="6">
        <v>5.3257898603196893E-2</v>
      </c>
      <c r="D28" s="6">
        <v>0.2475888097410211</v>
      </c>
      <c r="E28" s="6">
        <v>-6.8811182200269716E-2</v>
      </c>
      <c r="F28" s="6">
        <v>-4.8803663859537154E-2</v>
      </c>
      <c r="G28" s="6">
        <v>-0.70172268870871068</v>
      </c>
      <c r="H28" s="6">
        <v>-1.0579984772553965</v>
      </c>
      <c r="I28" s="6">
        <v>-1.0408149041594428</v>
      </c>
      <c r="J28" s="6">
        <v>0.827703839109724</v>
      </c>
      <c r="K28" s="6">
        <v>0.87408254388720275</v>
      </c>
      <c r="L28" s="6">
        <v>-0.30955535849168592</v>
      </c>
      <c r="N28" s="8">
        <f t="shared" si="0"/>
        <v>2.3141502328971684</v>
      </c>
      <c r="O28" s="8">
        <f t="shared" si="1"/>
        <v>5.7739509930001196</v>
      </c>
      <c r="P28" s="12">
        <f t="shared" si="2"/>
        <v>0</v>
      </c>
      <c r="Q28" s="11">
        <f>IF(P28=Sheet1!M28, 1, 0)</f>
        <v>1</v>
      </c>
    </row>
    <row r="29" spans="1:17" x14ac:dyDescent="0.35">
      <c r="A29" s="6" t="s">
        <v>36</v>
      </c>
      <c r="B29" s="6" t="s">
        <v>41</v>
      </c>
      <c r="C29" s="6">
        <v>-0.34263852090865704</v>
      </c>
      <c r="D29" s="6">
        <v>0.95343305319581784</v>
      </c>
      <c r="E29" s="6">
        <v>0.51030104381266095</v>
      </c>
      <c r="F29" s="6">
        <v>0.59057169161761491</v>
      </c>
      <c r="G29" s="6">
        <v>-0.26038936967668164</v>
      </c>
      <c r="H29" s="6">
        <v>0.35483955937675787</v>
      </c>
      <c r="I29" s="6">
        <v>0.25011417608760289</v>
      </c>
      <c r="J29" s="6">
        <v>-1.3359738744680241</v>
      </c>
      <c r="K29" s="6">
        <v>2.0602776211223679</v>
      </c>
      <c r="L29" s="6">
        <v>-0.33235046516734568</v>
      </c>
      <c r="N29" s="8">
        <f t="shared" si="0"/>
        <v>3.5994432512352996</v>
      </c>
      <c r="O29" s="8">
        <f t="shared" si="1"/>
        <v>5.4168263746940486</v>
      </c>
      <c r="P29" s="12">
        <f t="shared" si="2"/>
        <v>0</v>
      </c>
      <c r="Q29" s="11">
        <f>IF(P29=Sheet1!M29, 1, 0)</f>
        <v>1</v>
      </c>
    </row>
    <row r="30" spans="1:17" x14ac:dyDescent="0.35">
      <c r="A30" s="6" t="s">
        <v>36</v>
      </c>
      <c r="B30" s="6" t="s">
        <v>42</v>
      </c>
      <c r="C30" s="6">
        <v>-0.44060610946582773</v>
      </c>
      <c r="D30" s="6">
        <v>1.309424062938237</v>
      </c>
      <c r="E30" s="6">
        <v>0.69965453247083287</v>
      </c>
      <c r="F30" s="6">
        <v>0.84169984328695302</v>
      </c>
      <c r="G30" s="6">
        <v>0.18384745803318706</v>
      </c>
      <c r="H30" s="6">
        <v>0.66455434056756557</v>
      </c>
      <c r="I30" s="6">
        <v>0.63133668966179246</v>
      </c>
      <c r="J30" s="6">
        <v>-1.6054846072119191</v>
      </c>
      <c r="K30" s="6">
        <v>1.7081748607293439</v>
      </c>
      <c r="L30" s="6">
        <v>-0.3409016886790065</v>
      </c>
      <c r="N30" s="8">
        <f t="shared" si="0"/>
        <v>4.0581595431122057</v>
      </c>
      <c r="O30" s="8">
        <f t="shared" si="1"/>
        <v>4.9872561733433303</v>
      </c>
      <c r="P30" s="12">
        <f t="shared" si="2"/>
        <v>0</v>
      </c>
      <c r="Q30" s="11">
        <f>IF(P30=Sheet1!M30, 1, 0)</f>
        <v>1</v>
      </c>
    </row>
    <row r="31" spans="1:17" x14ac:dyDescent="0.35">
      <c r="A31" s="6" t="s">
        <v>36</v>
      </c>
      <c r="B31" s="6" t="s">
        <v>43</v>
      </c>
      <c r="C31" s="6">
        <v>-0.47415665349225605</v>
      </c>
      <c r="D31" s="6">
        <v>0.49923762697273127</v>
      </c>
      <c r="E31" s="6">
        <v>0.32684182717497678</v>
      </c>
      <c r="F31" s="6">
        <v>0.33328088591958027</v>
      </c>
      <c r="G31" s="6">
        <v>8.5128162986548656E-2</v>
      </c>
      <c r="H31" s="6">
        <v>0.23149228130250543</v>
      </c>
      <c r="I31" s="6">
        <v>0.58671198071498076</v>
      </c>
      <c r="J31" s="6">
        <v>0.22794756060922539</v>
      </c>
      <c r="K31" s="6">
        <v>-1.1931518849091729</v>
      </c>
      <c r="L31" s="6">
        <v>4.5623906934026598E-2</v>
      </c>
      <c r="N31" s="8">
        <f t="shared" si="0"/>
        <v>3.0948072242470963</v>
      </c>
      <c r="O31" s="8">
        <f t="shared" si="1"/>
        <v>4.0667175844237118</v>
      </c>
      <c r="P31" s="12">
        <f t="shared" si="2"/>
        <v>0</v>
      </c>
      <c r="Q31" s="11">
        <f>IF(P31=Sheet1!M31, 1, 0)</f>
        <v>1</v>
      </c>
    </row>
    <row r="32" spans="1:17" x14ac:dyDescent="0.35">
      <c r="A32" s="6" t="s">
        <v>36</v>
      </c>
      <c r="B32" s="6" t="s">
        <v>44</v>
      </c>
      <c r="C32" s="6">
        <v>-0.39229332606777106</v>
      </c>
      <c r="D32" s="6">
        <v>0.22303770562085479</v>
      </c>
      <c r="E32" s="6">
        <v>0.25979448294192758</v>
      </c>
      <c r="F32" s="6">
        <v>8.6774724771761666E-2</v>
      </c>
      <c r="G32" s="6">
        <v>-0.37362620811253061</v>
      </c>
      <c r="H32" s="6">
        <v>0.64031579247437176</v>
      </c>
      <c r="I32" s="6">
        <v>0.67851138197699279</v>
      </c>
      <c r="J32" s="6">
        <v>0.50505014497970868</v>
      </c>
      <c r="K32" s="6">
        <v>-1.0084935483474982</v>
      </c>
      <c r="L32" s="6">
        <v>0.11106764719439023</v>
      </c>
      <c r="N32" s="8">
        <f t="shared" si="0"/>
        <v>2.8697273250069113</v>
      </c>
      <c r="O32" s="8">
        <f t="shared" si="1"/>
        <v>4.3078920721592784</v>
      </c>
      <c r="P32" s="12">
        <f t="shared" si="2"/>
        <v>0</v>
      </c>
      <c r="Q32" s="11">
        <f>IF(P32=Sheet1!M32, 1, 0)</f>
        <v>1</v>
      </c>
    </row>
    <row r="33" spans="1:17" x14ac:dyDescent="0.35">
      <c r="A33" s="6" t="s">
        <v>36</v>
      </c>
      <c r="B33" s="6" t="s">
        <v>45</v>
      </c>
      <c r="C33" s="6">
        <v>-0.46476250116485612</v>
      </c>
      <c r="D33" s="6">
        <v>0.72019756405423241</v>
      </c>
      <c r="E33" s="6">
        <v>0.38725811538497718</v>
      </c>
      <c r="F33" s="6">
        <v>0.53510780535935609</v>
      </c>
      <c r="G33" s="6">
        <v>0.49742639524015247</v>
      </c>
      <c r="H33" s="6">
        <v>0.78359254342524964</v>
      </c>
      <c r="I33" s="6">
        <v>0.93095973544752575</v>
      </c>
      <c r="J33" s="6">
        <v>-0.33764538557162466</v>
      </c>
      <c r="K33" s="6">
        <v>0.48285725456162054</v>
      </c>
      <c r="L33" s="6">
        <v>0.13967700163327057</v>
      </c>
      <c r="N33" s="8">
        <f t="shared" si="0"/>
        <v>3.3295792127256441</v>
      </c>
      <c r="O33" s="8">
        <f t="shared" si="1"/>
        <v>4.1759770954406727</v>
      </c>
      <c r="P33" s="12">
        <f t="shared" si="2"/>
        <v>0</v>
      </c>
      <c r="Q33" s="11">
        <f>IF(P33=Sheet1!M33, 1, 0)</f>
        <v>1</v>
      </c>
    </row>
    <row r="34" spans="1:17" x14ac:dyDescent="0.35">
      <c r="A34" s="6" t="s">
        <v>36</v>
      </c>
      <c r="B34" s="6" t="s">
        <v>46</v>
      </c>
      <c r="C34" s="6">
        <v>-0.53186358921771271</v>
      </c>
      <c r="D34" s="6">
        <v>0.70792201199414928</v>
      </c>
      <c r="E34" s="6">
        <v>6.6020290268389709E-2</v>
      </c>
      <c r="F34" s="6">
        <v>0.29476429824023381</v>
      </c>
      <c r="G34" s="6">
        <v>-0.1355384965294659</v>
      </c>
      <c r="H34" s="6">
        <v>0.8159106075495075</v>
      </c>
      <c r="I34" s="6">
        <v>0.43116299524323815</v>
      </c>
      <c r="J34" s="6">
        <v>-1.3549535035344955</v>
      </c>
      <c r="K34" s="6">
        <v>2.5453969798860911</v>
      </c>
      <c r="L34" s="6">
        <v>-0.3201618995731787</v>
      </c>
      <c r="N34" s="8">
        <f t="shared" si="0"/>
        <v>3.8326765113066159</v>
      </c>
      <c r="O34" s="8">
        <f t="shared" si="1"/>
        <v>5.9664669621368747</v>
      </c>
      <c r="P34" s="12">
        <f t="shared" si="2"/>
        <v>0</v>
      </c>
      <c r="Q34" s="11">
        <f>IF(P34=Sheet1!M34, 1, 0)</f>
        <v>1</v>
      </c>
    </row>
    <row r="35" spans="1:17" x14ac:dyDescent="0.35">
      <c r="A35" s="6" t="s">
        <v>36</v>
      </c>
      <c r="B35" s="6" t="s">
        <v>47</v>
      </c>
      <c r="C35" s="6">
        <v>-0.46744654468697056</v>
      </c>
      <c r="D35" s="6">
        <v>0.95957082922585946</v>
      </c>
      <c r="E35" s="6">
        <v>0.76891222871156506</v>
      </c>
      <c r="F35" s="6">
        <v>0.75542268688521663</v>
      </c>
      <c r="G35" s="6">
        <v>0.55840007747483844</v>
      </c>
      <c r="H35" s="6">
        <v>0.38392581708858986</v>
      </c>
      <c r="I35" s="6">
        <v>0.40120069066466485</v>
      </c>
      <c r="J35" s="6">
        <v>-1.1803409161229579</v>
      </c>
      <c r="K35" s="6">
        <v>2.3623035444817186</v>
      </c>
      <c r="L35" s="6">
        <v>-0.15424168527990051</v>
      </c>
      <c r="N35" s="8">
        <f t="shared" si="0"/>
        <v>4.2205261524835498</v>
      </c>
      <c r="O35" s="8">
        <f t="shared" si="1"/>
        <v>5.2874031770947925</v>
      </c>
      <c r="P35" s="12">
        <f t="shared" si="2"/>
        <v>0</v>
      </c>
      <c r="Q35" s="11">
        <f>IF(P35=Sheet1!M35, 1, 0)</f>
        <v>1</v>
      </c>
    </row>
    <row r="36" spans="1:17" x14ac:dyDescent="0.35">
      <c r="A36" s="6" t="s">
        <v>36</v>
      </c>
      <c r="B36" s="6" t="s">
        <v>48</v>
      </c>
      <c r="C36" s="6">
        <v>-1.1089329464722797</v>
      </c>
      <c r="D36" s="6">
        <v>1.0209485895262764</v>
      </c>
      <c r="E36" s="6">
        <v>0.72433679655662575</v>
      </c>
      <c r="F36" s="6">
        <v>0.86326913238738712</v>
      </c>
      <c r="G36" s="6">
        <v>0.61356674235384112</v>
      </c>
      <c r="H36" s="6">
        <v>1.032441637182038</v>
      </c>
      <c r="I36" s="6">
        <v>0.83151038408034672</v>
      </c>
      <c r="J36" s="6">
        <v>1.5451338178223459</v>
      </c>
      <c r="K36" s="6">
        <v>-0.42009071320182273</v>
      </c>
      <c r="L36" s="6">
        <v>1.0491293672015534</v>
      </c>
      <c r="N36" s="8">
        <f t="shared" si="0"/>
        <v>4.4580330846362859</v>
      </c>
      <c r="O36" s="8">
        <f t="shared" si="1"/>
        <v>3.190469527356484</v>
      </c>
      <c r="P36" s="12">
        <f t="shared" si="2"/>
        <v>1</v>
      </c>
      <c r="Q36" s="11">
        <f>IF(P36=Sheet1!M36, 1, 0)</f>
        <v>0</v>
      </c>
    </row>
    <row r="37" spans="1:17" x14ac:dyDescent="0.35">
      <c r="A37" s="6" t="s">
        <v>36</v>
      </c>
      <c r="B37" s="6" t="s">
        <v>49</v>
      </c>
      <c r="C37" s="6">
        <v>-0.28895765046637195</v>
      </c>
      <c r="D37" s="6">
        <v>0.13710884120027053</v>
      </c>
      <c r="E37" s="6">
        <v>0.30105438708534249</v>
      </c>
      <c r="F37" s="6">
        <v>0.21927178638871339</v>
      </c>
      <c r="G37" s="6">
        <v>-0.19941568744199564</v>
      </c>
      <c r="H37" s="6">
        <v>0.19163333554925394</v>
      </c>
      <c r="I37" s="6">
        <v>0.47005024161117381</v>
      </c>
      <c r="J37" s="6">
        <v>2.296756669133344E-2</v>
      </c>
      <c r="K37" s="6">
        <v>-5.3903842393077189E-2</v>
      </c>
      <c r="L37" s="6">
        <v>0.17307994488155118</v>
      </c>
      <c r="N37" s="8">
        <f t="shared" si="0"/>
        <v>2.5331671169797909</v>
      </c>
      <c r="O37" s="8">
        <f t="shared" si="1"/>
        <v>4.5781925071823322</v>
      </c>
      <c r="P37" s="12">
        <f t="shared" si="2"/>
        <v>0</v>
      </c>
      <c r="Q37" s="11">
        <f>IF(P37=Sheet1!M37, 1, 0)</f>
        <v>1</v>
      </c>
    </row>
    <row r="38" spans="1:17" x14ac:dyDescent="0.35">
      <c r="A38" s="6" t="s">
        <v>36</v>
      </c>
      <c r="B38" s="6" t="s">
        <v>50</v>
      </c>
      <c r="C38" s="6">
        <v>0.62361714705247839</v>
      </c>
      <c r="D38" s="6">
        <v>-1.4587129266105743</v>
      </c>
      <c r="E38" s="6">
        <v>-1.209721210165948</v>
      </c>
      <c r="F38" s="6">
        <v>-1.1673253700677579</v>
      </c>
      <c r="G38" s="6">
        <v>-0.23135428289826052</v>
      </c>
      <c r="H38" s="6">
        <v>-3.450612491254645</v>
      </c>
      <c r="I38" s="6">
        <v>-1.2065638231047431</v>
      </c>
      <c r="J38" s="6">
        <v>-0.4363394567172762</v>
      </c>
      <c r="K38" s="6">
        <v>0.43591021984255107</v>
      </c>
      <c r="L38" s="6">
        <v>-0.36840949954862978</v>
      </c>
      <c r="N38" s="8">
        <f t="shared" si="0"/>
        <v>4.2650684563711918</v>
      </c>
      <c r="O38" s="8">
        <f t="shared" si="1"/>
        <v>8.8111368111383417</v>
      </c>
      <c r="P38" s="12">
        <f t="shared" si="2"/>
        <v>0</v>
      </c>
      <c r="Q38" s="11">
        <f>IF(P38=Sheet1!M38, 1, 0)</f>
        <v>1</v>
      </c>
    </row>
    <row r="39" spans="1:17" x14ac:dyDescent="0.35">
      <c r="A39" s="6" t="s">
        <v>36</v>
      </c>
      <c r="B39" s="6" t="s">
        <v>51</v>
      </c>
      <c r="C39" s="6">
        <v>-0.35203267323605703</v>
      </c>
      <c r="D39" s="6">
        <v>0.78157532435465038</v>
      </c>
      <c r="E39" s="6">
        <v>-0.85053900891747003</v>
      </c>
      <c r="F39" s="6">
        <v>-7.9616934003014755E-2</v>
      </c>
      <c r="G39" s="6">
        <v>-4.2626218838510872E-2</v>
      </c>
      <c r="H39" s="6">
        <v>0.77820619940454028</v>
      </c>
      <c r="I39" s="6">
        <v>0.43435047445372454</v>
      </c>
      <c r="J39" s="6">
        <v>-1.1841368419362523</v>
      </c>
      <c r="K39" s="6">
        <v>2.3012723993469275</v>
      </c>
      <c r="L39" s="6">
        <v>-0.37078083337365808</v>
      </c>
      <c r="N39" s="8">
        <f t="shared" si="0"/>
        <v>3.296593176061227</v>
      </c>
      <c r="O39" s="8">
        <f t="shared" si="1"/>
        <v>6.2920452850586317</v>
      </c>
      <c r="P39" s="12">
        <f t="shared" si="2"/>
        <v>0</v>
      </c>
      <c r="Q39" s="11">
        <f>IF(P39=Sheet1!M39, 1, 0)</f>
        <v>1</v>
      </c>
    </row>
    <row r="40" spans="1:17" x14ac:dyDescent="0.35">
      <c r="A40" s="6" t="s">
        <v>36</v>
      </c>
      <c r="B40" s="6" t="s">
        <v>52</v>
      </c>
      <c r="C40" s="6">
        <v>-0.39229332606777106</v>
      </c>
      <c r="D40" s="6">
        <v>0.43172209064227285</v>
      </c>
      <c r="E40" s="6">
        <v>-0.76286171261271329</v>
      </c>
      <c r="F40" s="6">
        <v>-0.30609446955757175</v>
      </c>
      <c r="G40" s="6">
        <v>-1.0733717994725225</v>
      </c>
      <c r="H40" s="6">
        <v>0.69687240469182354</v>
      </c>
      <c r="I40" s="6">
        <v>-0.92096568584514948</v>
      </c>
      <c r="J40" s="6">
        <v>-1.4043005391073213</v>
      </c>
      <c r="K40" s="6">
        <v>2.8536825078746499</v>
      </c>
      <c r="L40" s="6">
        <v>-0.44071092209586799</v>
      </c>
      <c r="N40" s="8">
        <f t="shared" si="0"/>
        <v>3.6812919182889341</v>
      </c>
      <c r="O40" s="8">
        <f t="shared" si="1"/>
        <v>7.2346213278815439</v>
      </c>
      <c r="P40" s="12">
        <f t="shared" si="2"/>
        <v>0</v>
      </c>
      <c r="Q40" s="11">
        <f>IF(P40=Sheet1!M40, 1, 0)</f>
        <v>1</v>
      </c>
    </row>
    <row r="41" spans="1:17" x14ac:dyDescent="0.35">
      <c r="A41" s="6" t="s">
        <v>36</v>
      </c>
      <c r="B41" s="6" t="s">
        <v>53</v>
      </c>
      <c r="C41" s="6">
        <v>5.4599920364253991E-2</v>
      </c>
      <c r="D41" s="6">
        <v>0.61585537154352343</v>
      </c>
      <c r="E41" s="6">
        <v>-0.6707637122925908</v>
      </c>
      <c r="F41" s="6">
        <v>0.13915728401567337</v>
      </c>
      <c r="G41" s="6">
        <v>0.50904042995151932</v>
      </c>
      <c r="H41" s="6">
        <v>0.74804267288856585</v>
      </c>
      <c r="I41" s="6">
        <v>-1.2429010861042891</v>
      </c>
      <c r="J41" s="6">
        <v>-1.6548316427847449</v>
      </c>
      <c r="K41" s="6">
        <v>2.3341353236502758</v>
      </c>
      <c r="L41" s="6">
        <v>-0.39286764072250963</v>
      </c>
      <c r="N41" s="8">
        <f t="shared" si="0"/>
        <v>3.9421332563137259</v>
      </c>
      <c r="O41" s="8">
        <f t="shared" si="1"/>
        <v>6.7443665582656127</v>
      </c>
      <c r="P41" s="12">
        <f t="shared" si="2"/>
        <v>0</v>
      </c>
      <c r="Q41" s="11">
        <f>IF(P41=Sheet1!M41, 1, 0)</f>
        <v>1</v>
      </c>
    </row>
    <row r="42" spans="1:17" x14ac:dyDescent="0.35">
      <c r="A42" s="6" t="s">
        <v>36</v>
      </c>
      <c r="B42" s="6" t="s">
        <v>54</v>
      </c>
      <c r="C42" s="6">
        <v>-0.53320561097876984</v>
      </c>
      <c r="D42" s="6">
        <v>0.15552216929039525</v>
      </c>
      <c r="E42" s="6">
        <v>0.25500538692528119</v>
      </c>
      <c r="F42" s="6">
        <v>9.7559369321979811E-2</v>
      </c>
      <c r="G42" s="6">
        <v>-0.24296831760963145</v>
      </c>
      <c r="H42" s="6">
        <v>0.8611558973234692</v>
      </c>
      <c r="I42" s="6">
        <v>0.82896040071195709</v>
      </c>
      <c r="J42" s="6">
        <v>-0.4287476050906876</v>
      </c>
      <c r="K42" s="6">
        <v>-0.42478541667372988</v>
      </c>
      <c r="L42" s="6">
        <v>-4.3896974738430898E-2</v>
      </c>
      <c r="N42" s="8">
        <f t="shared" si="0"/>
        <v>2.9467732898990651</v>
      </c>
      <c r="O42" s="8">
        <f t="shared" si="1"/>
        <v>4.6169512672744171</v>
      </c>
      <c r="P42" s="12">
        <f t="shared" si="2"/>
        <v>0</v>
      </c>
      <c r="Q42" s="11">
        <f>IF(P42=Sheet1!M42, 1, 0)</f>
        <v>1</v>
      </c>
    </row>
    <row r="43" spans="1:17" x14ac:dyDescent="0.35">
      <c r="A43" s="6" t="s">
        <v>36</v>
      </c>
      <c r="B43" s="6" t="s">
        <v>55</v>
      </c>
      <c r="C43" s="6">
        <v>1.4339267532540168E-2</v>
      </c>
      <c r="D43" s="6">
        <v>-0.22501994457219024</v>
      </c>
      <c r="E43" s="6">
        <v>7.8914010313206856E-2</v>
      </c>
      <c r="F43" s="6">
        <v>-0.20749200509844473</v>
      </c>
      <c r="G43" s="6">
        <v>-0.73366128416497556</v>
      </c>
      <c r="H43" s="6">
        <v>0.58375918025692008</v>
      </c>
      <c r="I43" s="6">
        <v>0.80919802960694043</v>
      </c>
      <c r="J43" s="6">
        <v>0.59235643868547772</v>
      </c>
      <c r="K43" s="6">
        <v>8.3807459449527055E-2</v>
      </c>
      <c r="L43" s="6">
        <v>5.2696787013301813E-2</v>
      </c>
      <c r="N43" s="8">
        <f t="shared" si="0"/>
        <v>2.2582278135415752</v>
      </c>
      <c r="O43" s="8">
        <f t="shared" si="1"/>
        <v>5.0436583864225408</v>
      </c>
      <c r="P43" s="12">
        <f t="shared" si="2"/>
        <v>0</v>
      </c>
      <c r="Q43" s="11">
        <f>IF(P43=Sheet1!M43, 1, 0)</f>
        <v>1</v>
      </c>
    </row>
    <row r="44" spans="1:17" x14ac:dyDescent="0.35">
      <c r="A44" s="6" t="s">
        <v>36</v>
      </c>
      <c r="B44" s="6" t="s">
        <v>56</v>
      </c>
      <c r="C44" s="6">
        <v>-0.3157980856875145</v>
      </c>
      <c r="D44" s="6">
        <v>0.57902871536327394</v>
      </c>
      <c r="E44" s="6">
        <v>-9.938771830655041E-2</v>
      </c>
      <c r="F44" s="6">
        <v>2.8229511499155757E-2</v>
      </c>
      <c r="G44" s="6">
        <v>-0.70752970606439414</v>
      </c>
      <c r="H44" s="6">
        <v>-0.54037081686519439</v>
      </c>
      <c r="I44" s="6">
        <v>-0.48173105064010524</v>
      </c>
      <c r="J44" s="6">
        <v>-0.70964611527446553</v>
      </c>
      <c r="K44" s="6">
        <v>1.1510700487297145</v>
      </c>
      <c r="L44" s="6">
        <v>-0.27937555538021203</v>
      </c>
      <c r="N44" s="8">
        <f t="shared" si="0"/>
        <v>2.3337564107188782</v>
      </c>
      <c r="O44" s="8">
        <f t="shared" si="1"/>
        <v>5.7230140415404094</v>
      </c>
      <c r="P44" s="12">
        <f t="shared" si="2"/>
        <v>0</v>
      </c>
      <c r="Q44" s="11">
        <f>IF(P44=Sheet1!M44, 1, 0)</f>
        <v>1</v>
      </c>
    </row>
    <row r="45" spans="1:17" x14ac:dyDescent="0.35">
      <c r="A45" s="6" t="s">
        <v>36</v>
      </c>
      <c r="B45" s="6" t="s">
        <v>57</v>
      </c>
      <c r="C45" s="6">
        <v>-0.48086676229754183</v>
      </c>
      <c r="D45" s="6">
        <v>0.35806877828177169</v>
      </c>
      <c r="E45" s="6">
        <v>-0.51714424775862633</v>
      </c>
      <c r="F45" s="6">
        <v>-0.19824802405540123</v>
      </c>
      <c r="G45" s="6">
        <v>-0.73366128416497556</v>
      </c>
      <c r="H45" s="6">
        <v>-0.94703979042877695</v>
      </c>
      <c r="I45" s="6">
        <v>-0.46515615874557492</v>
      </c>
      <c r="J45" s="6">
        <v>-0.37560464370456742</v>
      </c>
      <c r="K45" s="6">
        <v>0.90225076471864574</v>
      </c>
      <c r="L45" s="6">
        <v>-0.28421283567266015</v>
      </c>
      <c r="N45" s="8">
        <f t="shared" si="0"/>
        <v>2.1032628306715893</v>
      </c>
      <c r="O45" s="8">
        <f t="shared" si="1"/>
        <v>6.0282633706231632</v>
      </c>
      <c r="P45" s="12">
        <f t="shared" si="2"/>
        <v>0</v>
      </c>
      <c r="Q45" s="11">
        <f>IF(P45=Sheet1!M45, 1, 0)</f>
        <v>1</v>
      </c>
    </row>
    <row r="46" spans="1:17" x14ac:dyDescent="0.35">
      <c r="A46" s="6" t="s">
        <v>36</v>
      </c>
      <c r="B46" s="6" t="s">
        <v>58</v>
      </c>
      <c r="C46" s="6">
        <v>-0.50233911047445601</v>
      </c>
      <c r="D46" s="6">
        <v>0.28441546592127165</v>
      </c>
      <c r="E46" s="6">
        <v>0.45577902762314837</v>
      </c>
      <c r="F46" s="6">
        <v>0.27165434563262508</v>
      </c>
      <c r="G46" s="6">
        <v>-0.24587182628747109</v>
      </c>
      <c r="H46" s="6">
        <v>0.41193480599628007</v>
      </c>
      <c r="I46" s="6">
        <v>-3.0383994435212329E-2</v>
      </c>
      <c r="J46" s="6">
        <v>-0.1326653916537327</v>
      </c>
      <c r="K46" s="6">
        <v>-0.48268675949391676</v>
      </c>
      <c r="L46" s="6">
        <v>-4.8971016482057997E-2</v>
      </c>
      <c r="N46" s="8">
        <f t="shared" si="0"/>
        <v>2.7993303888333223</v>
      </c>
      <c r="O46" s="8">
        <f t="shared" si="1"/>
        <v>4.4014551102803683</v>
      </c>
      <c r="P46" s="12">
        <f t="shared" si="2"/>
        <v>0</v>
      </c>
      <c r="Q46" s="11">
        <f>IF(P46=Sheet1!M46, 1, 0)</f>
        <v>1</v>
      </c>
    </row>
    <row r="47" spans="1:17" x14ac:dyDescent="0.35">
      <c r="A47" s="6" t="s">
        <v>36</v>
      </c>
      <c r="B47" s="6" t="s">
        <v>59</v>
      </c>
      <c r="C47" s="6">
        <v>-0.30237786807694322</v>
      </c>
      <c r="D47" s="6">
        <v>-1.6335559550772212E-2</v>
      </c>
      <c r="E47" s="6">
        <v>0.55819200397912461</v>
      </c>
      <c r="F47" s="6">
        <v>0.2993862887617556</v>
      </c>
      <c r="G47" s="6">
        <v>-2.8108675449300315E-2</v>
      </c>
      <c r="H47" s="6">
        <v>0.1372312609400857</v>
      </c>
      <c r="I47" s="6">
        <v>0.10285263656312495</v>
      </c>
      <c r="J47" s="6">
        <v>0.25831496711557977</v>
      </c>
      <c r="K47" s="6">
        <v>-0.58440533471856682</v>
      </c>
      <c r="L47" s="6">
        <v>-8.3471846671411373E-2</v>
      </c>
      <c r="N47" s="8">
        <f t="shared" si="0"/>
        <v>2.8546903022930987</v>
      </c>
      <c r="O47" s="8">
        <f t="shared" si="1"/>
        <v>4.3910055031700974</v>
      </c>
      <c r="P47" s="12">
        <f t="shared" si="2"/>
        <v>0</v>
      </c>
      <c r="Q47" s="11">
        <f>IF(P47=Sheet1!M47, 1, 0)</f>
        <v>1</v>
      </c>
    </row>
    <row r="48" spans="1:17" x14ac:dyDescent="0.35">
      <c r="A48" s="6" t="s">
        <v>36</v>
      </c>
      <c r="B48" s="6" t="s">
        <v>60</v>
      </c>
      <c r="C48" s="6">
        <v>1.7965441662164117</v>
      </c>
      <c r="D48" s="6">
        <v>-1.0229308284776129</v>
      </c>
      <c r="E48" s="6">
        <v>-1.5361165233004623</v>
      </c>
      <c r="F48" s="6">
        <v>-1.0949141852305868</v>
      </c>
      <c r="G48" s="6">
        <v>-3.1012184127144078E-2</v>
      </c>
      <c r="H48" s="6">
        <v>-1.675812136430799</v>
      </c>
      <c r="I48" s="6">
        <v>-1.7191104801509769</v>
      </c>
      <c r="J48" s="6">
        <v>-0.78176870572705714</v>
      </c>
      <c r="K48" s="6">
        <v>0.75202025361762093</v>
      </c>
      <c r="L48" s="6">
        <v>-0.40843244425180542</v>
      </c>
      <c r="N48" s="8">
        <f t="shared" si="0"/>
        <v>3.4943257464686113</v>
      </c>
      <c r="O48" s="8">
        <f t="shared" si="1"/>
        <v>8.4658328337171991</v>
      </c>
      <c r="P48" s="12">
        <f t="shared" si="2"/>
        <v>0</v>
      </c>
      <c r="Q48" s="11">
        <f>IF(P48=Sheet1!M48, 1, 0)</f>
        <v>0</v>
      </c>
    </row>
    <row r="49" spans="1:17" x14ac:dyDescent="0.35">
      <c r="A49" s="6" t="s">
        <v>36</v>
      </c>
      <c r="B49" s="6" t="s">
        <v>61</v>
      </c>
      <c r="C49" s="6">
        <v>1.898537820056754</v>
      </c>
      <c r="D49" s="6">
        <v>-1.072033036717946</v>
      </c>
      <c r="E49" s="6">
        <v>-1.6212150755962556</v>
      </c>
      <c r="F49" s="6">
        <v>-1.2227892563260168</v>
      </c>
      <c r="G49" s="6">
        <v>-0.16747709198573077</v>
      </c>
      <c r="H49" s="6">
        <v>-2.1104900989020718</v>
      </c>
      <c r="I49" s="6">
        <v>-0.86805353095107307</v>
      </c>
      <c r="J49" s="6">
        <v>-1.6396479395315677</v>
      </c>
      <c r="K49" s="6">
        <v>1.9742080574707404</v>
      </c>
      <c r="L49" s="6">
        <v>-0.43207582598116834</v>
      </c>
      <c r="N49" s="8">
        <f t="shared" si="0"/>
        <v>4.0735268996016405</v>
      </c>
      <c r="O49" s="8">
        <f t="shared" si="1"/>
        <v>9.1487815204347385</v>
      </c>
      <c r="P49" s="12">
        <f t="shared" si="2"/>
        <v>0</v>
      </c>
      <c r="Q49" s="11">
        <f>IF(P49=Sheet1!M49, 1, 0)</f>
        <v>0</v>
      </c>
    </row>
    <row r="50" spans="1:17" x14ac:dyDescent="0.35">
      <c r="A50" s="6" t="s">
        <v>36</v>
      </c>
      <c r="B50" s="6" t="s">
        <v>62</v>
      </c>
      <c r="C50" s="6">
        <v>7.6291587272544108E-3</v>
      </c>
      <c r="D50" s="6">
        <v>1.2112196464575697</v>
      </c>
      <c r="E50" s="6">
        <v>0.44767440359497757</v>
      </c>
      <c r="F50" s="6">
        <v>0.61830363474674321</v>
      </c>
      <c r="G50" s="6">
        <v>-0.11811744446241156</v>
      </c>
      <c r="H50" s="6">
        <v>-2.4169730736804538</v>
      </c>
      <c r="I50" s="6">
        <v>0.46303778734810347</v>
      </c>
      <c r="J50" s="6">
        <v>1.3895008594772797</v>
      </c>
      <c r="K50" s="6">
        <v>0.27003069716850386</v>
      </c>
      <c r="L50" s="6">
        <v>-0.38380749814766685</v>
      </c>
      <c r="N50" s="8">
        <f t="shared" si="0"/>
        <v>3.5052100662493206</v>
      </c>
      <c r="O50" s="8">
        <f t="shared" si="1"/>
        <v>5.0361691058995</v>
      </c>
      <c r="P50" s="12">
        <f t="shared" si="2"/>
        <v>0</v>
      </c>
      <c r="Q50" s="11">
        <f>IF(P50=Sheet1!M50, 1, 0)</f>
        <v>1</v>
      </c>
    </row>
    <row r="51" spans="1:17" x14ac:dyDescent="0.35">
      <c r="A51" s="6" t="s">
        <v>36</v>
      </c>
      <c r="B51" s="6" t="s">
        <v>63</v>
      </c>
      <c r="C51" s="6">
        <v>0.1512254871603676</v>
      </c>
      <c r="D51" s="6">
        <v>0.62199314757356505</v>
      </c>
      <c r="E51" s="6">
        <v>0.33163092319162318</v>
      </c>
      <c r="F51" s="6">
        <v>-0.15202811884018591</v>
      </c>
      <c r="G51" s="6">
        <v>-1.8050559862887752</v>
      </c>
      <c r="H51" s="6">
        <v>0.63923852367022937</v>
      </c>
      <c r="I51" s="6">
        <v>0.13153994945750391</v>
      </c>
      <c r="J51" s="6">
        <v>0.58096866124559465</v>
      </c>
      <c r="K51" s="6">
        <v>-0.45295363750517287</v>
      </c>
      <c r="L51" s="6">
        <v>-0.33568409816037281</v>
      </c>
      <c r="N51" s="8">
        <f t="shared" si="0"/>
        <v>2.1856857908305165</v>
      </c>
      <c r="O51" s="8">
        <f t="shared" si="1"/>
        <v>4.8510289714193506</v>
      </c>
      <c r="P51" s="12">
        <f t="shared" si="2"/>
        <v>0</v>
      </c>
      <c r="Q51" s="11">
        <f>IF(P51=Sheet1!M51, 1, 0)</f>
        <v>1</v>
      </c>
    </row>
    <row r="52" spans="1:17" x14ac:dyDescent="0.35">
      <c r="A52" s="6" t="s">
        <v>36</v>
      </c>
      <c r="B52" s="6" t="s">
        <v>64</v>
      </c>
      <c r="C52" s="6">
        <v>-0.50368113223551303</v>
      </c>
      <c r="D52" s="6">
        <v>1.7513439371012394</v>
      </c>
      <c r="E52" s="6">
        <v>0.77775363674229681</v>
      </c>
      <c r="F52" s="6">
        <v>1.4240706489986716</v>
      </c>
      <c r="G52" s="6">
        <v>1.1942684779222965</v>
      </c>
      <c r="H52" s="6">
        <v>0.60799772835011312</v>
      </c>
      <c r="I52" s="6">
        <v>0.93350971881591538</v>
      </c>
      <c r="J52" s="6">
        <v>2.2549719449083789</v>
      </c>
      <c r="K52" s="6">
        <v>-0.10398067942675288</v>
      </c>
      <c r="L52" s="6">
        <v>-0.25944047521514879</v>
      </c>
      <c r="N52" s="8">
        <f t="shared" si="0"/>
        <v>4.7523797306090758</v>
      </c>
      <c r="O52" s="8">
        <f t="shared" si="1"/>
        <v>2.6213464210788002</v>
      </c>
      <c r="P52" s="12">
        <f t="shared" si="2"/>
        <v>1</v>
      </c>
      <c r="Q52" s="11">
        <f>IF(P52=Sheet1!M52, 1, 0)</f>
        <v>0</v>
      </c>
    </row>
    <row r="53" spans="1:17" x14ac:dyDescent="0.35">
      <c r="A53" s="6" t="s">
        <v>36</v>
      </c>
      <c r="B53" s="6" t="s">
        <v>65</v>
      </c>
      <c r="C53" s="6">
        <v>-0.26480125876734334</v>
      </c>
      <c r="D53" s="6">
        <v>1.2296329745476944</v>
      </c>
      <c r="E53" s="6">
        <v>0.96305481338638343</v>
      </c>
      <c r="F53" s="6">
        <v>0.84632183380847481</v>
      </c>
      <c r="G53" s="6">
        <v>0.37547903077077632</v>
      </c>
      <c r="H53" s="6">
        <v>1.0060485514805599</v>
      </c>
      <c r="I53" s="6">
        <v>0.90609739760573083</v>
      </c>
      <c r="J53" s="6">
        <v>1.256643456011979</v>
      </c>
      <c r="K53" s="6">
        <v>-0.35592976575242774</v>
      </c>
      <c r="L53" s="6">
        <v>-0.37484201000525202</v>
      </c>
      <c r="N53" s="8">
        <f t="shared" si="0"/>
        <v>3.8196927142163557</v>
      </c>
      <c r="O53" s="8">
        <f t="shared" si="1"/>
        <v>2.7427565091115897</v>
      </c>
      <c r="P53" s="12">
        <f t="shared" si="2"/>
        <v>1</v>
      </c>
      <c r="Q53" s="11">
        <f>IF(P53=Sheet1!M53, 1, 0)</f>
        <v>0</v>
      </c>
    </row>
    <row r="54" spans="1:17" x14ac:dyDescent="0.35">
      <c r="A54" s="6" t="s">
        <v>36</v>
      </c>
      <c r="B54" s="6" t="s">
        <v>66</v>
      </c>
      <c r="C54" s="6">
        <v>-0.52783752393454142</v>
      </c>
      <c r="D54" s="6">
        <v>1.8679616816720328</v>
      </c>
      <c r="E54" s="6">
        <v>1.7219423360241932</v>
      </c>
      <c r="F54" s="6">
        <v>1.7383660044621374</v>
      </c>
      <c r="G54" s="6">
        <v>1.0374790093188158</v>
      </c>
      <c r="H54" s="6">
        <v>0.83530144602406242</v>
      </c>
      <c r="I54" s="6">
        <v>0.87103512629037916</v>
      </c>
      <c r="J54" s="6">
        <v>2.1828493544557874</v>
      </c>
      <c r="K54" s="6">
        <v>-1.1430750478754994</v>
      </c>
      <c r="L54" s="6">
        <v>2.8359786330232621</v>
      </c>
      <c r="N54" s="8">
        <f t="shared" si="0"/>
        <v>6.3731801880834746</v>
      </c>
      <c r="O54" s="8">
        <f t="shared" si="1"/>
        <v>3.378395447677125</v>
      </c>
      <c r="P54" s="12">
        <f t="shared" si="2"/>
        <v>1</v>
      </c>
      <c r="Q54" s="11">
        <f>IF(P54=Sheet1!M54, 1, 0)</f>
        <v>0</v>
      </c>
    </row>
    <row r="55" spans="1:17" x14ac:dyDescent="0.35">
      <c r="A55" s="6" t="s">
        <v>36</v>
      </c>
      <c r="B55" s="6" t="s">
        <v>67</v>
      </c>
      <c r="C55" s="6">
        <v>-0.8673690294819959</v>
      </c>
      <c r="D55" s="6">
        <v>1.5365217760497798</v>
      </c>
      <c r="E55" s="6">
        <v>0.27195141898418373</v>
      </c>
      <c r="F55" s="6">
        <v>0.93722098073173299</v>
      </c>
      <c r="G55" s="6">
        <v>0.81100533244711792</v>
      </c>
      <c r="H55" s="6">
        <v>0.9699600465418049</v>
      </c>
      <c r="I55" s="6">
        <v>0.93223472713172106</v>
      </c>
      <c r="J55" s="6">
        <v>1.0630512395339704</v>
      </c>
      <c r="K55" s="6">
        <v>-1.0476160772800565</v>
      </c>
      <c r="L55" s="6">
        <v>-0.28837844560519771</v>
      </c>
      <c r="N55" s="8">
        <f t="shared" si="0"/>
        <v>4.1438383499767575</v>
      </c>
      <c r="O55" s="8">
        <f t="shared" si="1"/>
        <v>2.9285403024791314</v>
      </c>
      <c r="P55" s="12">
        <f t="shared" si="2"/>
        <v>1</v>
      </c>
      <c r="Q55" s="11">
        <f>IF(P55=Sheet1!M55, 1, 0)</f>
        <v>0</v>
      </c>
    </row>
    <row r="56" spans="1:17" x14ac:dyDescent="0.35">
      <c r="A56" s="6" t="s">
        <v>36</v>
      </c>
      <c r="B56" s="6" t="s">
        <v>68</v>
      </c>
      <c r="C56" s="6">
        <v>-0.63654128658016906</v>
      </c>
      <c r="D56" s="6">
        <v>1.6285884165004056</v>
      </c>
      <c r="E56" s="6">
        <v>0.2358490028586957</v>
      </c>
      <c r="F56" s="6">
        <v>0.85556581485151828</v>
      </c>
      <c r="G56" s="6">
        <v>-4.5529727516354639E-2</v>
      </c>
      <c r="H56" s="6">
        <v>-1.3935677097456109</v>
      </c>
      <c r="I56" s="6">
        <v>-1.9766588003582888</v>
      </c>
      <c r="J56" s="6">
        <v>0.80492828422995799</v>
      </c>
      <c r="K56" s="6">
        <v>-0.12119459215707841</v>
      </c>
      <c r="L56" s="6">
        <v>-0.36811381414613809</v>
      </c>
      <c r="N56" s="8">
        <f t="shared" si="0"/>
        <v>3.8640642948674682</v>
      </c>
      <c r="O56" s="8">
        <f t="shared" si="1"/>
        <v>5.0183603362821234</v>
      </c>
      <c r="P56" s="12">
        <f t="shared" si="2"/>
        <v>0</v>
      </c>
      <c r="Q56" s="11">
        <f>IF(P56=Sheet1!M56, 1, 0)</f>
        <v>1</v>
      </c>
    </row>
    <row r="57" spans="1:17" x14ac:dyDescent="0.35">
      <c r="A57" s="6" t="s">
        <v>36</v>
      </c>
      <c r="B57" s="6" t="s">
        <v>69</v>
      </c>
      <c r="C57" s="6">
        <v>0.56054212428279282</v>
      </c>
      <c r="D57" s="6">
        <v>0.11255773708010311</v>
      </c>
      <c r="E57" s="6">
        <v>-0.80706875276637213</v>
      </c>
      <c r="F57" s="6">
        <v>-4.8803663859537154E-2</v>
      </c>
      <c r="G57" s="6">
        <v>0.48290885185093779</v>
      </c>
      <c r="H57" s="6">
        <v>-1.7275210390296121</v>
      </c>
      <c r="I57" s="6">
        <v>-0.70294210784787048</v>
      </c>
      <c r="J57" s="6">
        <v>-9.8502059334084097E-2</v>
      </c>
      <c r="K57" s="6">
        <v>-1.0194478564486145</v>
      </c>
      <c r="L57" s="6">
        <v>-0.38540755506104418</v>
      </c>
      <c r="N57" s="8">
        <f t="shared" si="0"/>
        <v>2.8916809974336721</v>
      </c>
      <c r="O57" s="8">
        <f t="shared" si="1"/>
        <v>6.2023772026119284</v>
      </c>
      <c r="P57" s="12">
        <f t="shared" si="2"/>
        <v>0</v>
      </c>
      <c r="Q57" s="11">
        <f>IF(P57=Sheet1!M57, 1, 0)</f>
        <v>1</v>
      </c>
    </row>
    <row r="58" spans="1:17" x14ac:dyDescent="0.35">
      <c r="A58" s="6" t="s">
        <v>70</v>
      </c>
      <c r="B58" s="6" t="s">
        <v>71</v>
      </c>
      <c r="C58" s="6">
        <v>0.34447662075259461</v>
      </c>
      <c r="D58" s="6">
        <v>-0.75900645918581899</v>
      </c>
      <c r="E58" s="6">
        <v>-1.4749634510879008</v>
      </c>
      <c r="F58" s="6">
        <v>-1.3213917207851438</v>
      </c>
      <c r="G58" s="6">
        <v>-1.4305033668471197</v>
      </c>
      <c r="H58" s="6">
        <v>-0.33138066886165829</v>
      </c>
      <c r="I58" s="6">
        <v>-1.891871853359347</v>
      </c>
      <c r="J58" s="6">
        <v>-0.86148314780623725</v>
      </c>
      <c r="K58" s="6">
        <v>2.0508882141785536</v>
      </c>
      <c r="L58" s="6">
        <v>-0.39538657695607449</v>
      </c>
      <c r="N58" s="8">
        <f t="shared" si="0"/>
        <v>3.402353775359034</v>
      </c>
      <c r="O58" s="8">
        <f t="shared" si="1"/>
        <v>8.4356612357256431</v>
      </c>
      <c r="P58" s="12">
        <f t="shared" si="2"/>
        <v>0</v>
      </c>
      <c r="Q58" s="11">
        <f>IF(P58=Sheet1!M58, 1, 0)</f>
        <v>1</v>
      </c>
    </row>
    <row r="59" spans="1:17" x14ac:dyDescent="0.35">
      <c r="A59" s="6" t="s">
        <v>70</v>
      </c>
      <c r="B59" s="6" t="s">
        <v>72</v>
      </c>
      <c r="C59" s="6">
        <v>-0.584202437898941</v>
      </c>
      <c r="D59" s="6">
        <v>-0.10226442397135649</v>
      </c>
      <c r="E59" s="6">
        <v>-0.38857543931173522</v>
      </c>
      <c r="F59" s="6">
        <v>1.5904203441765154E-2</v>
      </c>
      <c r="G59" s="6">
        <v>0.378382539448616</v>
      </c>
      <c r="H59" s="6">
        <v>-0.3125284647891739</v>
      </c>
      <c r="I59" s="6">
        <v>-0.56779298932324129</v>
      </c>
      <c r="J59" s="6">
        <v>0.34562126082134836</v>
      </c>
      <c r="K59" s="6">
        <v>-0.44982383519056662</v>
      </c>
      <c r="L59" s="6">
        <v>-0.25437004830966958</v>
      </c>
      <c r="N59" s="8">
        <f t="shared" si="0"/>
        <v>2.7306065904044257</v>
      </c>
      <c r="O59" s="8">
        <f t="shared" si="1"/>
        <v>5.2639939776573703</v>
      </c>
      <c r="P59" s="12">
        <f t="shared" si="2"/>
        <v>0</v>
      </c>
      <c r="Q59" s="11">
        <f>IF(P59=Sheet1!M59, 1, 0)</f>
        <v>1</v>
      </c>
    </row>
    <row r="60" spans="1:17" x14ac:dyDescent="0.35">
      <c r="A60" s="6" t="s">
        <v>70</v>
      </c>
      <c r="B60" s="6" t="s">
        <v>73</v>
      </c>
      <c r="C60" s="6">
        <v>-0.5721242420494268</v>
      </c>
      <c r="D60" s="6">
        <v>-0.34777546517302454</v>
      </c>
      <c r="E60" s="6">
        <v>-4.0444998101671972E-2</v>
      </c>
      <c r="F60" s="6">
        <v>-0.1058082136249706</v>
      </c>
      <c r="G60" s="6">
        <v>-0.25167884364315446</v>
      </c>
      <c r="H60" s="6">
        <v>-1.5928624385118697</v>
      </c>
      <c r="I60" s="6">
        <v>-0.44921876269314226</v>
      </c>
      <c r="J60" s="6">
        <v>-0.14784909490690989</v>
      </c>
      <c r="K60" s="6">
        <v>0.27316049948310789</v>
      </c>
      <c r="L60" s="6">
        <v>-0.2474859338247771</v>
      </c>
      <c r="N60" s="8">
        <f t="shared" si="0"/>
        <v>2.8024805057293096</v>
      </c>
      <c r="O60" s="8">
        <f t="shared" si="1"/>
        <v>6.036372165532919</v>
      </c>
      <c r="P60" s="12">
        <f t="shared" si="2"/>
        <v>0</v>
      </c>
      <c r="Q60" s="11">
        <f>IF(P60=Sheet1!M60, 1, 0)</f>
        <v>1</v>
      </c>
    </row>
    <row r="61" spans="1:17" x14ac:dyDescent="0.35">
      <c r="A61" s="6" t="s">
        <v>70</v>
      </c>
      <c r="B61" s="6" t="s">
        <v>74</v>
      </c>
      <c r="C61" s="6">
        <v>-0.73450887513733976</v>
      </c>
      <c r="D61" s="6">
        <v>-0.19433106442198234</v>
      </c>
      <c r="E61" s="6">
        <v>2.3655210121133328E-2</v>
      </c>
      <c r="F61" s="6">
        <v>-0.31841977761496232</v>
      </c>
      <c r="G61" s="6">
        <v>-0.95723145235882978</v>
      </c>
      <c r="H61" s="6">
        <v>-0.24627643333444516</v>
      </c>
      <c r="I61" s="6">
        <v>-1.3398004541030795</v>
      </c>
      <c r="J61" s="6">
        <v>-0.5654009343692824</v>
      </c>
      <c r="K61" s="6">
        <v>9.319686639334139E-2</v>
      </c>
      <c r="L61" s="6">
        <v>-0.31490596669615539</v>
      </c>
      <c r="N61" s="8">
        <f t="shared" si="0"/>
        <v>2.8033412415669741</v>
      </c>
      <c r="O61" s="8">
        <f t="shared" si="1"/>
        <v>6.043672393071712</v>
      </c>
      <c r="P61" s="12">
        <f t="shared" si="2"/>
        <v>0</v>
      </c>
      <c r="Q61" s="11">
        <f>IF(P61=Sheet1!M61, 1, 0)</f>
        <v>1</v>
      </c>
    </row>
    <row r="62" spans="1:17" x14ac:dyDescent="0.35">
      <c r="A62" s="6" t="s">
        <v>70</v>
      </c>
      <c r="B62" s="6" t="s">
        <v>75</v>
      </c>
      <c r="C62" s="6">
        <v>-1.0378057931362517</v>
      </c>
      <c r="D62" s="6">
        <v>0.11255773708010311</v>
      </c>
      <c r="E62" s="6">
        <v>0.10728019441180461</v>
      </c>
      <c r="F62" s="6">
        <v>0.39028543568501156</v>
      </c>
      <c r="G62" s="6">
        <v>0.13448781050986786</v>
      </c>
      <c r="H62" s="6">
        <v>-1.2642954532485782</v>
      </c>
      <c r="I62" s="6">
        <v>8.6915240510692285E-2</v>
      </c>
      <c r="J62" s="6">
        <v>-0.16303279816008709</v>
      </c>
      <c r="K62" s="6">
        <v>-0.40444170162880033</v>
      </c>
      <c r="L62" s="6">
        <v>-0.25226675577805963</v>
      </c>
      <c r="N62" s="8">
        <f t="shared" si="0"/>
        <v>3.1749243626052697</v>
      </c>
      <c r="O62" s="8">
        <f t="shared" si="1"/>
        <v>5.1414217882301321</v>
      </c>
      <c r="P62" s="12">
        <f t="shared" si="2"/>
        <v>0</v>
      </c>
      <c r="Q62" s="11">
        <f>IF(P62=Sheet1!M62, 1, 0)</f>
        <v>1</v>
      </c>
    </row>
    <row r="63" spans="1:17" x14ac:dyDescent="0.35">
      <c r="A63" s="6" t="s">
        <v>70</v>
      </c>
      <c r="B63" s="6" t="s">
        <v>76</v>
      </c>
      <c r="C63" s="6">
        <v>-0.67814396117294018</v>
      </c>
      <c r="D63" s="6">
        <v>-0.34163768914298293</v>
      </c>
      <c r="E63" s="6">
        <v>0.26716232296753739</v>
      </c>
      <c r="F63" s="6">
        <v>0.12837263946545741</v>
      </c>
      <c r="G63" s="6">
        <v>-0.19941568744199564</v>
      </c>
      <c r="H63" s="6">
        <v>-1.1495663256074615</v>
      </c>
      <c r="I63" s="6">
        <v>6.0777910984702935E-2</v>
      </c>
      <c r="J63" s="6">
        <v>1.2718271592651564</v>
      </c>
      <c r="K63" s="6">
        <v>-0.75497956086452123</v>
      </c>
      <c r="L63" s="6">
        <v>-0.20402375270661169</v>
      </c>
      <c r="N63" s="8">
        <f t="shared" si="0"/>
        <v>3.1588072055249277</v>
      </c>
      <c r="O63" s="8">
        <f t="shared" si="1"/>
        <v>5.1153233366356314</v>
      </c>
      <c r="P63" s="12">
        <f t="shared" si="2"/>
        <v>0</v>
      </c>
      <c r="Q63" s="11">
        <f>IF(P63=Sheet1!M63, 1, 0)</f>
        <v>1</v>
      </c>
    </row>
    <row r="64" spans="1:17" x14ac:dyDescent="0.35">
      <c r="A64" s="6" t="s">
        <v>70</v>
      </c>
      <c r="B64" s="6" t="s">
        <v>77</v>
      </c>
      <c r="C64" s="6">
        <v>-0.72779876633205409</v>
      </c>
      <c r="D64" s="6">
        <v>0.32737989813156382</v>
      </c>
      <c r="E64" s="6">
        <v>-0.24416577480978308</v>
      </c>
      <c r="F64" s="6">
        <v>0.40723273426392392</v>
      </c>
      <c r="G64" s="6">
        <v>0.83423340186985562</v>
      </c>
      <c r="H64" s="6">
        <v>2.5726604223432121E-3</v>
      </c>
      <c r="I64" s="6">
        <v>0.14811484135203332</v>
      </c>
      <c r="J64" s="6">
        <v>1.9201181156748245E-4</v>
      </c>
      <c r="K64" s="6">
        <v>-0.46547284676359124</v>
      </c>
      <c r="L64" s="6">
        <v>-0.1467784862607239</v>
      </c>
      <c r="N64" s="8">
        <f t="shared" si="0"/>
        <v>3.1146951141105736</v>
      </c>
      <c r="O64" s="8">
        <f t="shared" si="1"/>
        <v>4.6292259396817332</v>
      </c>
      <c r="P64" s="12">
        <f t="shared" si="2"/>
        <v>0</v>
      </c>
      <c r="Q64" s="11">
        <f>IF(P64=Sheet1!M64, 1, 0)</f>
        <v>1</v>
      </c>
    </row>
    <row r="65" spans="1:17" x14ac:dyDescent="0.35">
      <c r="A65" s="6" t="s">
        <v>70</v>
      </c>
      <c r="B65" s="6" t="s">
        <v>78</v>
      </c>
      <c r="C65" s="6">
        <v>-0.66874980884554025</v>
      </c>
      <c r="D65" s="6">
        <v>-0.22501994457219024</v>
      </c>
      <c r="E65" s="6">
        <v>-0.24195542280210014</v>
      </c>
      <c r="F65" s="6">
        <v>-3.8019019309319002E-2</v>
      </c>
      <c r="G65" s="6">
        <v>5.3189567530283768E-2</v>
      </c>
      <c r="H65" s="6">
        <v>-1.1587231104426681</v>
      </c>
      <c r="I65" s="6">
        <v>-1.0331649540542749</v>
      </c>
      <c r="J65" s="6">
        <v>-1.0664631417241293</v>
      </c>
      <c r="K65" s="6">
        <v>0.29193931337073653</v>
      </c>
      <c r="L65" s="6">
        <v>-0.22009829020479904</v>
      </c>
      <c r="N65" s="8">
        <f t="shared" si="0"/>
        <v>3.1576853596738617</v>
      </c>
      <c r="O65" s="8">
        <f t="shared" si="1"/>
        <v>6.2882076301951697</v>
      </c>
      <c r="P65" s="12">
        <f t="shared" si="2"/>
        <v>0</v>
      </c>
      <c r="Q65" s="11">
        <f>IF(P65=Sheet1!M65, 1, 0)</f>
        <v>1</v>
      </c>
    </row>
    <row r="66" spans="1:17" x14ac:dyDescent="0.35">
      <c r="A66" s="6" t="s">
        <v>70</v>
      </c>
      <c r="B66" s="6" t="s">
        <v>79</v>
      </c>
      <c r="C66" s="6">
        <v>-0.64325139538545473</v>
      </c>
      <c r="D66" s="6">
        <v>-0.20660661648206549</v>
      </c>
      <c r="E66" s="6">
        <v>-0.69434080037454216</v>
      </c>
      <c r="F66" s="6">
        <v>-0.48635209989691341</v>
      </c>
      <c r="G66" s="6">
        <v>-0.6000998849842285</v>
      </c>
      <c r="H66" s="6">
        <v>-1.7205187918026899</v>
      </c>
      <c r="I66" s="6">
        <v>-0.1636206254335496</v>
      </c>
      <c r="J66" s="6">
        <v>-5.2950949574552521E-2</v>
      </c>
      <c r="K66" s="6">
        <v>-1.7911115775125219E-2</v>
      </c>
      <c r="L66" s="6">
        <v>-0.3266729335081815</v>
      </c>
      <c r="N66" s="8">
        <f t="shared" si="0"/>
        <v>2.4619415870741559</v>
      </c>
      <c r="O66" s="8">
        <f t="shared" si="1"/>
        <v>6.4103803419083007</v>
      </c>
      <c r="P66" s="12">
        <f t="shared" si="2"/>
        <v>0</v>
      </c>
      <c r="Q66" s="11">
        <f>IF(P66=Sheet1!M66, 1, 0)</f>
        <v>1</v>
      </c>
    </row>
    <row r="67" spans="1:17" x14ac:dyDescent="0.35">
      <c r="A67" s="6" t="s">
        <v>70</v>
      </c>
      <c r="B67" s="6" t="s">
        <v>80</v>
      </c>
      <c r="C67" s="6">
        <v>-0.63788330834122631</v>
      </c>
      <c r="D67" s="6">
        <v>-7.1575543821147503E-2</v>
      </c>
      <c r="E67" s="6">
        <v>1.5550586092962542E-2</v>
      </c>
      <c r="F67" s="6">
        <v>-0.10734887713214306</v>
      </c>
      <c r="G67" s="6">
        <v>-0.47815252051485241</v>
      </c>
      <c r="H67" s="6">
        <v>-1.0035964026462287</v>
      </c>
      <c r="I67" s="6">
        <v>-0.26306997680072869</v>
      </c>
      <c r="J67" s="6">
        <v>-8.3318356080906902E-2</v>
      </c>
      <c r="K67" s="6">
        <v>0.41400160364031841</v>
      </c>
      <c r="L67" s="6">
        <v>-0.37411615886315913</v>
      </c>
      <c r="N67" s="8">
        <f t="shared" ref="N67:N130" si="3">SQRT((C67-$C$520)^2+(D67-$D$520)^2+(E67-$E$520)^2+(F67-$F$520)^2+(G67-$G$520)^2+(H67-$H$520)^2+(I67-$I$520)^2+(J67-$J$520)^2+(K67-$K$520)^2+(L67-$L$520)^2)</f>
        <v>2.4264845623588638</v>
      </c>
      <c r="O67" s="8">
        <f t="shared" ref="O67:O130" si="4">SQRT((C67-$C$521)^2+(D67-$D$521)^2+(E67-$E$521)^2+(F67-$F$521)^2+(G67-$G$521)^2+(H67-$H$521)^2+(I67-$I$521)^2+(J67-$J$521)^2+(K67-$K$521)^2+(L67-$L$521)^2)</f>
        <v>5.6352892471672513</v>
      </c>
      <c r="P67" s="12">
        <f t="shared" ref="P67:P130" si="5">IF(N67&lt;=O67, 0, 1)</f>
        <v>0</v>
      </c>
      <c r="Q67" s="11">
        <f>IF(P67=Sheet1!M67, 1, 0)</f>
        <v>1</v>
      </c>
    </row>
    <row r="68" spans="1:17" x14ac:dyDescent="0.35">
      <c r="A68" s="6" t="s">
        <v>70</v>
      </c>
      <c r="B68" s="6" t="s">
        <v>81</v>
      </c>
      <c r="C68" s="6">
        <v>-0.75195515803108248</v>
      </c>
      <c r="D68" s="6">
        <v>6.9593304869812064E-2</v>
      </c>
      <c r="E68" s="6">
        <v>0.36810173131839169</v>
      </c>
      <c r="F68" s="6">
        <v>0.28243899018284324</v>
      </c>
      <c r="G68" s="6">
        <v>0.54388253408562792</v>
      </c>
      <c r="H68" s="6">
        <v>0.29666704395309246</v>
      </c>
      <c r="I68" s="6">
        <v>-0.94774051121323644</v>
      </c>
      <c r="J68" s="6">
        <v>-2.2583543068198139E-2</v>
      </c>
      <c r="K68" s="6">
        <v>0.55953741126943612</v>
      </c>
      <c r="L68" s="6">
        <v>-0.2978454768693713</v>
      </c>
      <c r="N68" s="8">
        <f t="shared" si="3"/>
        <v>3.3362515712192047</v>
      </c>
      <c r="O68" s="8">
        <f t="shared" si="4"/>
        <v>4.9769763398772149</v>
      </c>
      <c r="P68" s="12">
        <f t="shared" si="5"/>
        <v>0</v>
      </c>
      <c r="Q68" s="11">
        <f>IF(P68=Sheet1!M68, 1, 0)</f>
        <v>1</v>
      </c>
    </row>
    <row r="69" spans="1:17" x14ac:dyDescent="0.35">
      <c r="A69" s="6" t="s">
        <v>70</v>
      </c>
      <c r="B69" s="6" t="s">
        <v>82</v>
      </c>
      <c r="C69" s="6">
        <v>-0.63922533010228344</v>
      </c>
      <c r="D69" s="6">
        <v>-0.10226442397135649</v>
      </c>
      <c r="E69" s="6">
        <v>-0.455254391543504</v>
      </c>
      <c r="F69" s="6">
        <v>-0.17976006196931421</v>
      </c>
      <c r="G69" s="6">
        <v>-0.49847708125975049</v>
      </c>
      <c r="H69" s="6">
        <v>-0.37285551782112281</v>
      </c>
      <c r="I69" s="6">
        <v>-0.23374516806425297</v>
      </c>
      <c r="J69" s="6">
        <v>-1.499169144160971E-2</v>
      </c>
      <c r="K69" s="6">
        <v>-0.39661719584228688</v>
      </c>
      <c r="L69" s="6">
        <v>-0.21483930665511911</v>
      </c>
      <c r="N69" s="8">
        <f t="shared" si="3"/>
        <v>2.2042314979877187</v>
      </c>
      <c r="O69" s="8">
        <f t="shared" si="4"/>
        <v>5.5170038317486556</v>
      </c>
      <c r="P69" s="12">
        <f t="shared" si="5"/>
        <v>0</v>
      </c>
      <c r="Q69" s="11">
        <f>IF(P69=Sheet1!M69, 1, 0)</f>
        <v>1</v>
      </c>
    </row>
    <row r="70" spans="1:17" x14ac:dyDescent="0.35">
      <c r="A70" s="6" t="s">
        <v>70</v>
      </c>
      <c r="B70" s="6" t="s">
        <v>83</v>
      </c>
      <c r="C70" s="6">
        <v>-0.98412492269396634</v>
      </c>
      <c r="D70" s="6">
        <v>1.9354772180024911</v>
      </c>
      <c r="E70" s="6">
        <v>1.5528504074364482</v>
      </c>
      <c r="F70" s="6">
        <v>1.9987381371745214</v>
      </c>
      <c r="G70" s="6">
        <v>1.1710404084995587</v>
      </c>
      <c r="H70" s="6">
        <v>0.1576993682187823</v>
      </c>
      <c r="I70" s="6">
        <v>0.66193649008246247</v>
      </c>
      <c r="J70" s="6">
        <v>3.1546063626591261</v>
      </c>
      <c r="K70" s="6">
        <v>-0.88956106039252147</v>
      </c>
      <c r="L70" s="6">
        <v>0.48609918582805522</v>
      </c>
      <c r="N70" s="8">
        <f t="shared" si="3"/>
        <v>6.012632521279591</v>
      </c>
      <c r="O70" s="8">
        <f t="shared" si="4"/>
        <v>2.542393722003037</v>
      </c>
      <c r="P70" s="12">
        <f t="shared" si="5"/>
        <v>1</v>
      </c>
      <c r="Q70" s="11">
        <f>IF(P70=Sheet1!M70, 1, 0)</f>
        <v>0</v>
      </c>
    </row>
    <row r="71" spans="1:17" x14ac:dyDescent="0.35">
      <c r="A71" s="6" t="s">
        <v>70</v>
      </c>
      <c r="B71" s="6" t="s">
        <v>84</v>
      </c>
      <c r="C71" s="6">
        <v>-1.2283728832063643</v>
      </c>
      <c r="D71" s="6">
        <v>1.5978995363501967</v>
      </c>
      <c r="E71" s="6">
        <v>0.6790245803991255</v>
      </c>
      <c r="F71" s="6">
        <v>1.3069802224534577</v>
      </c>
      <c r="G71" s="6">
        <v>1.1826544432109296</v>
      </c>
      <c r="H71" s="6">
        <v>0.76474033935276597</v>
      </c>
      <c r="I71" s="6">
        <v>0.72759856181848515</v>
      </c>
      <c r="J71" s="6">
        <v>3.4355344131216416E-2</v>
      </c>
      <c r="K71" s="6">
        <v>-0.462343044448985</v>
      </c>
      <c r="L71" s="6">
        <v>-0.39757472415657846</v>
      </c>
      <c r="N71" s="8">
        <f t="shared" si="3"/>
        <v>4.511799708152509</v>
      </c>
      <c r="O71" s="8">
        <f t="shared" si="4"/>
        <v>2.9924762684762762</v>
      </c>
      <c r="P71" s="12">
        <f t="shared" si="5"/>
        <v>1</v>
      </c>
      <c r="Q71" s="11">
        <f>IF(P71=Sheet1!M71, 1, 0)</f>
        <v>0</v>
      </c>
    </row>
    <row r="72" spans="1:17" x14ac:dyDescent="0.35">
      <c r="A72" s="6" t="s">
        <v>70</v>
      </c>
      <c r="B72" s="6" t="s">
        <v>85</v>
      </c>
      <c r="C72" s="6">
        <v>-1.3276824935245923</v>
      </c>
      <c r="D72" s="6">
        <v>1.1559796621871943</v>
      </c>
      <c r="E72" s="6">
        <v>-4.7812838127281779E-2</v>
      </c>
      <c r="F72" s="6">
        <v>0.45499330298631385</v>
      </c>
      <c r="G72" s="6">
        <v>0.12868079315418032</v>
      </c>
      <c r="H72" s="6">
        <v>0.4981163103276357</v>
      </c>
      <c r="I72" s="6">
        <v>0.19975200456191528</v>
      </c>
      <c r="J72" s="6">
        <v>0.50125421916641455</v>
      </c>
      <c r="K72" s="6">
        <v>-0.22134826622442755</v>
      </c>
      <c r="L72" s="6">
        <v>-0.39981546411788171</v>
      </c>
      <c r="N72" s="8">
        <f t="shared" si="3"/>
        <v>3.2229666438722999</v>
      </c>
      <c r="O72" s="8">
        <f t="shared" si="4"/>
        <v>3.9611312743438338</v>
      </c>
      <c r="P72" s="12">
        <f t="shared" si="5"/>
        <v>0</v>
      </c>
      <c r="Q72" s="11">
        <f>IF(P72=Sheet1!M72, 1, 0)</f>
        <v>1</v>
      </c>
    </row>
    <row r="73" spans="1:17" x14ac:dyDescent="0.35">
      <c r="A73" s="6" t="s">
        <v>70</v>
      </c>
      <c r="B73" s="6" t="s">
        <v>86</v>
      </c>
      <c r="C73" s="6">
        <v>-0.85260679011036744</v>
      </c>
      <c r="D73" s="6">
        <v>1.9600283221226587</v>
      </c>
      <c r="E73" s="6">
        <v>0.15811829058851226</v>
      </c>
      <c r="F73" s="6">
        <v>1.2391910281378082</v>
      </c>
      <c r="G73" s="6">
        <v>0.91843515352727934</v>
      </c>
      <c r="H73" s="6">
        <v>-0.22419242284953481</v>
      </c>
      <c r="I73" s="6">
        <v>0.84872277181697375</v>
      </c>
      <c r="J73" s="6">
        <v>-6.0542801201140951E-2</v>
      </c>
      <c r="K73" s="6">
        <v>-0.5515424104152189</v>
      </c>
      <c r="L73" s="6">
        <v>-0.40395418216200102</v>
      </c>
      <c r="N73" s="8">
        <f t="shared" si="3"/>
        <v>3.9749934058354186</v>
      </c>
      <c r="O73" s="8">
        <f t="shared" si="4"/>
        <v>3.4638742948586096</v>
      </c>
      <c r="P73" s="12">
        <f t="shared" si="5"/>
        <v>1</v>
      </c>
      <c r="Q73" s="11">
        <f>IF(P73=Sheet1!M73, 1, 0)</f>
        <v>0</v>
      </c>
    </row>
    <row r="74" spans="1:17" x14ac:dyDescent="0.35">
      <c r="A74" s="6" t="s">
        <v>70</v>
      </c>
      <c r="B74" s="6" t="s">
        <v>87</v>
      </c>
      <c r="C74" s="6">
        <v>-0.9572844874728238</v>
      </c>
      <c r="D74" s="6">
        <v>1.7820328172514484</v>
      </c>
      <c r="E74" s="6">
        <v>1.1074644778883356</v>
      </c>
      <c r="F74" s="6">
        <v>1.6597921655962722</v>
      </c>
      <c r="G74" s="6">
        <v>1.4062246114047838</v>
      </c>
      <c r="H74" s="6">
        <v>0.68556108224833345</v>
      </c>
      <c r="I74" s="6">
        <v>0.75947335392335047</v>
      </c>
      <c r="J74" s="6">
        <v>0.39117237058087995</v>
      </c>
      <c r="K74" s="6">
        <v>-0.31993703913447358</v>
      </c>
      <c r="L74" s="6">
        <v>-0.32807158334116754</v>
      </c>
      <c r="N74" s="8">
        <f t="shared" si="3"/>
        <v>4.8661405877258801</v>
      </c>
      <c r="O74" s="8">
        <f t="shared" si="4"/>
        <v>2.4506003811297736</v>
      </c>
      <c r="P74" s="12">
        <f t="shared" si="5"/>
        <v>1</v>
      </c>
      <c r="Q74" s="11">
        <f>IF(P74=Sheet1!M74, 1, 0)</f>
        <v>0</v>
      </c>
    </row>
    <row r="75" spans="1:17" x14ac:dyDescent="0.35">
      <c r="A75" s="6" t="s">
        <v>70</v>
      </c>
      <c r="B75" s="6" t="s">
        <v>88</v>
      </c>
      <c r="C75" s="6">
        <v>-0.82039826784499625</v>
      </c>
      <c r="D75" s="6">
        <v>1.4567306876592383</v>
      </c>
      <c r="E75" s="6">
        <v>1.1023069898704088</v>
      </c>
      <c r="F75" s="6">
        <v>1.4102046774341064</v>
      </c>
      <c r="G75" s="6">
        <v>1.2145930386671946</v>
      </c>
      <c r="H75" s="6">
        <v>0.66186116855721011</v>
      </c>
      <c r="I75" s="6">
        <v>0.91119736434251009</v>
      </c>
      <c r="J75" s="6">
        <v>0.53541755148606307</v>
      </c>
      <c r="K75" s="6">
        <v>0.35453535966283062</v>
      </c>
      <c r="L75" s="6">
        <v>-0.36340930079930733</v>
      </c>
      <c r="N75" s="8">
        <f t="shared" si="3"/>
        <v>4.5155244544293298</v>
      </c>
      <c r="O75" s="8">
        <f t="shared" si="4"/>
        <v>2.8135556739913445</v>
      </c>
      <c r="P75" s="12">
        <f t="shared" si="5"/>
        <v>1</v>
      </c>
      <c r="Q75" s="11">
        <f>IF(P75=Sheet1!M75, 1, 0)</f>
        <v>0</v>
      </c>
    </row>
    <row r="76" spans="1:17" x14ac:dyDescent="0.35">
      <c r="A76" s="6" t="s">
        <v>70</v>
      </c>
      <c r="B76" s="6" t="s">
        <v>89</v>
      </c>
      <c r="C76" s="6">
        <v>-1.0592781413131658</v>
      </c>
      <c r="D76" s="6">
        <v>1.3708018232386538</v>
      </c>
      <c r="E76" s="6">
        <v>0.91847938123144413</v>
      </c>
      <c r="F76" s="6">
        <v>1.1005313124921601</v>
      </c>
      <c r="G76" s="6">
        <v>0.20997903613376442</v>
      </c>
      <c r="H76" s="6">
        <v>0.12699720730073738</v>
      </c>
      <c r="I76" s="6">
        <v>0.80027308781757811</v>
      </c>
      <c r="J76" s="6">
        <v>0.39117237058087995</v>
      </c>
      <c r="K76" s="6">
        <v>-1.0585703853811728</v>
      </c>
      <c r="L76" s="6">
        <v>-0.38226283392752713</v>
      </c>
      <c r="N76" s="8">
        <f t="shared" si="3"/>
        <v>4.0010739922901113</v>
      </c>
      <c r="O76" s="8">
        <f t="shared" si="4"/>
        <v>2.9190790731509111</v>
      </c>
      <c r="P76" s="12">
        <f t="shared" si="5"/>
        <v>1</v>
      </c>
      <c r="Q76" s="11">
        <f>IF(P76=Sheet1!M76, 1, 0)</f>
        <v>0</v>
      </c>
    </row>
    <row r="77" spans="1:17" x14ac:dyDescent="0.35">
      <c r="A77" s="6" t="s">
        <v>90</v>
      </c>
      <c r="B77" s="6" t="s">
        <v>91</v>
      </c>
      <c r="C77" s="6">
        <v>-0.44329015298794194</v>
      </c>
      <c r="D77" s="6">
        <v>0.19234882547064583</v>
      </c>
      <c r="E77" s="6">
        <v>-5.8161499813058903E-3</v>
      </c>
      <c r="F77" s="6">
        <v>0.10372202335067403</v>
      </c>
      <c r="G77" s="6">
        <v>-0.30684550852216119</v>
      </c>
      <c r="H77" s="6">
        <v>0.58052737384449415</v>
      </c>
      <c r="I77" s="6">
        <v>4.1015539879686293E-2</v>
      </c>
      <c r="J77" s="6">
        <v>-1.1385857321767208</v>
      </c>
      <c r="K77" s="6">
        <v>-0.38253308542656761</v>
      </c>
      <c r="L77" s="6">
        <v>5.694794115033381E-2</v>
      </c>
      <c r="N77" s="8">
        <f t="shared" si="3"/>
        <v>2.8407875447082724</v>
      </c>
      <c r="O77" s="8">
        <f t="shared" si="4"/>
        <v>5.1707650356682748</v>
      </c>
      <c r="P77" s="12">
        <f t="shared" si="5"/>
        <v>0</v>
      </c>
      <c r="Q77" s="11">
        <f>IF(P77=Sheet1!M77, 1, 0)</f>
        <v>1</v>
      </c>
    </row>
    <row r="78" spans="1:17" x14ac:dyDescent="0.35">
      <c r="A78" s="6" t="s">
        <v>90</v>
      </c>
      <c r="B78" s="6" t="s">
        <v>92</v>
      </c>
      <c r="C78" s="6">
        <v>-0.81771422432288199</v>
      </c>
      <c r="D78" s="6">
        <v>-2.8611111610855368E-2</v>
      </c>
      <c r="E78" s="6">
        <v>-2.3867358044049911E-2</v>
      </c>
      <c r="F78" s="6">
        <v>1.2822876427418053E-2</v>
      </c>
      <c r="G78" s="6">
        <v>0.17513693199965991</v>
      </c>
      <c r="H78" s="6">
        <v>0.30259202237587313</v>
      </c>
      <c r="I78" s="6">
        <v>-1.2939007534720735</v>
      </c>
      <c r="J78" s="6">
        <v>-0.6602990797016397</v>
      </c>
      <c r="K78" s="6">
        <v>-0.15875221993233349</v>
      </c>
      <c r="L78" s="6">
        <v>0.19249453014335188</v>
      </c>
      <c r="N78" s="8">
        <f t="shared" si="3"/>
        <v>3.3073811287202162</v>
      </c>
      <c r="O78" s="8">
        <f t="shared" si="4"/>
        <v>5.5219255424785239</v>
      </c>
      <c r="P78" s="12">
        <f t="shared" si="5"/>
        <v>0</v>
      </c>
      <c r="Q78" s="11">
        <f>IF(P78=Sheet1!M78, 1, 0)</f>
        <v>1</v>
      </c>
    </row>
    <row r="79" spans="1:17" x14ac:dyDescent="0.35">
      <c r="A79" s="6" t="s">
        <v>90</v>
      </c>
      <c r="B79" s="6" t="s">
        <v>93</v>
      </c>
      <c r="C79" s="6">
        <v>-0.81771422432288199</v>
      </c>
      <c r="D79" s="6">
        <v>-0.73445535506565218</v>
      </c>
      <c r="E79" s="6">
        <v>-0.13991083844740435</v>
      </c>
      <c r="F79" s="6">
        <v>-0.50792138899734751</v>
      </c>
      <c r="G79" s="6">
        <v>-0.48686304654837959</v>
      </c>
      <c r="H79" s="6">
        <v>-1.4845969236956047</v>
      </c>
      <c r="I79" s="6">
        <v>0.28453895156085696</v>
      </c>
      <c r="J79" s="6">
        <v>-0.91083018337906307</v>
      </c>
      <c r="K79" s="6">
        <v>-0.14153830720200797</v>
      </c>
      <c r="L79" s="6">
        <v>0.52148086640447944</v>
      </c>
      <c r="N79" s="8">
        <f t="shared" si="3"/>
        <v>3.2141625193258001</v>
      </c>
      <c r="O79" s="8">
        <f t="shared" si="4"/>
        <v>6.5297012498958091</v>
      </c>
      <c r="P79" s="12">
        <f t="shared" si="5"/>
        <v>0</v>
      </c>
      <c r="Q79" s="11">
        <f>IF(P79=Sheet1!M79, 1, 0)</f>
        <v>1</v>
      </c>
    </row>
    <row r="80" spans="1:17" x14ac:dyDescent="0.35">
      <c r="A80" s="6" t="s">
        <v>90</v>
      </c>
      <c r="B80" s="6" t="s">
        <v>94</v>
      </c>
      <c r="C80" s="6">
        <v>-0.35471671675817124</v>
      </c>
      <c r="D80" s="6">
        <v>0.16165994532043684</v>
      </c>
      <c r="E80" s="6">
        <v>0.49630214776400228</v>
      </c>
      <c r="F80" s="6">
        <v>0.33174022241240564</v>
      </c>
      <c r="G80" s="6">
        <v>0.45968078242820004</v>
      </c>
      <c r="H80" s="6">
        <v>0.2115628084258793</v>
      </c>
      <c r="I80" s="6">
        <v>-9.7321057855429327E-2</v>
      </c>
      <c r="J80" s="6">
        <v>-1.0322998094044806</v>
      </c>
      <c r="K80" s="6">
        <v>-4.4514435449262854E-2</v>
      </c>
      <c r="L80" s="6">
        <v>0.30453932205030315</v>
      </c>
      <c r="N80" s="8">
        <f t="shared" si="3"/>
        <v>3.3056880835370555</v>
      </c>
      <c r="O80" s="8">
        <f t="shared" si="4"/>
        <v>4.9038153765738581</v>
      </c>
      <c r="P80" s="12">
        <f t="shared" si="5"/>
        <v>0</v>
      </c>
      <c r="Q80" s="11">
        <f>IF(P80=Sheet1!M80, 1, 0)</f>
        <v>1</v>
      </c>
    </row>
    <row r="81" spans="1:17" x14ac:dyDescent="0.35">
      <c r="A81" s="6" t="s">
        <v>90</v>
      </c>
      <c r="B81" s="6" t="s">
        <v>95</v>
      </c>
      <c r="C81" s="6">
        <v>-0.95191640042859527</v>
      </c>
      <c r="D81" s="6">
        <v>0.87364196480527523</v>
      </c>
      <c r="E81" s="6">
        <v>0.54603506793686851</v>
      </c>
      <c r="F81" s="6">
        <v>0.62446628877543953</v>
      </c>
      <c r="G81" s="6">
        <v>0.42774218697193517</v>
      </c>
      <c r="H81" s="6">
        <v>0.98073273458322441</v>
      </c>
      <c r="I81" s="6">
        <v>0.50957498382120625</v>
      </c>
      <c r="J81" s="6">
        <v>-0.27311464674562164</v>
      </c>
      <c r="K81" s="6">
        <v>-0.74715505507801006</v>
      </c>
      <c r="L81" s="6">
        <v>0.68074315478483682</v>
      </c>
      <c r="N81" s="8">
        <f t="shared" si="3"/>
        <v>3.8692098184715293</v>
      </c>
      <c r="O81" s="8">
        <f t="shared" si="4"/>
        <v>3.7706975124108966</v>
      </c>
      <c r="P81" s="12">
        <f t="shared" si="5"/>
        <v>1</v>
      </c>
      <c r="Q81" s="11">
        <f>IF(P81=Sheet1!M81, 1, 0)</f>
        <v>0</v>
      </c>
    </row>
    <row r="82" spans="1:17" x14ac:dyDescent="0.35">
      <c r="A82" s="6" t="s">
        <v>90</v>
      </c>
      <c r="B82" s="6" t="s">
        <v>96</v>
      </c>
      <c r="C82" s="6">
        <v>-0.59762265550951221</v>
      </c>
      <c r="D82" s="6">
        <v>0.51151317903281446</v>
      </c>
      <c r="E82" s="6">
        <v>0.19643105872168323</v>
      </c>
      <c r="F82" s="6">
        <v>0.47656259208674795</v>
      </c>
      <c r="G82" s="6">
        <v>0.34063692663666773</v>
      </c>
      <c r="H82" s="6">
        <v>0.66886341578413333</v>
      </c>
      <c r="I82" s="6">
        <v>0.33617611477073894</v>
      </c>
      <c r="J82" s="6">
        <v>-0.29968612743868184</v>
      </c>
      <c r="K82" s="6">
        <v>-1.002233943718289</v>
      </c>
      <c r="L82" s="6">
        <v>0.6525994249314363</v>
      </c>
      <c r="N82" s="8">
        <f t="shared" si="3"/>
        <v>3.4358591030079726</v>
      </c>
      <c r="O82" s="8">
        <f t="shared" si="4"/>
        <v>4.2395137957796081</v>
      </c>
      <c r="P82" s="12">
        <f t="shared" si="5"/>
        <v>0</v>
      </c>
      <c r="Q82" s="11">
        <f>IF(P82=Sheet1!M82, 1, 0)</f>
        <v>1</v>
      </c>
    </row>
    <row r="83" spans="1:17" x14ac:dyDescent="0.35">
      <c r="A83" s="6" t="s">
        <v>90</v>
      </c>
      <c r="B83" s="6" t="s">
        <v>97</v>
      </c>
      <c r="C83" s="6">
        <v>-0.25138104115677207</v>
      </c>
      <c r="D83" s="6">
        <v>6.3455528839769404E-2</v>
      </c>
      <c r="E83" s="6">
        <v>-0.33847412713758857</v>
      </c>
      <c r="F83" s="6">
        <v>-3.9559682816493649E-2</v>
      </c>
      <c r="G83" s="6">
        <v>0.15190886257692218</v>
      </c>
      <c r="H83" s="6">
        <v>0.62738856682466804</v>
      </c>
      <c r="I83" s="6">
        <v>0.44837538297986518</v>
      </c>
      <c r="J83" s="6">
        <v>-1.0664631417241293</v>
      </c>
      <c r="K83" s="6">
        <v>-0.46390794560628812</v>
      </c>
      <c r="L83" s="6">
        <v>0.10005350699294799</v>
      </c>
      <c r="N83" s="8">
        <f t="shared" si="3"/>
        <v>2.8486100009739075</v>
      </c>
      <c r="O83" s="8">
        <f t="shared" si="4"/>
        <v>5.3200940156810725</v>
      </c>
      <c r="P83" s="12">
        <f t="shared" si="5"/>
        <v>0</v>
      </c>
      <c r="Q83" s="11">
        <f>IF(P83=Sheet1!M83, 1, 0)</f>
        <v>1</v>
      </c>
    </row>
    <row r="84" spans="1:17" x14ac:dyDescent="0.35">
      <c r="A84" s="6" t="s">
        <v>90</v>
      </c>
      <c r="B84" s="6" t="s">
        <v>98</v>
      </c>
      <c r="C84" s="6">
        <v>-0.75598122331425388</v>
      </c>
      <c r="D84" s="6">
        <v>0.77543754832460776</v>
      </c>
      <c r="E84" s="6">
        <v>0.40162540343491632</v>
      </c>
      <c r="F84" s="6">
        <v>0.56283974848848439</v>
      </c>
      <c r="G84" s="6">
        <v>0.45968078242820004</v>
      </c>
      <c r="H84" s="6">
        <v>0.70764509273324305</v>
      </c>
      <c r="I84" s="6">
        <v>0.51786242976847185</v>
      </c>
      <c r="J84" s="6">
        <v>0.59615236449877185</v>
      </c>
      <c r="K84" s="6">
        <v>-0.42322051551642675</v>
      </c>
      <c r="L84" s="6">
        <v>1.0920919066446158</v>
      </c>
      <c r="N84" s="8">
        <f t="shared" si="3"/>
        <v>3.6743678986452508</v>
      </c>
      <c r="O84" s="8">
        <f t="shared" si="4"/>
        <v>3.7835781005283029</v>
      </c>
      <c r="P84" s="12">
        <f t="shared" si="5"/>
        <v>0</v>
      </c>
      <c r="Q84" s="11">
        <f>IF(P84=Sheet1!M84, 1, 0)</f>
        <v>1</v>
      </c>
    </row>
    <row r="85" spans="1:17" x14ac:dyDescent="0.35">
      <c r="A85" s="6" t="s">
        <v>90</v>
      </c>
      <c r="B85" s="6" t="s">
        <v>99</v>
      </c>
      <c r="C85" s="6">
        <v>-0.68351204821716871</v>
      </c>
      <c r="D85" s="6">
        <v>-0.10840220000139807</v>
      </c>
      <c r="E85" s="6">
        <v>-0.33442181512350316</v>
      </c>
      <c r="F85" s="6">
        <v>-9.0401578553230708E-2</v>
      </c>
      <c r="G85" s="6">
        <v>0.21288254481160818</v>
      </c>
      <c r="H85" s="6">
        <v>-0.17571532666314796</v>
      </c>
      <c r="I85" s="6">
        <v>0.15193981640461729</v>
      </c>
      <c r="J85" s="6">
        <v>-0.68687056039469974</v>
      </c>
      <c r="K85" s="6">
        <v>-1.3652910122124293</v>
      </c>
      <c r="L85" s="6">
        <v>0.51813799781340963</v>
      </c>
      <c r="N85" s="8">
        <f t="shared" si="3"/>
        <v>3.256243641056161</v>
      </c>
      <c r="O85" s="8">
        <f t="shared" si="4"/>
        <v>5.4462469991304809</v>
      </c>
      <c r="P85" s="12">
        <f t="shared" si="5"/>
        <v>0</v>
      </c>
      <c r="Q85" s="11">
        <f>IF(P85=Sheet1!M85, 1, 0)</f>
        <v>1</v>
      </c>
    </row>
    <row r="86" spans="1:17" x14ac:dyDescent="0.35">
      <c r="A86" s="6" t="s">
        <v>90</v>
      </c>
      <c r="B86" s="6" t="s">
        <v>100</v>
      </c>
      <c r="C86" s="6">
        <v>1.7992282097385259</v>
      </c>
      <c r="D86" s="6">
        <v>-0.36618879326314979</v>
      </c>
      <c r="E86" s="6">
        <v>-0.93747952121966571</v>
      </c>
      <c r="F86" s="6">
        <v>-0.65120309516451513</v>
      </c>
      <c r="G86" s="6">
        <v>-0.54493322010522594</v>
      </c>
      <c r="H86" s="6">
        <v>-1.1431027127826101</v>
      </c>
      <c r="I86" s="6">
        <v>0.22652682993000228</v>
      </c>
      <c r="J86" s="6">
        <v>-0.23895131442597306</v>
      </c>
      <c r="K86" s="6">
        <v>-0.60474904976349864</v>
      </c>
      <c r="L86" s="6">
        <v>-0.18712051878677075</v>
      </c>
      <c r="N86" s="8">
        <f t="shared" si="3"/>
        <v>2.0425550921676709</v>
      </c>
      <c r="O86" s="8">
        <f t="shared" si="4"/>
        <v>6.8091069490415892</v>
      </c>
      <c r="P86" s="12">
        <f t="shared" si="5"/>
        <v>0</v>
      </c>
      <c r="Q86" s="11">
        <f>IF(P86=Sheet1!M86, 1, 0)</f>
        <v>0</v>
      </c>
    </row>
    <row r="87" spans="1:17" x14ac:dyDescent="0.35">
      <c r="A87" s="6" t="s">
        <v>90</v>
      </c>
      <c r="B87" s="6" t="s">
        <v>101</v>
      </c>
      <c r="C87" s="6">
        <v>-1.2672915142770214</v>
      </c>
      <c r="D87" s="6">
        <v>2.1380238269938676</v>
      </c>
      <c r="E87" s="6">
        <v>1.4865398472059601</v>
      </c>
      <c r="F87" s="6">
        <v>1.7953705542275709</v>
      </c>
      <c r="G87" s="6">
        <v>0.79939129773574702</v>
      </c>
      <c r="H87" s="6">
        <v>1.0275939275633992</v>
      </c>
      <c r="I87" s="6">
        <v>0.86848514292199042</v>
      </c>
      <c r="J87" s="6">
        <v>1.2262760495056246</v>
      </c>
      <c r="K87" s="6">
        <v>-1.2291446115271272</v>
      </c>
      <c r="L87" s="6">
        <v>1.0584372620071461</v>
      </c>
      <c r="N87" s="8">
        <f t="shared" si="3"/>
        <v>5.6059886900011051</v>
      </c>
      <c r="O87" s="8">
        <f t="shared" si="4"/>
        <v>1.9074909528713411</v>
      </c>
      <c r="P87" s="12">
        <f t="shared" si="5"/>
        <v>1</v>
      </c>
      <c r="Q87" s="11">
        <f>IF(P87=Sheet1!M87, 1, 0)</f>
        <v>0</v>
      </c>
    </row>
    <row r="88" spans="1:17" x14ac:dyDescent="0.35">
      <c r="A88" s="6" t="s">
        <v>90</v>
      </c>
      <c r="B88" s="6" t="s">
        <v>102</v>
      </c>
      <c r="C88" s="6">
        <v>-1.1881122303746505</v>
      </c>
      <c r="D88" s="6">
        <v>1.0454996936464438</v>
      </c>
      <c r="E88" s="6">
        <v>0.55008737995095391</v>
      </c>
      <c r="F88" s="6">
        <v>0.74309737882782601</v>
      </c>
      <c r="G88" s="6">
        <v>0.3841895568043035</v>
      </c>
      <c r="H88" s="6">
        <v>1.0679915077187219</v>
      </c>
      <c r="I88" s="6">
        <v>0.49236259608457922</v>
      </c>
      <c r="J88" s="6">
        <v>0.46709088684676592</v>
      </c>
      <c r="K88" s="6">
        <v>-0.71272722961735901</v>
      </c>
      <c r="L88" s="6">
        <v>8.5763612998881494E-2</v>
      </c>
      <c r="N88" s="8">
        <f t="shared" si="3"/>
        <v>3.8907383800543078</v>
      </c>
      <c r="O88" s="8">
        <f t="shared" si="4"/>
        <v>3.2797633985401062</v>
      </c>
      <c r="P88" s="12">
        <f t="shared" si="5"/>
        <v>1</v>
      </c>
      <c r="Q88" s="11">
        <f>IF(P88=Sheet1!M88, 1, 0)</f>
        <v>0</v>
      </c>
    </row>
    <row r="89" spans="1:17" x14ac:dyDescent="0.35">
      <c r="A89" s="6" t="s">
        <v>103</v>
      </c>
      <c r="B89" s="6" t="s">
        <v>104</v>
      </c>
      <c r="C89" s="6">
        <v>-0.61238489488114067</v>
      </c>
      <c r="D89" s="6">
        <v>7.5731080899853642E-2</v>
      </c>
      <c r="E89" s="6">
        <v>-5.1865150141367167E-2</v>
      </c>
      <c r="F89" s="6">
        <v>0.23467842146045328</v>
      </c>
      <c r="G89" s="6">
        <v>9.9645706375759216E-2</v>
      </c>
      <c r="H89" s="6">
        <v>-0.58615474104122733</v>
      </c>
      <c r="I89" s="6">
        <v>-0.67234230742719958</v>
      </c>
      <c r="J89" s="6">
        <v>-1.0398916610310691</v>
      </c>
      <c r="K89" s="6">
        <v>0.22464856360673757</v>
      </c>
      <c r="L89" s="6">
        <v>-0.31592932110732297</v>
      </c>
      <c r="N89" s="8">
        <f t="shared" si="3"/>
        <v>2.9596239782972575</v>
      </c>
      <c r="O89" s="8">
        <f t="shared" si="4"/>
        <v>5.6243997210256946</v>
      </c>
      <c r="P89" s="12">
        <f t="shared" si="5"/>
        <v>0</v>
      </c>
      <c r="Q89" s="11">
        <f>IF(P89=Sheet1!M89, 1, 0)</f>
        <v>1</v>
      </c>
    </row>
    <row r="90" spans="1:17" x14ac:dyDescent="0.35">
      <c r="A90" s="6" t="s">
        <v>103</v>
      </c>
      <c r="B90" s="6" t="s">
        <v>105</v>
      </c>
      <c r="C90" s="6">
        <v>-0.42450184833314225</v>
      </c>
      <c r="D90" s="6">
        <v>-0.32936213708289924</v>
      </c>
      <c r="E90" s="6">
        <v>2.0339682109608917E-2</v>
      </c>
      <c r="F90" s="6">
        <v>-6.1128971916927753E-2</v>
      </c>
      <c r="G90" s="6">
        <v>0.47419832581741478</v>
      </c>
      <c r="H90" s="6">
        <v>-0.33030340005751657</v>
      </c>
      <c r="I90" s="6">
        <v>-1.0344399457384701</v>
      </c>
      <c r="J90" s="6">
        <v>-8.7114281894201118E-2</v>
      </c>
      <c r="K90" s="6">
        <v>6.0333942089991231E-2</v>
      </c>
      <c r="L90" s="6">
        <v>-0.24222339812200383</v>
      </c>
      <c r="N90" s="8">
        <f t="shared" si="3"/>
        <v>2.9954162733382219</v>
      </c>
      <c r="O90" s="8">
        <f t="shared" si="4"/>
        <v>5.5625172918791126</v>
      </c>
      <c r="P90" s="12">
        <f t="shared" si="5"/>
        <v>0</v>
      </c>
      <c r="Q90" s="11">
        <f>IF(P90=Sheet1!M90, 1, 0)</f>
        <v>1</v>
      </c>
    </row>
    <row r="91" spans="1:17" x14ac:dyDescent="0.35">
      <c r="A91" s="6" t="s">
        <v>103</v>
      </c>
      <c r="B91" s="6" t="s">
        <v>106</v>
      </c>
      <c r="C91" s="6">
        <v>-0.45671037059851349</v>
      </c>
      <c r="D91" s="6">
        <v>-0.24343327266231607</v>
      </c>
      <c r="E91" s="6">
        <v>0.54050918791766112</v>
      </c>
      <c r="F91" s="6">
        <v>4.9798800599589861E-2</v>
      </c>
      <c r="G91" s="6">
        <v>-0.12973147917378247</v>
      </c>
      <c r="H91" s="6">
        <v>-6.3140736630315067E-2</v>
      </c>
      <c r="I91" s="6">
        <v>-0.9675028823182531</v>
      </c>
      <c r="J91" s="6">
        <v>0.17480459922310504</v>
      </c>
      <c r="K91" s="6">
        <v>-0.72055173540387019</v>
      </c>
      <c r="L91" s="6">
        <v>-0.22078396022690097</v>
      </c>
      <c r="N91" s="8">
        <f t="shared" si="3"/>
        <v>3.0850817291012969</v>
      </c>
      <c r="O91" s="8">
        <f t="shared" si="4"/>
        <v>5.0265807983867363</v>
      </c>
      <c r="P91" s="12">
        <f t="shared" si="5"/>
        <v>0</v>
      </c>
      <c r="Q91" s="11">
        <f>IF(P91=Sheet1!M91, 1, 0)</f>
        <v>1</v>
      </c>
    </row>
    <row r="92" spans="1:17" x14ac:dyDescent="0.35">
      <c r="A92" s="6" t="s">
        <v>103</v>
      </c>
      <c r="B92" s="6" t="s">
        <v>107</v>
      </c>
      <c r="C92" s="6">
        <v>-0.29835180279377166</v>
      </c>
      <c r="D92" s="6">
        <v>-0.19433106442198234</v>
      </c>
      <c r="E92" s="6">
        <v>-0.10786073433600168</v>
      </c>
      <c r="F92" s="6">
        <v>2.8229511499155757E-2</v>
      </c>
      <c r="G92" s="6">
        <v>0.2854702617576651</v>
      </c>
      <c r="H92" s="6">
        <v>0.13346082012558927</v>
      </c>
      <c r="I92" s="6">
        <v>-0.76860417958389315</v>
      </c>
      <c r="J92" s="6">
        <v>-0.30348205325197602</v>
      </c>
      <c r="K92" s="6">
        <v>-0.10241577826944974</v>
      </c>
      <c r="L92" s="6">
        <v>-0.20357774854321795</v>
      </c>
      <c r="N92" s="8">
        <f t="shared" si="3"/>
        <v>2.743192602633242</v>
      </c>
      <c r="O92" s="8">
        <f t="shared" si="4"/>
        <v>5.3545190757796064</v>
      </c>
      <c r="P92" s="12">
        <f t="shared" si="5"/>
        <v>0</v>
      </c>
      <c r="Q92" s="11">
        <f>IF(P92=Sheet1!M92, 1, 0)</f>
        <v>1</v>
      </c>
    </row>
    <row r="93" spans="1:17" x14ac:dyDescent="0.35">
      <c r="A93" s="6" t="s">
        <v>103</v>
      </c>
      <c r="B93" s="6" t="s">
        <v>108</v>
      </c>
      <c r="C93" s="6">
        <v>-1.0391478148973088</v>
      </c>
      <c r="D93" s="6">
        <v>8.8006632959936798E-2</v>
      </c>
      <c r="E93" s="6">
        <v>-0.55250987988155342</v>
      </c>
      <c r="F93" s="6">
        <v>-5.8047644902580652E-2</v>
      </c>
      <c r="G93" s="6">
        <v>0.48290885185093779</v>
      </c>
      <c r="H93" s="6">
        <v>0.64462486769093952</v>
      </c>
      <c r="I93" s="6">
        <v>-0.28538233127413493</v>
      </c>
      <c r="J93" s="6">
        <v>0.20137607991616521</v>
      </c>
      <c r="K93" s="6">
        <v>-1.0460511761227544</v>
      </c>
      <c r="L93" s="6">
        <v>-0.10692115547176984</v>
      </c>
      <c r="N93" s="8">
        <f t="shared" si="3"/>
        <v>3.2653653585359854</v>
      </c>
      <c r="O93" s="8">
        <f t="shared" si="4"/>
        <v>5.0380058878838838</v>
      </c>
      <c r="P93" s="12">
        <f t="shared" si="5"/>
        <v>0</v>
      </c>
      <c r="Q93" s="11">
        <f>IF(P93=Sheet1!M93, 1, 0)</f>
        <v>1</v>
      </c>
    </row>
    <row r="94" spans="1:17" x14ac:dyDescent="0.35">
      <c r="A94" s="6" t="s">
        <v>103</v>
      </c>
      <c r="B94" s="6" t="s">
        <v>109</v>
      </c>
      <c r="C94" s="6">
        <v>-0.11852088681211596</v>
      </c>
      <c r="D94" s="6">
        <v>-0.93086418802698701</v>
      </c>
      <c r="E94" s="6">
        <v>-0.42799338344874771</v>
      </c>
      <c r="F94" s="6">
        <v>-0.77291551223125099</v>
      </c>
      <c r="G94" s="6">
        <v>-0.96303846971451312</v>
      </c>
      <c r="H94" s="6">
        <v>-0.37339415222319405</v>
      </c>
      <c r="I94" s="6">
        <v>4.9302985826950987E-2</v>
      </c>
      <c r="J94" s="6">
        <v>-1.3283820228414356</v>
      </c>
      <c r="K94" s="6">
        <v>0.27472540064041101</v>
      </c>
      <c r="L94" s="6">
        <v>-9.7770955368502291E-2</v>
      </c>
      <c r="N94" s="8">
        <f t="shared" si="3"/>
        <v>2.60931405083956</v>
      </c>
      <c r="O94" s="8">
        <f t="shared" si="4"/>
        <v>6.8436776689831245</v>
      </c>
      <c r="P94" s="12">
        <f t="shared" si="5"/>
        <v>0</v>
      </c>
      <c r="Q94" s="11">
        <f>IF(P94=Sheet1!M94, 1, 0)</f>
        <v>1</v>
      </c>
    </row>
    <row r="95" spans="1:17" x14ac:dyDescent="0.35">
      <c r="A95" s="6" t="s">
        <v>103</v>
      </c>
      <c r="B95" s="6" t="s">
        <v>110</v>
      </c>
      <c r="C95" s="6">
        <v>-0.2044102795197725</v>
      </c>
      <c r="D95" s="6">
        <v>-0.26798437678248238</v>
      </c>
      <c r="E95" s="6">
        <v>-0.23053527076240493</v>
      </c>
      <c r="F95" s="6">
        <v>-0.27219987239974702</v>
      </c>
      <c r="G95" s="6">
        <v>-0.43169638166937696</v>
      </c>
      <c r="H95" s="6">
        <v>0.25249902298327331</v>
      </c>
      <c r="I95" s="6">
        <v>0.42223805345387583</v>
      </c>
      <c r="J95" s="6">
        <v>-0.96017721895188901</v>
      </c>
      <c r="K95" s="6">
        <v>0.69255400964013314</v>
      </c>
      <c r="L95" s="6">
        <v>0.18830844309298225</v>
      </c>
      <c r="N95" s="8">
        <f t="shared" si="3"/>
        <v>2.4711547831841436</v>
      </c>
      <c r="O95" s="8">
        <f t="shared" si="4"/>
        <v>5.8606265545617759</v>
      </c>
      <c r="P95" s="12">
        <f t="shared" si="5"/>
        <v>0</v>
      </c>
      <c r="Q95" s="11">
        <f>IF(P95=Sheet1!M95, 1, 0)</f>
        <v>1</v>
      </c>
    </row>
    <row r="96" spans="1:17" x14ac:dyDescent="0.35">
      <c r="A96" s="6" t="s">
        <v>103</v>
      </c>
      <c r="B96" s="6" t="s">
        <v>111</v>
      </c>
      <c r="C96" s="6">
        <v>-0.75061313627002535</v>
      </c>
      <c r="D96" s="6">
        <v>-0.5196331940141925</v>
      </c>
      <c r="E96" s="6">
        <v>8.1492754322170291E-2</v>
      </c>
      <c r="F96" s="6">
        <v>-8.8860915046058253E-2</v>
      </c>
      <c r="G96" s="6">
        <v>0.10545272373144261</v>
      </c>
      <c r="H96" s="6">
        <v>0.33275554889184755</v>
      </c>
      <c r="I96" s="6">
        <v>-0.9668653864761555</v>
      </c>
      <c r="J96" s="6">
        <v>-0.84629944455306005</v>
      </c>
      <c r="K96" s="6">
        <v>0.18552603467417933</v>
      </c>
      <c r="L96" s="6">
        <v>-0.23750498958807276</v>
      </c>
      <c r="N96" s="8">
        <f t="shared" si="3"/>
        <v>3.2588431468523793</v>
      </c>
      <c r="O96" s="8">
        <f t="shared" si="4"/>
        <v>5.7871566760800741</v>
      </c>
      <c r="P96" s="12">
        <f t="shared" si="5"/>
        <v>0</v>
      </c>
      <c r="Q96" s="11">
        <f>IF(P96=Sheet1!M96, 1, 0)</f>
        <v>1</v>
      </c>
    </row>
    <row r="97" spans="1:17" x14ac:dyDescent="0.35">
      <c r="A97" s="6" t="s">
        <v>103</v>
      </c>
      <c r="B97" s="6" t="s">
        <v>112</v>
      </c>
      <c r="C97" s="6">
        <v>-0.81100411551759621</v>
      </c>
      <c r="D97" s="6">
        <v>-9.6126647941314911E-2</v>
      </c>
      <c r="E97" s="6">
        <v>0.49556536376144134</v>
      </c>
      <c r="F97" s="6">
        <v>3.4392165527852153E-2</v>
      </c>
      <c r="G97" s="6">
        <v>-0.53041567671601542</v>
      </c>
      <c r="H97" s="6">
        <v>2.0347595690685127E-2</v>
      </c>
      <c r="I97" s="6">
        <v>-0.73354190826854149</v>
      </c>
      <c r="J97" s="6">
        <v>0.30386607687511136</v>
      </c>
      <c r="K97" s="6">
        <v>-0.92085908353856849</v>
      </c>
      <c r="L97" s="6">
        <v>-0.18451459659245587</v>
      </c>
      <c r="N97" s="8">
        <f t="shared" si="3"/>
        <v>3.0775168069715799</v>
      </c>
      <c r="O97" s="8">
        <f t="shared" si="4"/>
        <v>4.8928968631859622</v>
      </c>
      <c r="P97" s="12">
        <f t="shared" si="5"/>
        <v>0</v>
      </c>
      <c r="Q97" s="11">
        <f>IF(P97=Sheet1!M97, 1, 0)</f>
        <v>1</v>
      </c>
    </row>
    <row r="98" spans="1:17" x14ac:dyDescent="0.35">
      <c r="A98" s="6" t="s">
        <v>103</v>
      </c>
      <c r="B98" s="6" t="s">
        <v>113</v>
      </c>
      <c r="C98" s="6">
        <v>-0.43658004418265645</v>
      </c>
      <c r="D98" s="6">
        <v>1.6961039528308641</v>
      </c>
      <c r="E98" s="6">
        <v>0.70554880449132074</v>
      </c>
      <c r="F98" s="6">
        <v>1.4163673314628027</v>
      </c>
      <c r="G98" s="6">
        <v>0.88649655807101446</v>
      </c>
      <c r="H98" s="6">
        <v>0.86277180052968216</v>
      </c>
      <c r="I98" s="6">
        <v>0.68169886118747913</v>
      </c>
      <c r="J98" s="6">
        <v>2.1259104672563729</v>
      </c>
      <c r="K98" s="6">
        <v>-0.99284453677447571</v>
      </c>
      <c r="L98" s="6">
        <v>-5.1163363581219333E-2</v>
      </c>
      <c r="N98" s="8">
        <f t="shared" si="3"/>
        <v>4.6694752905278847</v>
      </c>
      <c r="O98" s="8">
        <f t="shared" si="4"/>
        <v>2.3950132562953952</v>
      </c>
      <c r="P98" s="12">
        <f t="shared" si="5"/>
        <v>1</v>
      </c>
      <c r="Q98" s="11">
        <f>IF(P98=Sheet1!M98, 1, 0)</f>
        <v>0</v>
      </c>
    </row>
    <row r="99" spans="1:17" x14ac:dyDescent="0.35">
      <c r="A99" s="6" t="s">
        <v>103</v>
      </c>
      <c r="B99" s="6" t="s">
        <v>114</v>
      </c>
      <c r="C99" s="6">
        <v>-1.1894542521357077</v>
      </c>
      <c r="D99" s="6">
        <v>1.1621174382172359</v>
      </c>
      <c r="E99" s="6">
        <v>4.7600690204365192E-2</v>
      </c>
      <c r="F99" s="6">
        <v>0.889460412009343</v>
      </c>
      <c r="G99" s="6">
        <v>0.74132112417890061</v>
      </c>
      <c r="H99" s="6">
        <v>-0.17032898264243782</v>
      </c>
      <c r="I99" s="6">
        <v>0.34510105656010126</v>
      </c>
      <c r="J99" s="6">
        <v>-0.78176870572705714</v>
      </c>
      <c r="K99" s="6">
        <v>-0.71116232846005589</v>
      </c>
      <c r="L99" s="6">
        <v>-0.35929480008127723</v>
      </c>
      <c r="N99" s="8">
        <f t="shared" si="3"/>
        <v>3.7800378448741578</v>
      </c>
      <c r="O99" s="8">
        <f t="shared" si="4"/>
        <v>4.2651499128279475</v>
      </c>
      <c r="P99" s="12">
        <f t="shared" si="5"/>
        <v>0</v>
      </c>
      <c r="Q99" s="11">
        <f>IF(P99=Sheet1!M99, 1, 0)</f>
        <v>1</v>
      </c>
    </row>
    <row r="100" spans="1:17" x14ac:dyDescent="0.35">
      <c r="A100" s="6" t="s">
        <v>115</v>
      </c>
      <c r="B100" s="6" t="s">
        <v>116</v>
      </c>
      <c r="C100" s="6">
        <v>4.6547789797911132E-2</v>
      </c>
      <c r="D100" s="6">
        <v>0.16779772135047949</v>
      </c>
      <c r="E100" s="6">
        <v>-0.10491359832575776</v>
      </c>
      <c r="F100" s="6">
        <v>-5.0344327366711801E-2</v>
      </c>
      <c r="G100" s="6">
        <v>-0.41137182092448304</v>
      </c>
      <c r="H100" s="6">
        <v>0.2972056783551637</v>
      </c>
      <c r="I100" s="6">
        <v>-0.2139827969592363</v>
      </c>
      <c r="J100" s="6">
        <v>-0.18580835303985271</v>
      </c>
      <c r="K100" s="6">
        <v>7.7547854820316758E-2</v>
      </c>
      <c r="L100" s="6">
        <v>-0.24759592520056087</v>
      </c>
      <c r="N100" s="8">
        <f t="shared" si="3"/>
        <v>1.9525185381377199</v>
      </c>
      <c r="O100" s="8">
        <f t="shared" si="4"/>
        <v>5.132842184168636</v>
      </c>
      <c r="P100" s="12">
        <f t="shared" si="5"/>
        <v>0</v>
      </c>
      <c r="Q100" s="11">
        <f>IF(P100=Sheet1!M100, 1, 0)</f>
        <v>1</v>
      </c>
    </row>
    <row r="101" spans="1:17" x14ac:dyDescent="0.35">
      <c r="A101" s="6" t="s">
        <v>115</v>
      </c>
      <c r="B101" s="6" t="s">
        <v>117</v>
      </c>
      <c r="C101" s="6">
        <v>0.32300427257568043</v>
      </c>
      <c r="D101" s="6">
        <v>-0.85107309963644484</v>
      </c>
      <c r="E101" s="6">
        <v>0.15848668258979276</v>
      </c>
      <c r="F101" s="6">
        <v>-0.42472555960995823</v>
      </c>
      <c r="G101" s="6">
        <v>-0.28652094777726311</v>
      </c>
      <c r="H101" s="6">
        <v>-0.49081645187466505</v>
      </c>
      <c r="I101" s="6">
        <v>-0.38993164937809321</v>
      </c>
      <c r="J101" s="6">
        <v>-0.7779727799137629</v>
      </c>
      <c r="K101" s="6">
        <v>3.3730622415853596E-2</v>
      </c>
      <c r="L101" s="6">
        <v>-2.2035854481114451E-2</v>
      </c>
      <c r="N101" s="8">
        <f t="shared" si="3"/>
        <v>2.6257950242561723</v>
      </c>
      <c r="O101" s="8">
        <f t="shared" si="4"/>
        <v>6.1828019467099971</v>
      </c>
      <c r="P101" s="12">
        <f t="shared" si="5"/>
        <v>0</v>
      </c>
      <c r="Q101" s="11">
        <f>IF(P101=Sheet1!M101, 1, 0)</f>
        <v>1</v>
      </c>
    </row>
    <row r="102" spans="1:17" x14ac:dyDescent="0.35">
      <c r="A102" s="6" t="s">
        <v>115</v>
      </c>
      <c r="B102" s="6" t="s">
        <v>118</v>
      </c>
      <c r="C102" s="6">
        <v>6.2871369661973075E-3</v>
      </c>
      <c r="D102" s="6">
        <v>-0.39073989738331666</v>
      </c>
      <c r="E102" s="6">
        <v>0.24690076289711041</v>
      </c>
      <c r="F102" s="6">
        <v>-0.16435342689757651</v>
      </c>
      <c r="G102" s="6">
        <v>-0.1848981440527851</v>
      </c>
      <c r="H102" s="6">
        <v>0.38500308589273158</v>
      </c>
      <c r="I102" s="6">
        <v>0.2768890014556899</v>
      </c>
      <c r="J102" s="6">
        <v>-1.1195765628315158E-2</v>
      </c>
      <c r="K102" s="6">
        <v>1.6516709685525842E-2</v>
      </c>
      <c r="L102" s="6">
        <v>0.46017492480743444</v>
      </c>
      <c r="N102" s="8">
        <f t="shared" si="3"/>
        <v>2.5678850649779461</v>
      </c>
      <c r="O102" s="8">
        <f t="shared" si="4"/>
        <v>5.1601902456996775</v>
      </c>
      <c r="P102" s="12">
        <f t="shared" si="5"/>
        <v>0</v>
      </c>
      <c r="Q102" s="11">
        <f>IF(P102=Sheet1!M102, 1, 0)</f>
        <v>1</v>
      </c>
    </row>
    <row r="103" spans="1:17" x14ac:dyDescent="0.35">
      <c r="A103" s="6" t="s">
        <v>115</v>
      </c>
      <c r="B103" s="6" t="s">
        <v>119</v>
      </c>
      <c r="C103" s="6">
        <v>0.56188414604385017</v>
      </c>
      <c r="D103" s="6">
        <v>5.1179976779686241E-2</v>
      </c>
      <c r="E103" s="6">
        <v>-0.21727315871630729</v>
      </c>
      <c r="F103" s="6">
        <v>-0.36155835581583057</v>
      </c>
      <c r="G103" s="6">
        <v>-1.0153016259156762</v>
      </c>
      <c r="H103" s="6">
        <v>-0.36423736738798745</v>
      </c>
      <c r="I103" s="6">
        <v>-0.22099525122230665</v>
      </c>
      <c r="J103" s="6">
        <v>-0.55401315692939934</v>
      </c>
      <c r="K103" s="6">
        <v>1.18220062136209E-2</v>
      </c>
      <c r="L103" s="6">
        <v>-0.18725514538900762</v>
      </c>
      <c r="N103" s="8">
        <f t="shared" si="3"/>
        <v>1.5389235070933847</v>
      </c>
      <c r="O103" s="8">
        <f t="shared" si="4"/>
        <v>5.8761424152709987</v>
      </c>
      <c r="P103" s="12">
        <f t="shared" si="5"/>
        <v>0</v>
      </c>
      <c r="Q103" s="11">
        <f>IF(P103=Sheet1!M103, 1, 0)</f>
        <v>1</v>
      </c>
    </row>
    <row r="104" spans="1:17" x14ac:dyDescent="0.35">
      <c r="A104" s="6" t="s">
        <v>115</v>
      </c>
      <c r="B104" s="6" t="s">
        <v>120</v>
      </c>
      <c r="C104" s="6">
        <v>0.21698455345216711</v>
      </c>
      <c r="D104" s="6">
        <v>-0.55645985019444255</v>
      </c>
      <c r="E104" s="6">
        <v>-0.28542567895319798</v>
      </c>
      <c r="F104" s="6">
        <v>-0.44937617572473942</v>
      </c>
      <c r="G104" s="6">
        <v>-0.40556480356879548</v>
      </c>
      <c r="H104" s="6">
        <v>-0.42995076444064573</v>
      </c>
      <c r="I104" s="6">
        <v>-0.12664586659190502</v>
      </c>
      <c r="J104" s="6">
        <v>-0.86527907361953171</v>
      </c>
      <c r="K104" s="6">
        <v>0.16674722078655069</v>
      </c>
      <c r="L104" s="6">
        <v>-0.16572792752246332</v>
      </c>
      <c r="N104" s="8">
        <f t="shared" si="3"/>
        <v>2.200843848461226</v>
      </c>
      <c r="O104" s="8">
        <f t="shared" si="4"/>
        <v>6.2012828569538163</v>
      </c>
      <c r="P104" s="12">
        <f t="shared" si="5"/>
        <v>0</v>
      </c>
      <c r="Q104" s="11">
        <f>IF(P104=Sheet1!M104, 1, 0)</f>
        <v>1</v>
      </c>
    </row>
    <row r="105" spans="1:17" x14ac:dyDescent="0.35">
      <c r="A105" s="6" t="s">
        <v>115</v>
      </c>
      <c r="B105" s="6" t="s">
        <v>121</v>
      </c>
      <c r="C105" s="6">
        <v>0.47867879685830783</v>
      </c>
      <c r="D105" s="6">
        <v>-0.49508208989402569</v>
      </c>
      <c r="E105" s="6">
        <v>-6.8074398197708746E-2</v>
      </c>
      <c r="F105" s="6">
        <v>-0.28144385344279055</v>
      </c>
      <c r="G105" s="6">
        <v>-0.23716130025394391</v>
      </c>
      <c r="H105" s="6">
        <v>-0.33030340005751657</v>
      </c>
      <c r="I105" s="6">
        <v>-0.36761929490468698</v>
      </c>
      <c r="J105" s="6">
        <v>-0.40597205021092181</v>
      </c>
      <c r="K105" s="6">
        <v>-4.4514435449262854E-2</v>
      </c>
      <c r="L105" s="6">
        <v>0.50491377064235765</v>
      </c>
      <c r="N105" s="8">
        <f t="shared" si="3"/>
        <v>2.3386308274751899</v>
      </c>
      <c r="O105" s="8">
        <f t="shared" si="4"/>
        <v>5.8709924865927849</v>
      </c>
      <c r="P105" s="12">
        <f t="shared" si="5"/>
        <v>0</v>
      </c>
      <c r="Q105" s="11">
        <f>IF(P105=Sheet1!M105, 1, 0)</f>
        <v>1</v>
      </c>
    </row>
    <row r="106" spans="1:17" x14ac:dyDescent="0.35">
      <c r="A106" s="6" t="s">
        <v>115</v>
      </c>
      <c r="B106" s="6" t="s">
        <v>122</v>
      </c>
      <c r="C106" s="6">
        <v>-0.2044102795197725</v>
      </c>
      <c r="D106" s="6">
        <v>-0.6116998344648179</v>
      </c>
      <c r="E106" s="6">
        <v>-0.17122415855624601</v>
      </c>
      <c r="F106" s="6">
        <v>-0.43088821363865459</v>
      </c>
      <c r="G106" s="6">
        <v>-0.17328410934141417</v>
      </c>
      <c r="H106" s="6">
        <v>-0.26943771262349647</v>
      </c>
      <c r="I106" s="6">
        <v>-0.52061829700804085</v>
      </c>
      <c r="J106" s="6">
        <v>-0.4629109374103364</v>
      </c>
      <c r="K106" s="6">
        <v>-0.61413845670731071</v>
      </c>
      <c r="L106" s="6">
        <v>-2.4999541176981343E-2</v>
      </c>
      <c r="N106" s="8">
        <f t="shared" si="3"/>
        <v>2.6238180642936113</v>
      </c>
      <c r="O106" s="8">
        <f t="shared" si="4"/>
        <v>5.8920006014695154</v>
      </c>
      <c r="P106" s="12">
        <f t="shared" si="5"/>
        <v>0</v>
      </c>
      <c r="Q106" s="11">
        <f>IF(P106=Sheet1!M106, 1, 0)</f>
        <v>1</v>
      </c>
    </row>
    <row r="107" spans="1:17" x14ac:dyDescent="0.35">
      <c r="A107" s="6" t="s">
        <v>115</v>
      </c>
      <c r="B107" s="6" t="s">
        <v>123</v>
      </c>
      <c r="C107" s="6">
        <v>-0.1547554743606587</v>
      </c>
      <c r="D107" s="6">
        <v>-0.36005101723310823</v>
      </c>
      <c r="E107" s="6">
        <v>-0.6409239601888711</v>
      </c>
      <c r="F107" s="6">
        <v>-0.70666698142277395</v>
      </c>
      <c r="G107" s="6">
        <v>-0.75108233623202991</v>
      </c>
      <c r="H107" s="6">
        <v>-1.1312527559370484</v>
      </c>
      <c r="I107" s="6">
        <v>-0.51105585937658093</v>
      </c>
      <c r="J107" s="6">
        <v>-0.69446241202128833</v>
      </c>
      <c r="K107" s="6">
        <v>1.0493514735050644</v>
      </c>
      <c r="L107" s="6">
        <v>-0.33388025213452982</v>
      </c>
      <c r="N107" s="8">
        <f t="shared" si="3"/>
        <v>2.3066946146068683</v>
      </c>
      <c r="O107" s="8">
        <f t="shared" si="4"/>
        <v>6.8540634201074111</v>
      </c>
      <c r="P107" s="12">
        <f t="shared" si="5"/>
        <v>0</v>
      </c>
      <c r="Q107" s="11">
        <f>IF(P107=Sheet1!M107, 1, 0)</f>
        <v>1</v>
      </c>
    </row>
    <row r="108" spans="1:17" x14ac:dyDescent="0.35">
      <c r="A108" s="6" t="s">
        <v>115</v>
      </c>
      <c r="B108" s="6" t="s">
        <v>124</v>
      </c>
      <c r="C108" s="6">
        <v>-0.22454060593562952</v>
      </c>
      <c r="D108" s="6">
        <v>-0.5380465221043178</v>
      </c>
      <c r="E108" s="6">
        <v>0.44435887558345316</v>
      </c>
      <c r="F108" s="6">
        <v>-5.3425654381058903E-2</v>
      </c>
      <c r="G108" s="6">
        <v>-0.14134551388514929</v>
      </c>
      <c r="H108" s="6">
        <v>0.35861000019125433</v>
      </c>
      <c r="I108" s="6">
        <v>0.52168740482105491</v>
      </c>
      <c r="J108" s="6">
        <v>-0.71344204108775977</v>
      </c>
      <c r="K108" s="6">
        <v>0.28880951105613251</v>
      </c>
      <c r="L108" s="6">
        <v>-0.23847644077404145</v>
      </c>
      <c r="N108" s="8">
        <f t="shared" si="3"/>
        <v>2.8829440898470176</v>
      </c>
      <c r="O108" s="8">
        <f t="shared" si="4"/>
        <v>5.3422326423730997</v>
      </c>
      <c r="P108" s="12">
        <f t="shared" si="5"/>
        <v>0</v>
      </c>
      <c r="Q108" s="11">
        <f>IF(P108=Sheet1!M108, 1, 0)</f>
        <v>1</v>
      </c>
    </row>
    <row r="109" spans="1:17" x14ac:dyDescent="0.35">
      <c r="A109" s="6" t="s">
        <v>115</v>
      </c>
      <c r="B109" s="6" t="s">
        <v>125</v>
      </c>
      <c r="C109" s="6">
        <v>0.20759040112476715</v>
      </c>
      <c r="D109" s="6">
        <v>-0.34777546517302454</v>
      </c>
      <c r="E109" s="6">
        <v>4.7600690204365192E-2</v>
      </c>
      <c r="F109" s="6">
        <v>-0.42472555960995823</v>
      </c>
      <c r="G109" s="6">
        <v>-1.1778981118748444</v>
      </c>
      <c r="H109" s="6">
        <v>-0.49997323670987165</v>
      </c>
      <c r="I109" s="6">
        <v>-0.80366645089924482</v>
      </c>
      <c r="J109" s="6">
        <v>-0.75519722503399711</v>
      </c>
      <c r="K109" s="6">
        <v>-0.15405751646042634</v>
      </c>
      <c r="L109" s="6">
        <v>-0.29647846209393397</v>
      </c>
      <c r="N109" s="8">
        <f t="shared" si="3"/>
        <v>2.2583199481034884</v>
      </c>
      <c r="O109" s="8">
        <f t="shared" si="4"/>
        <v>6.1900322717468539</v>
      </c>
      <c r="P109" s="12">
        <f t="shared" si="5"/>
        <v>0</v>
      </c>
      <c r="Q109" s="11">
        <f>IF(P109=Sheet1!M109, 1, 0)</f>
        <v>1</v>
      </c>
    </row>
    <row r="110" spans="1:17" x14ac:dyDescent="0.35">
      <c r="A110" s="6" t="s">
        <v>115</v>
      </c>
      <c r="B110" s="6" t="s">
        <v>126</v>
      </c>
      <c r="C110" s="6">
        <v>0.14451537835508185</v>
      </c>
      <c r="D110" s="6">
        <v>-0.48894431386398413</v>
      </c>
      <c r="E110" s="6">
        <v>-0.3406844791452715</v>
      </c>
      <c r="F110" s="6">
        <v>-0.69896366388690512</v>
      </c>
      <c r="G110" s="6">
        <v>-1.3143630197334311</v>
      </c>
      <c r="H110" s="6">
        <v>-1.3736382368689848</v>
      </c>
      <c r="I110" s="6">
        <v>-2.1207328606722804</v>
      </c>
      <c r="J110" s="6">
        <v>-1.0057283287114205</v>
      </c>
      <c r="K110" s="6">
        <v>0.4437347256290623</v>
      </c>
      <c r="L110" s="6">
        <v>-0.38359363763643073</v>
      </c>
      <c r="N110" s="8">
        <f t="shared" si="3"/>
        <v>3.2331815162999904</v>
      </c>
      <c r="O110" s="8">
        <f t="shared" si="4"/>
        <v>7.471758861711022</v>
      </c>
      <c r="P110" s="12">
        <f t="shared" si="5"/>
        <v>0</v>
      </c>
      <c r="Q110" s="11">
        <f>IF(P110=Sheet1!M110, 1, 0)</f>
        <v>1</v>
      </c>
    </row>
    <row r="111" spans="1:17" x14ac:dyDescent="0.35">
      <c r="A111" s="6" t="s">
        <v>115</v>
      </c>
      <c r="B111" s="6" t="s">
        <v>127</v>
      </c>
      <c r="C111" s="6">
        <v>8.5466420868568094E-2</v>
      </c>
      <c r="D111" s="6">
        <v>-0.85107309963644484</v>
      </c>
      <c r="E111" s="6">
        <v>-0.7790709606690549</v>
      </c>
      <c r="F111" s="6">
        <v>-0.77753750275277267</v>
      </c>
      <c r="G111" s="6">
        <v>-0.38524024282390151</v>
      </c>
      <c r="H111" s="6">
        <v>0.92148295035541805</v>
      </c>
      <c r="I111" s="6">
        <v>0.15002732887832532</v>
      </c>
      <c r="J111" s="6">
        <v>-0.55021723111610521</v>
      </c>
      <c r="K111" s="6">
        <v>0.57362152168515534</v>
      </c>
      <c r="L111" s="6">
        <v>-0.35822821387746212</v>
      </c>
      <c r="N111" s="8">
        <f t="shared" si="3"/>
        <v>2.4735383676347213</v>
      </c>
      <c r="O111" s="8">
        <f t="shared" si="4"/>
        <v>6.4649181352371006</v>
      </c>
      <c r="P111" s="12">
        <f t="shared" si="5"/>
        <v>0</v>
      </c>
      <c r="Q111" s="11">
        <f>IF(P111=Sheet1!M111, 1, 0)</f>
        <v>1</v>
      </c>
    </row>
    <row r="112" spans="1:17" x14ac:dyDescent="0.35">
      <c r="A112" s="6" t="s">
        <v>115</v>
      </c>
      <c r="B112" s="6" t="s">
        <v>128</v>
      </c>
      <c r="C112" s="6">
        <v>1.0517220888297032</v>
      </c>
      <c r="D112" s="6">
        <v>-0.82652199551627803</v>
      </c>
      <c r="E112" s="6">
        <v>-0.17306611856264845</v>
      </c>
      <c r="F112" s="6">
        <v>-0.76983418521690161</v>
      </c>
      <c r="G112" s="6">
        <v>-1.1314419730293648</v>
      </c>
      <c r="H112" s="6">
        <v>-0.6087773859282074</v>
      </c>
      <c r="I112" s="6">
        <v>-0.30641969406334596</v>
      </c>
      <c r="J112" s="6">
        <v>0.63031569681842048</v>
      </c>
      <c r="K112" s="6">
        <v>3.5295523573154505E-2</v>
      </c>
      <c r="L112" s="6">
        <v>-0.3397014788338279</v>
      </c>
      <c r="N112" s="8">
        <f t="shared" si="3"/>
        <v>1.9354895321381769</v>
      </c>
      <c r="O112" s="8">
        <f t="shared" si="4"/>
        <v>6.454624108552057</v>
      </c>
      <c r="P112" s="12">
        <f t="shared" si="5"/>
        <v>0</v>
      </c>
      <c r="Q112" s="11">
        <f>IF(P112=Sheet1!M112, 1, 0)</f>
        <v>0</v>
      </c>
    </row>
    <row r="113" spans="1:17" x14ac:dyDescent="0.35">
      <c r="A113" s="6" t="s">
        <v>115</v>
      </c>
      <c r="B113" s="6" t="s">
        <v>129</v>
      </c>
      <c r="C113" s="6">
        <v>-0.12523099561740172</v>
      </c>
      <c r="D113" s="6">
        <v>1.4199040314789877</v>
      </c>
      <c r="E113" s="6">
        <v>1.6132666956464488</v>
      </c>
      <c r="F113" s="6">
        <v>1.3547407911758476</v>
      </c>
      <c r="G113" s="6">
        <v>0.39290008283783068</v>
      </c>
      <c r="H113" s="6">
        <v>0.91609660633470791</v>
      </c>
      <c r="I113" s="6">
        <v>0.78369819592304879</v>
      </c>
      <c r="J113" s="6">
        <v>1.9171345475251862</v>
      </c>
      <c r="K113" s="6">
        <v>-0.86608754303298674</v>
      </c>
      <c r="L113" s="6">
        <v>1.7820549147100104</v>
      </c>
      <c r="N113" s="8">
        <f t="shared" si="3"/>
        <v>5.1575432003760628</v>
      </c>
      <c r="O113" s="8">
        <f t="shared" si="4"/>
        <v>2.777991630289256</v>
      </c>
      <c r="P113" s="12">
        <f t="shared" si="5"/>
        <v>1</v>
      </c>
      <c r="Q113" s="11">
        <f>IF(P113=Sheet1!M113, 1, 0)</f>
        <v>0</v>
      </c>
    </row>
    <row r="114" spans="1:17" x14ac:dyDescent="0.35">
      <c r="A114" s="6" t="s">
        <v>115</v>
      </c>
      <c r="B114" s="6" t="s">
        <v>130</v>
      </c>
      <c r="C114" s="6">
        <v>-9.8171241664884133E-3</v>
      </c>
      <c r="D114" s="6">
        <v>0.94115750113573471</v>
      </c>
      <c r="E114" s="6">
        <v>0.89416550914693171</v>
      </c>
      <c r="F114" s="6">
        <v>0.73077207077043549</v>
      </c>
      <c r="G114" s="6">
        <v>0.2361106142343459</v>
      </c>
      <c r="H114" s="6">
        <v>0.97642365936665676</v>
      </c>
      <c r="I114" s="6">
        <v>0.55037471771543389</v>
      </c>
      <c r="J114" s="6">
        <v>0.30386607687511136</v>
      </c>
      <c r="K114" s="6">
        <v>-8.5217088313108893E-3</v>
      </c>
      <c r="L114" s="6">
        <v>-0.34314027645343559</v>
      </c>
      <c r="N114" s="8">
        <f t="shared" si="3"/>
        <v>3.3100244116272415</v>
      </c>
      <c r="O114" s="8">
        <f t="shared" si="4"/>
        <v>3.3727324753185139</v>
      </c>
      <c r="P114" s="12">
        <f t="shared" si="5"/>
        <v>0</v>
      </c>
      <c r="Q114" s="11">
        <f>IF(P114=Sheet1!M114, 1, 0)</f>
        <v>1</v>
      </c>
    </row>
    <row r="115" spans="1:17" x14ac:dyDescent="0.35">
      <c r="A115" s="6" t="s">
        <v>115</v>
      </c>
      <c r="B115" s="6" t="s">
        <v>131</v>
      </c>
      <c r="C115" s="6">
        <v>-0.38558321726248529</v>
      </c>
      <c r="D115" s="6">
        <v>0.59130426742335718</v>
      </c>
      <c r="E115" s="6">
        <v>-0.53335349581496794</v>
      </c>
      <c r="F115" s="6">
        <v>-0.19208537002670484</v>
      </c>
      <c r="G115" s="6">
        <v>-0.81495952714455966</v>
      </c>
      <c r="H115" s="6">
        <v>-0.99874869302759006</v>
      </c>
      <c r="I115" s="6">
        <v>0.51148747134749817</v>
      </c>
      <c r="J115" s="6">
        <v>-1.2980146163350814</v>
      </c>
      <c r="K115" s="6">
        <v>0.74106594551650573</v>
      </c>
      <c r="L115" s="6">
        <v>-0.41020327614889868</v>
      </c>
      <c r="N115" s="8">
        <f t="shared" si="3"/>
        <v>2.370929113031512</v>
      </c>
      <c r="O115" s="8">
        <f t="shared" si="4"/>
        <v>6.1514554406937192</v>
      </c>
      <c r="P115" s="12">
        <f t="shared" si="5"/>
        <v>0</v>
      </c>
      <c r="Q115" s="11">
        <f>IF(P115=Sheet1!M115, 1, 0)</f>
        <v>1</v>
      </c>
    </row>
    <row r="116" spans="1:17" x14ac:dyDescent="0.35">
      <c r="A116" s="6" t="s">
        <v>115</v>
      </c>
      <c r="B116" s="6" t="s">
        <v>132</v>
      </c>
      <c r="C116" s="6">
        <v>0.12841111722239637</v>
      </c>
      <c r="D116" s="6">
        <v>0.89819306892544259</v>
      </c>
      <c r="E116" s="6">
        <v>1.0838873898063841</v>
      </c>
      <c r="F116" s="6">
        <v>0.7646666679282601</v>
      </c>
      <c r="G116" s="6">
        <v>-7.7468322972619519E-2</v>
      </c>
      <c r="H116" s="6">
        <v>0.4469460421308934</v>
      </c>
      <c r="I116" s="6">
        <v>0.69891124892410617</v>
      </c>
      <c r="J116" s="6">
        <v>0.45949903522017715</v>
      </c>
      <c r="K116" s="6">
        <v>0.64717187607836468</v>
      </c>
      <c r="L116" s="6">
        <v>-0.36553421967475019</v>
      </c>
      <c r="N116" s="8">
        <f t="shared" si="3"/>
        <v>3.1524243923120889</v>
      </c>
      <c r="O116" s="8">
        <f t="shared" si="4"/>
        <v>3.6361482638477827</v>
      </c>
      <c r="P116" s="12">
        <f t="shared" si="5"/>
        <v>0</v>
      </c>
      <c r="Q116" s="11">
        <f>IF(P116=Sheet1!M116, 1, 0)</f>
        <v>1</v>
      </c>
    </row>
    <row r="117" spans="1:17" x14ac:dyDescent="0.35">
      <c r="A117" s="6" t="s">
        <v>133</v>
      </c>
      <c r="B117" s="6" t="s">
        <v>134</v>
      </c>
      <c r="C117" s="6">
        <v>0.79002784542356252</v>
      </c>
      <c r="D117" s="6">
        <v>0.51151317903281446</v>
      </c>
      <c r="E117" s="6">
        <v>-0.15059420648453856</v>
      </c>
      <c r="F117" s="6">
        <v>0.12683197595828277</v>
      </c>
      <c r="G117" s="6">
        <v>-0.50138058993759016</v>
      </c>
      <c r="H117" s="6">
        <v>-0.13262457449747053</v>
      </c>
      <c r="I117" s="6">
        <v>-1.7159230009404907</v>
      </c>
      <c r="J117" s="6">
        <v>-0.95258536732530041</v>
      </c>
      <c r="K117" s="6">
        <v>0.70194341658394743</v>
      </c>
      <c r="L117" s="6">
        <v>-0.3807400676864568</v>
      </c>
      <c r="N117" s="8">
        <f t="shared" si="3"/>
        <v>2.6910932033776729</v>
      </c>
      <c r="O117" s="8">
        <f t="shared" si="4"/>
        <v>6.1135380746782237</v>
      </c>
      <c r="P117" s="12">
        <f t="shared" si="5"/>
        <v>0</v>
      </c>
      <c r="Q117" s="11">
        <f>IF(P117=Sheet1!M117, 1, 0)</f>
        <v>1</v>
      </c>
    </row>
    <row r="118" spans="1:17" x14ac:dyDescent="0.35">
      <c r="A118" s="6" t="s">
        <v>133</v>
      </c>
      <c r="B118" s="6" t="s">
        <v>135</v>
      </c>
      <c r="C118" s="6">
        <v>0.48002081861936491</v>
      </c>
      <c r="D118" s="6">
        <v>-6.5437767791105925E-2</v>
      </c>
      <c r="E118" s="6">
        <v>-6.5866196337902743E-4</v>
      </c>
      <c r="F118" s="6">
        <v>0.12991330297262987</v>
      </c>
      <c r="G118" s="6">
        <v>-0.26329287835452542</v>
      </c>
      <c r="H118" s="6">
        <v>-0.30714212076846453</v>
      </c>
      <c r="I118" s="6">
        <v>-1.2792383491038359</v>
      </c>
      <c r="J118" s="6">
        <v>-0.99054462545824329</v>
      </c>
      <c r="K118" s="6">
        <v>1.0368322642466461</v>
      </c>
      <c r="L118" s="6">
        <v>-0.32783966953421007</v>
      </c>
      <c r="N118" s="8">
        <f t="shared" si="3"/>
        <v>2.7717995383718446</v>
      </c>
      <c r="O118" s="8">
        <f t="shared" si="4"/>
        <v>6.1701663980763364</v>
      </c>
      <c r="P118" s="12">
        <f t="shared" si="5"/>
        <v>0</v>
      </c>
      <c r="Q118" s="11">
        <f>IF(P118=Sheet1!M118, 1, 0)</f>
        <v>1</v>
      </c>
    </row>
    <row r="119" spans="1:17" x14ac:dyDescent="0.35">
      <c r="A119" s="6" t="s">
        <v>133</v>
      </c>
      <c r="B119" s="6" t="s">
        <v>136</v>
      </c>
      <c r="C119" s="6">
        <v>-8.8996408068859195E-2</v>
      </c>
      <c r="D119" s="6">
        <v>-0.21274439251210708</v>
      </c>
      <c r="E119" s="6">
        <v>3.139144214802362E-2</v>
      </c>
      <c r="F119" s="6">
        <v>-9.9645559596274205E-2</v>
      </c>
      <c r="G119" s="6">
        <v>-0.40266129489095587</v>
      </c>
      <c r="H119" s="6">
        <v>0.22395139967351183</v>
      </c>
      <c r="I119" s="6">
        <v>-2.0416833762522142</v>
      </c>
      <c r="J119" s="6">
        <v>-0.5881764892490482</v>
      </c>
      <c r="K119" s="6">
        <v>-0.28863901598842656</v>
      </c>
      <c r="L119" s="6">
        <v>-0.34557686542029004</v>
      </c>
      <c r="N119" s="8">
        <f t="shared" si="3"/>
        <v>3.1904922336673747</v>
      </c>
      <c r="O119" s="8">
        <f t="shared" si="4"/>
        <v>6.0214411102446945</v>
      </c>
      <c r="P119" s="12">
        <f t="shared" si="5"/>
        <v>0</v>
      </c>
      <c r="Q119" s="11">
        <f>IF(P119=Sheet1!M119, 1, 0)</f>
        <v>1</v>
      </c>
    </row>
    <row r="120" spans="1:17" x14ac:dyDescent="0.35">
      <c r="A120" s="6" t="s">
        <v>133</v>
      </c>
      <c r="B120" s="6" t="s">
        <v>137</v>
      </c>
      <c r="C120" s="6">
        <v>0.85176084643219074</v>
      </c>
      <c r="D120" s="6">
        <v>-3.4748887640896946E-2</v>
      </c>
      <c r="E120" s="6">
        <v>-0.62139918412100503</v>
      </c>
      <c r="F120" s="6">
        <v>-0.42472555960995823</v>
      </c>
      <c r="G120" s="6">
        <v>-0.84980163127866415</v>
      </c>
      <c r="H120" s="6">
        <v>7.6904207908136818E-2</v>
      </c>
      <c r="I120" s="6">
        <v>6.7790365247773279E-2</v>
      </c>
      <c r="J120" s="6">
        <v>-0.61095204412881376</v>
      </c>
      <c r="K120" s="6">
        <v>-2.8865423876240456E-2</v>
      </c>
      <c r="L120" s="6">
        <v>-0.41018534822328651</v>
      </c>
      <c r="N120" s="8">
        <f t="shared" si="3"/>
        <v>1.38693573699154</v>
      </c>
      <c r="O120" s="8">
        <f t="shared" si="4"/>
        <v>6.031503991898771</v>
      </c>
      <c r="P120" s="12">
        <f t="shared" si="5"/>
        <v>0</v>
      </c>
      <c r="Q120" s="11">
        <f>IF(P120=Sheet1!M120, 1, 0)</f>
        <v>1</v>
      </c>
    </row>
    <row r="121" spans="1:17" x14ac:dyDescent="0.35">
      <c r="A121" s="6" t="s">
        <v>133</v>
      </c>
      <c r="B121" s="6" t="s">
        <v>138</v>
      </c>
      <c r="C121" s="6">
        <v>0.86518106404276174</v>
      </c>
      <c r="D121" s="6">
        <v>-0.26798437678248238</v>
      </c>
      <c r="E121" s="6">
        <v>-0.76212492861015235</v>
      </c>
      <c r="F121" s="6">
        <v>-0.44629484871039232</v>
      </c>
      <c r="G121" s="6">
        <v>-0.51009111597111734</v>
      </c>
      <c r="H121" s="6">
        <v>0.38177127948030637</v>
      </c>
      <c r="I121" s="6">
        <v>-2.4286433524052793</v>
      </c>
      <c r="J121" s="6">
        <v>-0.61474796994210812</v>
      </c>
      <c r="K121" s="6">
        <v>0.10415117449445663</v>
      </c>
      <c r="L121" s="6">
        <v>-0.3976556505620516</v>
      </c>
      <c r="N121" s="8">
        <f t="shared" si="3"/>
        <v>3.0750706585187255</v>
      </c>
      <c r="O121" s="8">
        <f t="shared" si="4"/>
        <v>6.929966682312477</v>
      </c>
      <c r="P121" s="12">
        <f t="shared" si="5"/>
        <v>0</v>
      </c>
      <c r="Q121" s="11">
        <f>IF(P121=Sheet1!M121, 1, 0)</f>
        <v>1</v>
      </c>
    </row>
    <row r="122" spans="1:17" x14ac:dyDescent="0.35">
      <c r="A122" s="6" t="s">
        <v>133</v>
      </c>
      <c r="B122" s="6" t="s">
        <v>139</v>
      </c>
      <c r="C122" s="6">
        <v>-4.6051711715030925E-2</v>
      </c>
      <c r="D122" s="6">
        <v>-8.3851095881230658E-2</v>
      </c>
      <c r="E122" s="6">
        <v>2.9549482141621172E-2</v>
      </c>
      <c r="F122" s="6">
        <v>-0.19824802405540123</v>
      </c>
      <c r="G122" s="6">
        <v>-0.84980163127866415</v>
      </c>
      <c r="H122" s="6">
        <v>0.5164298799980489</v>
      </c>
      <c r="I122" s="6">
        <v>-0.58309288953357719</v>
      </c>
      <c r="J122" s="6">
        <v>-0.52364575042304495</v>
      </c>
      <c r="K122" s="6">
        <v>-0.83791932220154486</v>
      </c>
      <c r="L122" s="6">
        <v>-0.38727149515921888</v>
      </c>
      <c r="N122" s="8">
        <f t="shared" si="3"/>
        <v>2.4839922760137489</v>
      </c>
      <c r="O122" s="8">
        <f t="shared" si="4"/>
        <v>5.4245054404609689</v>
      </c>
      <c r="P122" s="12">
        <f t="shared" si="5"/>
        <v>0</v>
      </c>
      <c r="Q122" s="11">
        <f>IF(P122=Sheet1!M122, 1, 0)</f>
        <v>1</v>
      </c>
    </row>
    <row r="123" spans="1:17" x14ac:dyDescent="0.35">
      <c r="A123" s="6" t="s">
        <v>133</v>
      </c>
      <c r="B123" s="6" t="s">
        <v>140</v>
      </c>
      <c r="C123" s="6">
        <v>-3.6657559387630961E-2</v>
      </c>
      <c r="D123" s="6">
        <v>-0.15750440824173179</v>
      </c>
      <c r="E123" s="6">
        <v>0.36552298730942828</v>
      </c>
      <c r="F123" s="6">
        <v>-0.38004631790191756</v>
      </c>
      <c r="G123" s="6">
        <v>-1.8166700210001441</v>
      </c>
      <c r="H123" s="6">
        <v>-1.3817177529000497</v>
      </c>
      <c r="I123" s="6">
        <v>-1.7701101475187617</v>
      </c>
      <c r="J123" s="6">
        <v>-0.71344204108775977</v>
      </c>
      <c r="K123" s="6">
        <v>0.39835259206729601</v>
      </c>
      <c r="L123" s="6">
        <v>-0.41313242337968759</v>
      </c>
      <c r="N123" s="8">
        <f t="shared" si="3"/>
        <v>3.1585412353946354</v>
      </c>
      <c r="O123" s="8">
        <f t="shared" si="4"/>
        <v>6.8530725913011832</v>
      </c>
      <c r="P123" s="12">
        <f t="shared" si="5"/>
        <v>0</v>
      </c>
      <c r="Q123" s="11">
        <f>IF(P123=Sheet1!M123, 1, 0)</f>
        <v>1</v>
      </c>
    </row>
    <row r="124" spans="1:17" x14ac:dyDescent="0.35">
      <c r="A124" s="6" t="s">
        <v>133</v>
      </c>
      <c r="B124" s="6" t="s">
        <v>141</v>
      </c>
      <c r="C124" s="6">
        <v>0.34313459899153748</v>
      </c>
      <c r="D124" s="6">
        <v>-8.9988871911273333E-2</v>
      </c>
      <c r="E124" s="6">
        <v>-0.34915749517472278</v>
      </c>
      <c r="F124" s="6">
        <v>-0.20132935106974834</v>
      </c>
      <c r="G124" s="6">
        <v>-0.45782795976995844</v>
      </c>
      <c r="H124" s="6">
        <v>-0.55599121452525291</v>
      </c>
      <c r="I124" s="6">
        <v>-1.4335123428913839</v>
      </c>
      <c r="J124" s="6">
        <v>-1.203116471002724</v>
      </c>
      <c r="K124" s="6">
        <v>0.9585872063815295</v>
      </c>
      <c r="L124" s="6">
        <v>-0.39846230273950839</v>
      </c>
      <c r="N124" s="8">
        <f t="shared" si="3"/>
        <v>2.7283617313841546</v>
      </c>
      <c r="O124" s="8">
        <f t="shared" si="4"/>
        <v>6.6368541072205582</v>
      </c>
      <c r="P124" s="12">
        <f t="shared" si="5"/>
        <v>0</v>
      </c>
      <c r="Q124" s="11">
        <f>IF(P124=Sheet1!M124, 1, 0)</f>
        <v>1</v>
      </c>
    </row>
    <row r="125" spans="1:17" x14ac:dyDescent="0.35">
      <c r="A125" s="6" t="s">
        <v>133</v>
      </c>
      <c r="B125" s="6" t="s">
        <v>142</v>
      </c>
      <c r="C125" s="6">
        <v>-0.34800660795288568</v>
      </c>
      <c r="D125" s="6">
        <v>-0.58714873034465098</v>
      </c>
      <c r="E125" s="6">
        <v>-0.31452864705435668</v>
      </c>
      <c r="F125" s="6">
        <v>-0.30301314254322465</v>
      </c>
      <c r="G125" s="6">
        <v>-0.42588936431369356</v>
      </c>
      <c r="H125" s="6">
        <v>0.16308571223949248</v>
      </c>
      <c r="I125" s="6">
        <v>-1.4073750133653939</v>
      </c>
      <c r="J125" s="6">
        <v>-0.37560464370456742</v>
      </c>
      <c r="K125" s="6">
        <v>-0.3355860507074982</v>
      </c>
      <c r="L125" s="6">
        <v>-0.39726936436066201</v>
      </c>
      <c r="N125" s="8">
        <f t="shared" si="3"/>
        <v>2.8197574851234166</v>
      </c>
      <c r="O125" s="8">
        <f t="shared" si="4"/>
        <v>6.0963949545041958</v>
      </c>
      <c r="P125" s="12">
        <f t="shared" si="5"/>
        <v>0</v>
      </c>
      <c r="Q125" s="11">
        <f>IF(P125=Sheet1!M125, 1, 0)</f>
        <v>1</v>
      </c>
    </row>
    <row r="126" spans="1:17" x14ac:dyDescent="0.35">
      <c r="A126" s="6" t="s">
        <v>133</v>
      </c>
      <c r="B126" s="6" t="s">
        <v>143</v>
      </c>
      <c r="C126" s="6">
        <v>0.75379325787502005</v>
      </c>
      <c r="D126" s="6">
        <v>2.0643705146333677</v>
      </c>
      <c r="E126" s="6">
        <v>1.3937050628832766</v>
      </c>
      <c r="F126" s="6">
        <v>1.6351415494814909</v>
      </c>
      <c r="G126" s="6">
        <v>0.15771587993260558</v>
      </c>
      <c r="H126" s="6">
        <v>1.0017394762639924</v>
      </c>
      <c r="I126" s="6">
        <v>0.45092536634825392</v>
      </c>
      <c r="J126" s="6">
        <v>0.48986644172653154</v>
      </c>
      <c r="K126" s="6">
        <v>-0.63291727059493941</v>
      </c>
      <c r="L126" s="6">
        <v>-0.12810490102920816</v>
      </c>
      <c r="N126" s="8">
        <f t="shared" si="3"/>
        <v>4.2603714569093833</v>
      </c>
      <c r="O126" s="8">
        <f t="shared" si="4"/>
        <v>2.3456550275884034</v>
      </c>
      <c r="P126" s="12">
        <f t="shared" si="5"/>
        <v>1</v>
      </c>
      <c r="Q126" s="11">
        <f>IF(P126=Sheet1!M126, 1, 0)</f>
        <v>0</v>
      </c>
    </row>
    <row r="127" spans="1:17" x14ac:dyDescent="0.35">
      <c r="A127" s="6" t="s">
        <v>144</v>
      </c>
      <c r="B127" s="6" t="s">
        <v>145</v>
      </c>
      <c r="C127" s="6">
        <v>7.3388225019053926E-2</v>
      </c>
      <c r="D127" s="6">
        <v>-0.22501994457219024</v>
      </c>
      <c r="E127" s="6">
        <v>-0.13106943041667257</v>
      </c>
      <c r="F127" s="6">
        <v>-0.31225712358626595</v>
      </c>
      <c r="G127" s="6">
        <v>-0.58267883291717426</v>
      </c>
      <c r="H127" s="6">
        <v>-3.7824919732979537E-2</v>
      </c>
      <c r="I127" s="6">
        <v>-0.90375329810852245</v>
      </c>
      <c r="J127" s="6">
        <v>-0.84629944455306005</v>
      </c>
      <c r="K127" s="6">
        <v>2.1541716905605091</v>
      </c>
      <c r="L127" s="6">
        <v>-0.3533505017248047</v>
      </c>
      <c r="N127" s="8">
        <f t="shared" si="3"/>
        <v>2.9980509954188648</v>
      </c>
      <c r="O127" s="8">
        <f t="shared" si="4"/>
        <v>6.6808341163645037</v>
      </c>
      <c r="P127" s="12">
        <f t="shared" si="5"/>
        <v>0</v>
      </c>
      <c r="Q127" s="11">
        <f>IF(P127=Sheet1!M127, 1, 0)</f>
        <v>1</v>
      </c>
    </row>
    <row r="128" spans="1:17" x14ac:dyDescent="0.35">
      <c r="A128" s="6" t="s">
        <v>144</v>
      </c>
      <c r="B128" s="6" t="s">
        <v>146</v>
      </c>
      <c r="C128" s="6">
        <v>-6.2155972847716408E-2</v>
      </c>
      <c r="D128" s="6">
        <v>-0.67307759476523532</v>
      </c>
      <c r="E128" s="6">
        <v>-0.39004900731685721</v>
      </c>
      <c r="F128" s="6">
        <v>-0.50484006198299824</v>
      </c>
      <c r="G128" s="6">
        <v>-0.28652094777726311</v>
      </c>
      <c r="H128" s="6">
        <v>-0.44395525889449122</v>
      </c>
      <c r="I128" s="6">
        <v>-1.3538253626292205</v>
      </c>
      <c r="J128" s="6">
        <v>-0.80834018642011707</v>
      </c>
      <c r="K128" s="6">
        <v>-0.11024028405596094</v>
      </c>
      <c r="L128" s="6">
        <v>-0.23066627997772018</v>
      </c>
      <c r="N128" s="8">
        <f t="shared" si="3"/>
        <v>2.7918962363157473</v>
      </c>
      <c r="O128" s="8">
        <f t="shared" si="4"/>
        <v>6.5408852874241816</v>
      </c>
      <c r="P128" s="12">
        <f t="shared" si="5"/>
        <v>0</v>
      </c>
      <c r="Q128" s="11">
        <f>IF(P128=Sheet1!M128, 1, 0)</f>
        <v>1</v>
      </c>
    </row>
    <row r="129" spans="1:17" x14ac:dyDescent="0.35">
      <c r="A129" s="6" t="s">
        <v>144</v>
      </c>
      <c r="B129" s="6" t="s">
        <v>147</v>
      </c>
      <c r="C129" s="6">
        <v>0.25724520628388092</v>
      </c>
      <c r="D129" s="6">
        <v>-0.45211765768373352</v>
      </c>
      <c r="E129" s="6">
        <v>-0.14506832646533119</v>
      </c>
      <c r="F129" s="6">
        <v>-0.22135797666300996</v>
      </c>
      <c r="G129" s="6">
        <v>-6.8757796939092355E-2</v>
      </c>
      <c r="H129" s="6">
        <v>0.92633065997405695</v>
      </c>
      <c r="I129" s="6">
        <v>0.17743965008850993</v>
      </c>
      <c r="J129" s="6">
        <v>7.9906453890747658E-2</v>
      </c>
      <c r="K129" s="6">
        <v>-0.53432849768489332</v>
      </c>
      <c r="L129" s="6">
        <v>0.17921940270797443</v>
      </c>
      <c r="N129" s="8">
        <f t="shared" si="3"/>
        <v>2.5979410683710698</v>
      </c>
      <c r="O129" s="8">
        <f t="shared" si="4"/>
        <v>5.2503580749930405</v>
      </c>
      <c r="P129" s="12">
        <f t="shared" si="5"/>
        <v>0</v>
      </c>
      <c r="Q129" s="11">
        <f>IF(P129=Sheet1!M129, 1, 0)</f>
        <v>1</v>
      </c>
    </row>
    <row r="130" spans="1:17" x14ac:dyDescent="0.35">
      <c r="A130" s="6" t="s">
        <v>144</v>
      </c>
      <c r="B130" s="6" t="s">
        <v>148</v>
      </c>
      <c r="C130" s="6">
        <v>0.3766851430179658</v>
      </c>
      <c r="D130" s="6">
        <v>-0.40915322547344196</v>
      </c>
      <c r="E130" s="6">
        <v>-0.11007108634368462</v>
      </c>
      <c r="F130" s="6">
        <v>-4.1100346323668296E-2</v>
      </c>
      <c r="G130" s="6">
        <v>0.32611938324745715</v>
      </c>
      <c r="H130" s="6">
        <v>0.48949815989450041</v>
      </c>
      <c r="I130" s="6">
        <v>-5.0146365540228978E-2</v>
      </c>
      <c r="J130" s="6">
        <v>-0.76278907666058571</v>
      </c>
      <c r="K130" s="6">
        <v>-0.12432439447168243</v>
      </c>
      <c r="L130" s="6">
        <v>0.14702417061640474</v>
      </c>
      <c r="N130" s="8">
        <f t="shared" si="3"/>
        <v>2.7323697527043236</v>
      </c>
      <c r="O130" s="8">
        <f t="shared" si="4"/>
        <v>5.5250309872145422</v>
      </c>
      <c r="P130" s="12">
        <f t="shared" si="5"/>
        <v>0</v>
      </c>
      <c r="Q130" s="11">
        <f>IF(P130=Sheet1!M130, 1, 0)</f>
        <v>1</v>
      </c>
    </row>
    <row r="131" spans="1:17" x14ac:dyDescent="0.35">
      <c r="A131" s="6" t="s">
        <v>144</v>
      </c>
      <c r="B131" s="6" t="s">
        <v>149</v>
      </c>
      <c r="C131" s="6">
        <v>-3.7999581148688066E-2</v>
      </c>
      <c r="D131" s="6">
        <v>-0.5196331940141925</v>
      </c>
      <c r="E131" s="6">
        <v>0.3441562512351598</v>
      </c>
      <c r="F131" s="6">
        <v>4.6717473585242759E-2</v>
      </c>
      <c r="G131" s="6">
        <v>6.1900093563810932E-2</v>
      </c>
      <c r="H131" s="6">
        <v>0.11676315366138909</v>
      </c>
      <c r="I131" s="6">
        <v>-0.39758159948326027</v>
      </c>
      <c r="J131" s="6">
        <v>-0.28450242418550464</v>
      </c>
      <c r="K131" s="6">
        <v>0.43747512099985425</v>
      </c>
      <c r="L131" s="6">
        <v>0.55885733168302165</v>
      </c>
      <c r="N131" s="8">
        <f t="shared" ref="N131:N194" si="6">SQRT((C131-$C$520)^2+(D131-$D$520)^2+(E131-$E$520)^2+(F131-$F$520)^2+(G131-$G$520)^2+(H131-$H$520)^2+(I131-$I$520)^2+(J131-$J$520)^2+(K131-$K$520)^2+(L131-$L$520)^2)</f>
        <v>2.8974804532697069</v>
      </c>
      <c r="O131" s="8">
        <f t="shared" ref="O131:O194" si="7">SQRT((C131-$C$521)^2+(D131-$D$521)^2+(E131-$E$521)^2+(F131-$F$521)^2+(G131-$G$521)^2+(H131-$H$521)^2+(I131-$I$521)^2+(J131-$J$521)^2+(K131-$K$521)^2+(L131-$L$521)^2)</f>
        <v>5.4319968246004642</v>
      </c>
      <c r="P131" s="12">
        <f t="shared" ref="P131:P194" si="8">IF(N131&lt;=O131, 0, 1)</f>
        <v>0</v>
      </c>
      <c r="Q131" s="11">
        <f>IF(P131=Sheet1!M131, 1, 0)</f>
        <v>1</v>
      </c>
    </row>
    <row r="132" spans="1:17" x14ac:dyDescent="0.35">
      <c r="A132" s="6" t="s">
        <v>144</v>
      </c>
      <c r="B132" s="6" t="s">
        <v>150</v>
      </c>
      <c r="C132" s="6">
        <v>0.98730504429896082</v>
      </c>
      <c r="D132" s="6">
        <v>-5.9299991761064347E-2</v>
      </c>
      <c r="E132" s="6">
        <v>-0.58492837599423653</v>
      </c>
      <c r="F132" s="6">
        <v>-0.31379778709344058</v>
      </c>
      <c r="G132" s="6">
        <v>-0.103599901073201</v>
      </c>
      <c r="H132" s="6">
        <v>-0.11700417683741206</v>
      </c>
      <c r="I132" s="6">
        <v>-1.4252248969441188</v>
      </c>
      <c r="J132" s="6">
        <v>0.41015199964735133</v>
      </c>
      <c r="K132" s="6">
        <v>-0.4326099224602411</v>
      </c>
      <c r="L132" s="6">
        <v>-0.10941019093429626</v>
      </c>
      <c r="N132" s="8">
        <f t="shared" si="6"/>
        <v>2.318066716896348</v>
      </c>
      <c r="O132" s="8">
        <f t="shared" si="7"/>
        <v>5.9892747145440071</v>
      </c>
      <c r="P132" s="12">
        <f t="shared" si="8"/>
        <v>0</v>
      </c>
      <c r="Q132" s="11">
        <f>IF(P132=Sheet1!M132, 1, 0)</f>
        <v>1</v>
      </c>
    </row>
    <row r="133" spans="1:17" x14ac:dyDescent="0.35">
      <c r="A133" s="6" t="s">
        <v>144</v>
      </c>
      <c r="B133" s="6" t="s">
        <v>151</v>
      </c>
      <c r="C133" s="6">
        <v>0.10962281256759644</v>
      </c>
      <c r="D133" s="6">
        <v>-0.44597988165369196</v>
      </c>
      <c r="E133" s="6">
        <v>-0.42430946343594278</v>
      </c>
      <c r="F133" s="6">
        <v>-0.3630990193230052</v>
      </c>
      <c r="G133" s="6">
        <v>-5.7143762227725561E-2</v>
      </c>
      <c r="H133" s="6">
        <v>7.8520111114349797E-2</v>
      </c>
      <c r="I133" s="6">
        <v>-1.2760508698933488</v>
      </c>
      <c r="J133" s="6">
        <v>-0.64511537644846251</v>
      </c>
      <c r="K133" s="6">
        <v>0.83183021264004053</v>
      </c>
      <c r="L133" s="6">
        <v>-0.25549545398970647</v>
      </c>
      <c r="N133" s="8">
        <f t="shared" si="6"/>
        <v>2.6807016245652959</v>
      </c>
      <c r="O133" s="8">
        <f t="shared" si="7"/>
        <v>6.3750877079172747</v>
      </c>
      <c r="P133" s="12">
        <f t="shared" si="8"/>
        <v>0</v>
      </c>
      <c r="Q133" s="11">
        <f>IF(P133=Sheet1!M133, 1, 0)</f>
        <v>1</v>
      </c>
    </row>
    <row r="134" spans="1:17" x14ac:dyDescent="0.35">
      <c r="A134" s="6" t="s">
        <v>144</v>
      </c>
      <c r="B134" s="6" t="s">
        <v>152</v>
      </c>
      <c r="C134" s="6">
        <v>-0.34934862971394282</v>
      </c>
      <c r="D134" s="6">
        <v>-0.54418429813435942</v>
      </c>
      <c r="E134" s="6">
        <v>0.15111884256418295</v>
      </c>
      <c r="F134" s="6">
        <v>-0.18438205249083597</v>
      </c>
      <c r="G134" s="6">
        <v>0.10254921505360297</v>
      </c>
      <c r="H134" s="6">
        <v>0.41085753719213836</v>
      </c>
      <c r="I134" s="6">
        <v>-0.28601982711623164</v>
      </c>
      <c r="J134" s="6">
        <v>-0.3642168662646848</v>
      </c>
      <c r="K134" s="6">
        <v>-0.17909593497726528</v>
      </c>
      <c r="L134" s="6">
        <v>-0.12330485565918529</v>
      </c>
      <c r="N134" s="8">
        <f t="shared" si="6"/>
        <v>2.8431504776232974</v>
      </c>
      <c r="O134" s="8">
        <f t="shared" si="7"/>
        <v>5.3765969960532844</v>
      </c>
      <c r="P134" s="12">
        <f t="shared" si="8"/>
        <v>0</v>
      </c>
      <c r="Q134" s="11">
        <f>IF(P134=Sheet1!M134, 1, 0)</f>
        <v>1</v>
      </c>
    </row>
    <row r="135" spans="1:17" x14ac:dyDescent="0.35">
      <c r="A135" s="6" t="s">
        <v>144</v>
      </c>
      <c r="B135" s="6" t="s">
        <v>153</v>
      </c>
      <c r="C135" s="6">
        <v>0.38071120830113708</v>
      </c>
      <c r="D135" s="6">
        <v>-0.44597988165369196</v>
      </c>
      <c r="E135" s="6">
        <v>-0.8807471530224702</v>
      </c>
      <c r="F135" s="6">
        <v>-0.5834139008488658</v>
      </c>
      <c r="G135" s="6">
        <v>-0.14715253124083269</v>
      </c>
      <c r="H135" s="6">
        <v>0.35160775296433194</v>
      </c>
      <c r="I135" s="6">
        <v>0.12325250351023832</v>
      </c>
      <c r="J135" s="6">
        <v>-0.33005353394503589</v>
      </c>
      <c r="K135" s="6">
        <v>-0.63291727059493941</v>
      </c>
      <c r="L135" s="6">
        <v>-0.21880394830264746</v>
      </c>
      <c r="N135" s="8">
        <f t="shared" si="6"/>
        <v>2.0994552455831696</v>
      </c>
      <c r="O135" s="8">
        <f t="shared" si="7"/>
        <v>6.0094653840157966</v>
      </c>
      <c r="P135" s="12">
        <f t="shared" si="8"/>
        <v>0</v>
      </c>
      <c r="Q135" s="11">
        <f>IF(P135=Sheet1!M135, 1, 0)</f>
        <v>1</v>
      </c>
    </row>
    <row r="136" spans="1:17" x14ac:dyDescent="0.35">
      <c r="A136" s="6" t="s">
        <v>144</v>
      </c>
      <c r="B136" s="6" t="s">
        <v>154</v>
      </c>
      <c r="C136" s="6">
        <v>-0.29029967222742903</v>
      </c>
      <c r="D136" s="6">
        <v>-2.8611111610855368E-2</v>
      </c>
      <c r="E136" s="6">
        <v>-8.3948939902693219E-3</v>
      </c>
      <c r="F136" s="6">
        <v>8.0612070743067463E-2</v>
      </c>
      <c r="G136" s="6">
        <v>0.17804044067749952</v>
      </c>
      <c r="H136" s="6">
        <v>0.63062037323709397</v>
      </c>
      <c r="I136" s="6">
        <v>0.73588600776575075</v>
      </c>
      <c r="J136" s="6">
        <v>-7.9522430267612701E-2</v>
      </c>
      <c r="K136" s="6">
        <v>-0.38096818426926449</v>
      </c>
      <c r="L136" s="6">
        <v>-0.29449262045960378</v>
      </c>
      <c r="N136" s="8">
        <f t="shared" si="6"/>
        <v>2.7312859071229902</v>
      </c>
      <c r="O136" s="8">
        <f t="shared" si="7"/>
        <v>4.722499928300735</v>
      </c>
      <c r="P136" s="12">
        <f t="shared" si="8"/>
        <v>0</v>
      </c>
      <c r="Q136" s="11">
        <f>IF(P136=Sheet1!M136, 1, 0)</f>
        <v>1</v>
      </c>
    </row>
    <row r="137" spans="1:17" x14ac:dyDescent="0.35">
      <c r="A137" s="6" t="s">
        <v>144</v>
      </c>
      <c r="B137" s="6" t="s">
        <v>155</v>
      </c>
      <c r="C137" s="6">
        <v>-0.63519926481911193</v>
      </c>
      <c r="D137" s="6">
        <v>-0.83265977154631954</v>
      </c>
      <c r="E137" s="6">
        <v>-0.86380112096356765</v>
      </c>
      <c r="F137" s="6">
        <v>-0.90695323735537514</v>
      </c>
      <c r="G137" s="6">
        <v>-0.40556480356879548</v>
      </c>
      <c r="H137" s="6">
        <v>9.5756411980621223E-2</v>
      </c>
      <c r="I137" s="6">
        <v>-0.31024466911592991</v>
      </c>
      <c r="J137" s="6">
        <v>-0.62233982156869672</v>
      </c>
      <c r="K137" s="6">
        <v>-3.9819731977357914E-2</v>
      </c>
      <c r="L137" s="6">
        <v>-0.31043236419540871</v>
      </c>
      <c r="N137" s="8">
        <f t="shared" si="6"/>
        <v>2.5947934901026133</v>
      </c>
      <c r="O137" s="8">
        <f t="shared" si="7"/>
        <v>6.5870636134695184</v>
      </c>
      <c r="P137" s="12">
        <f t="shared" si="8"/>
        <v>0</v>
      </c>
      <c r="Q137" s="11">
        <f>IF(P137=Sheet1!M137, 1, 0)</f>
        <v>1</v>
      </c>
    </row>
    <row r="138" spans="1:17" x14ac:dyDescent="0.35">
      <c r="A138" s="6" t="s">
        <v>144</v>
      </c>
      <c r="B138" s="6" t="s">
        <v>156</v>
      </c>
      <c r="C138" s="6">
        <v>-0.53052156745665557</v>
      </c>
      <c r="D138" s="6">
        <v>-0.64238871461502689</v>
      </c>
      <c r="E138" s="6">
        <v>-0.70097185639759096</v>
      </c>
      <c r="F138" s="6">
        <v>-0.57108859279147517</v>
      </c>
      <c r="G138" s="6">
        <v>0.10835623240928637</v>
      </c>
      <c r="H138" s="6">
        <v>-0.10084514477528311</v>
      </c>
      <c r="I138" s="6">
        <v>-2.6983040936124398</v>
      </c>
      <c r="J138" s="6">
        <v>-0.64891130226175675</v>
      </c>
      <c r="K138" s="6">
        <v>0.44686452794366632</v>
      </c>
      <c r="L138" s="6">
        <v>-0.29239018462373983</v>
      </c>
      <c r="N138" s="8">
        <f t="shared" si="6"/>
        <v>3.8481952345717847</v>
      </c>
      <c r="O138" s="8">
        <f t="shared" si="7"/>
        <v>7.1762737933369758</v>
      </c>
      <c r="P138" s="12">
        <f t="shared" si="8"/>
        <v>0</v>
      </c>
      <c r="Q138" s="11">
        <f>IF(P138=Sheet1!M138, 1, 0)</f>
        <v>1</v>
      </c>
    </row>
    <row r="139" spans="1:17" x14ac:dyDescent="0.35">
      <c r="A139" s="6" t="s">
        <v>144</v>
      </c>
      <c r="B139" s="6" t="s">
        <v>157</v>
      </c>
      <c r="C139" s="6">
        <v>0.34045055546942327</v>
      </c>
      <c r="D139" s="6">
        <v>-0.15136663221169019</v>
      </c>
      <c r="E139" s="6">
        <v>-0.66008034425545659</v>
      </c>
      <c r="F139" s="6">
        <v>-0.86689598616885621</v>
      </c>
      <c r="G139" s="6">
        <v>-1.7411787953762454</v>
      </c>
      <c r="H139" s="6">
        <v>-2.8129500495701707E-2</v>
      </c>
      <c r="I139" s="6">
        <v>-0.67616728247978353</v>
      </c>
      <c r="J139" s="6">
        <v>-0.75140129922070276</v>
      </c>
      <c r="K139" s="6">
        <v>0.80679179412320379</v>
      </c>
      <c r="L139" s="6">
        <v>-0.39347173659357432</v>
      </c>
      <c r="N139" s="8">
        <f t="shared" si="6"/>
        <v>1.8905748397975539</v>
      </c>
      <c r="O139" s="8">
        <f t="shared" si="7"/>
        <v>6.8559142536318323</v>
      </c>
      <c r="P139" s="12">
        <f t="shared" si="8"/>
        <v>0</v>
      </c>
      <c r="Q139" s="11">
        <f>IF(P139=Sheet1!M139, 1, 0)</f>
        <v>1</v>
      </c>
    </row>
    <row r="140" spans="1:17" x14ac:dyDescent="0.35">
      <c r="A140" s="6" t="s">
        <v>144</v>
      </c>
      <c r="B140" s="6" t="s">
        <v>158</v>
      </c>
      <c r="C140" s="6">
        <v>-0.42450184833314225</v>
      </c>
      <c r="D140" s="6">
        <v>1.5426595520798214</v>
      </c>
      <c r="E140" s="6">
        <v>0.70812754850028414</v>
      </c>
      <c r="F140" s="6">
        <v>1.1791051513580277</v>
      </c>
      <c r="G140" s="6">
        <v>0.51194393862936305</v>
      </c>
      <c r="H140" s="6">
        <v>0.98288727219150862</v>
      </c>
      <c r="I140" s="6">
        <v>0.84999776350116807</v>
      </c>
      <c r="J140" s="6">
        <v>1.4388478950501051</v>
      </c>
      <c r="K140" s="6">
        <v>-0.35749466690972864</v>
      </c>
      <c r="L140" s="6">
        <v>0.3730600835852288</v>
      </c>
      <c r="N140" s="8">
        <f t="shared" si="6"/>
        <v>4.102314143056585</v>
      </c>
      <c r="O140" s="8">
        <f t="shared" si="7"/>
        <v>2.572369225099234</v>
      </c>
      <c r="P140" s="12">
        <f t="shared" si="8"/>
        <v>1</v>
      </c>
      <c r="Q140" s="11">
        <f>IF(P140=Sheet1!M140, 1, 0)</f>
        <v>0</v>
      </c>
    </row>
    <row r="141" spans="1:17" x14ac:dyDescent="0.35">
      <c r="A141" s="6" t="s">
        <v>144</v>
      </c>
      <c r="B141" s="6" t="s">
        <v>159</v>
      </c>
      <c r="C141" s="6">
        <v>-0.44865824003217064</v>
      </c>
      <c r="D141" s="6">
        <v>1.5549351041399058</v>
      </c>
      <c r="E141" s="6">
        <v>0.58618979607644195</v>
      </c>
      <c r="F141" s="6">
        <v>1.1652391797934625</v>
      </c>
      <c r="G141" s="6">
        <v>0.58162814689757625</v>
      </c>
      <c r="H141" s="6">
        <v>0.93925788562376</v>
      </c>
      <c r="I141" s="6">
        <v>0.59882440171482954</v>
      </c>
      <c r="J141" s="6">
        <v>-2.2583543068198139E-2</v>
      </c>
      <c r="K141" s="6">
        <v>-0.4310450213029402</v>
      </c>
      <c r="L141" s="6">
        <v>-0.36787124387990067</v>
      </c>
      <c r="N141" s="8">
        <f t="shared" si="6"/>
        <v>3.7939514963215362</v>
      </c>
      <c r="O141" s="8">
        <f t="shared" si="7"/>
        <v>3.0168931332857429</v>
      </c>
      <c r="P141" s="12">
        <f t="shared" si="8"/>
        <v>1</v>
      </c>
      <c r="Q141" s="11">
        <f>IF(P141=Sheet1!M141, 1, 0)</f>
        <v>0</v>
      </c>
    </row>
    <row r="142" spans="1:17" x14ac:dyDescent="0.35">
      <c r="A142" s="6" t="s">
        <v>160</v>
      </c>
      <c r="B142" s="6" t="s">
        <v>161</v>
      </c>
      <c r="C142" s="6">
        <v>-1.0015712055877091</v>
      </c>
      <c r="D142" s="6">
        <v>-0.11453997603143964</v>
      </c>
      <c r="E142" s="6">
        <v>0.77333293272693093</v>
      </c>
      <c r="F142" s="6">
        <v>0.39028543568501156</v>
      </c>
      <c r="G142" s="6">
        <v>0.43064569564977895</v>
      </c>
      <c r="H142" s="6">
        <v>0.99796903544949589</v>
      </c>
      <c r="I142" s="6">
        <v>-1.3321505039979122</v>
      </c>
      <c r="J142" s="6">
        <v>0.34562126082134836</v>
      </c>
      <c r="K142" s="6">
        <v>-1.0617001876957779</v>
      </c>
      <c r="L142" s="6">
        <v>-0.23465894184464939</v>
      </c>
      <c r="N142" s="8">
        <f t="shared" si="6"/>
        <v>4.1730718312827157</v>
      </c>
      <c r="O142" s="8">
        <f t="shared" si="7"/>
        <v>4.6129807662932141</v>
      </c>
      <c r="P142" s="12">
        <f t="shared" si="8"/>
        <v>0</v>
      </c>
      <c r="Q142" s="11">
        <f>IF(P142=Sheet1!M142, 1, 0)</f>
        <v>1</v>
      </c>
    </row>
    <row r="143" spans="1:17" x14ac:dyDescent="0.35">
      <c r="A143" s="6" t="s">
        <v>160</v>
      </c>
      <c r="B143" s="6" t="s">
        <v>162</v>
      </c>
      <c r="C143" s="6">
        <v>-0.68753811350034011</v>
      </c>
      <c r="D143" s="6">
        <v>2.0491096629478348E-2</v>
      </c>
      <c r="E143" s="6">
        <v>1.1929314221854093</v>
      </c>
      <c r="F143" s="6">
        <v>0.40723273426392392</v>
      </c>
      <c r="G143" s="6">
        <v>0.41903166093840805</v>
      </c>
      <c r="H143" s="6">
        <v>0.93548744480926282</v>
      </c>
      <c r="I143" s="6">
        <v>-1.2001888646837695</v>
      </c>
      <c r="J143" s="6">
        <v>-0.5881764892490482</v>
      </c>
      <c r="K143" s="6">
        <v>-0.49833577106693916</v>
      </c>
      <c r="L143" s="6">
        <v>-0.318734080294791</v>
      </c>
      <c r="N143" s="8">
        <f t="shared" si="6"/>
        <v>4.1094582384987799</v>
      </c>
      <c r="O143" s="8">
        <f t="shared" si="7"/>
        <v>4.6744430840961098</v>
      </c>
      <c r="P143" s="12">
        <f t="shared" si="8"/>
        <v>0</v>
      </c>
      <c r="Q143" s="11">
        <f>IF(P143=Sheet1!M143, 1, 0)</f>
        <v>1</v>
      </c>
    </row>
    <row r="144" spans="1:17" x14ac:dyDescent="0.35">
      <c r="A144" s="6" t="s">
        <v>160</v>
      </c>
      <c r="B144" s="6" t="s">
        <v>163</v>
      </c>
      <c r="C144" s="6">
        <v>-1.2780276883654784</v>
      </c>
      <c r="D144" s="6">
        <v>-0.6116998344648179</v>
      </c>
      <c r="E144" s="6">
        <v>0.71623217252845495</v>
      </c>
      <c r="F144" s="6">
        <v>-5.0344327366711801E-2</v>
      </c>
      <c r="G144" s="6">
        <v>0.12287377579849693</v>
      </c>
      <c r="H144" s="6">
        <v>0.68879288866075861</v>
      </c>
      <c r="I144" s="6">
        <v>-0.31598213169480499</v>
      </c>
      <c r="J144" s="6">
        <v>-0.46670686322363059</v>
      </c>
      <c r="K144" s="6">
        <v>-0.54528280578600863</v>
      </c>
      <c r="L144" s="6">
        <v>-0.24305687950282431</v>
      </c>
      <c r="N144" s="8">
        <f t="shared" si="6"/>
        <v>3.8015562866419912</v>
      </c>
      <c r="O144" s="8">
        <f t="shared" si="7"/>
        <v>5.1357758283547534</v>
      </c>
      <c r="P144" s="12">
        <f t="shared" si="8"/>
        <v>0</v>
      </c>
      <c r="Q144" s="11">
        <f>IF(P144=Sheet1!M144, 1, 0)</f>
        <v>1</v>
      </c>
    </row>
    <row r="145" spans="1:17" x14ac:dyDescent="0.35">
      <c r="A145" s="6" t="s">
        <v>160</v>
      </c>
      <c r="B145" s="6" t="s">
        <v>164</v>
      </c>
      <c r="C145" s="6">
        <v>-0.95862650923388082</v>
      </c>
      <c r="D145" s="6">
        <v>-0.75900645918581899</v>
      </c>
      <c r="E145" s="6">
        <v>0.96526516539406637</v>
      </c>
      <c r="F145" s="6">
        <v>0.14840126505871687</v>
      </c>
      <c r="G145" s="6">
        <v>0.5409790254077842</v>
      </c>
      <c r="H145" s="6">
        <v>0.83260827401370774</v>
      </c>
      <c r="I145" s="6">
        <v>-0.4976684466925379</v>
      </c>
      <c r="J145" s="6">
        <v>-4.1563172134669542E-2</v>
      </c>
      <c r="K145" s="6">
        <v>-0.50459537569614943</v>
      </c>
      <c r="L145" s="6">
        <v>-0.33384345600748666</v>
      </c>
      <c r="N145" s="8">
        <f t="shared" si="6"/>
        <v>4.0152803716526346</v>
      </c>
      <c r="O145" s="8">
        <f t="shared" si="7"/>
        <v>4.9085340772407715</v>
      </c>
      <c r="P145" s="12">
        <f t="shared" si="8"/>
        <v>0</v>
      </c>
      <c r="Q145" s="11">
        <f>IF(P145=Sheet1!M145, 1, 0)</f>
        <v>1</v>
      </c>
    </row>
    <row r="146" spans="1:17" x14ac:dyDescent="0.35">
      <c r="A146" s="6" t="s">
        <v>160</v>
      </c>
      <c r="B146" s="6" t="s">
        <v>165</v>
      </c>
      <c r="C146" s="6">
        <v>-1.1518776428261079</v>
      </c>
      <c r="D146" s="6">
        <v>-1.0597574846578628</v>
      </c>
      <c r="E146" s="6">
        <v>0.53166777988692937</v>
      </c>
      <c r="F146" s="6">
        <v>-0.44167285818887053</v>
      </c>
      <c r="G146" s="6">
        <v>-0.37943322546821812</v>
      </c>
      <c r="H146" s="6">
        <v>0.3332941832939188</v>
      </c>
      <c r="I146" s="6">
        <v>-1.0191400455281341</v>
      </c>
      <c r="J146" s="6">
        <v>8.7498305517336422E-2</v>
      </c>
      <c r="K146" s="6">
        <v>-7.8942260909916143E-2</v>
      </c>
      <c r="L146" s="6">
        <v>-0.32781196274008217</v>
      </c>
      <c r="N146" s="8">
        <f t="shared" si="6"/>
        <v>3.5667343176072244</v>
      </c>
      <c r="O146" s="8">
        <f t="shared" si="7"/>
        <v>5.8633092465287469</v>
      </c>
      <c r="P146" s="12">
        <f t="shared" si="8"/>
        <v>0</v>
      </c>
      <c r="Q146" s="11">
        <f>IF(P146=Sheet1!M146, 1, 0)</f>
        <v>1</v>
      </c>
    </row>
    <row r="147" spans="1:17" x14ac:dyDescent="0.35">
      <c r="A147" s="6" t="s">
        <v>160</v>
      </c>
      <c r="B147" s="6" t="s">
        <v>166</v>
      </c>
      <c r="C147" s="6">
        <v>-0.68082800469505445</v>
      </c>
      <c r="D147" s="6">
        <v>2.0491096629478348E-2</v>
      </c>
      <c r="E147" s="6">
        <v>0.52872064387668538</v>
      </c>
      <c r="F147" s="6">
        <v>0.23005643093893152</v>
      </c>
      <c r="G147" s="6">
        <v>0.70938252872263574</v>
      </c>
      <c r="H147" s="6">
        <v>0.66024526535099715</v>
      </c>
      <c r="I147" s="6">
        <v>-1.6018112452050728</v>
      </c>
      <c r="J147" s="6">
        <v>-0.48568649229010219</v>
      </c>
      <c r="K147" s="6">
        <v>-3.6689929662751655E-2</v>
      </c>
      <c r="L147" s="6">
        <v>-0.33955297793950889</v>
      </c>
      <c r="N147" s="8">
        <f t="shared" si="6"/>
        <v>3.8614765290800412</v>
      </c>
      <c r="O147" s="8">
        <f t="shared" si="7"/>
        <v>5.2011707203206585</v>
      </c>
      <c r="P147" s="12">
        <f t="shared" si="8"/>
        <v>0</v>
      </c>
      <c r="Q147" s="11">
        <f>IF(P147=Sheet1!M147, 1, 0)</f>
        <v>1</v>
      </c>
    </row>
    <row r="148" spans="1:17" x14ac:dyDescent="0.35">
      <c r="A148" s="6" t="s">
        <v>160</v>
      </c>
      <c r="B148" s="6" t="s">
        <v>167</v>
      </c>
      <c r="C148" s="6">
        <v>-1.0082813143929947</v>
      </c>
      <c r="D148" s="6">
        <v>1.0393619176164022</v>
      </c>
      <c r="E148" s="6">
        <v>1.9860794009423048</v>
      </c>
      <c r="F148" s="6">
        <v>1.3316308385682389</v>
      </c>
      <c r="G148" s="6">
        <v>1.0897421655199746</v>
      </c>
      <c r="H148" s="6">
        <v>1.0545256476669476</v>
      </c>
      <c r="I148" s="6">
        <v>0.71166116576605254</v>
      </c>
      <c r="J148" s="6">
        <v>0.66447902913806911</v>
      </c>
      <c r="K148" s="6">
        <v>-0.67360470068480072</v>
      </c>
      <c r="L148" s="6">
        <v>-0.25809932847223815</v>
      </c>
      <c r="N148" s="8">
        <f t="shared" si="6"/>
        <v>5.1078480426807094</v>
      </c>
      <c r="O148" s="8">
        <f t="shared" si="7"/>
        <v>2.3324343747407501</v>
      </c>
      <c r="P148" s="12">
        <f t="shared" si="8"/>
        <v>1</v>
      </c>
      <c r="Q148" s="11">
        <f>IF(P148=Sheet1!M148, 1, 0)</f>
        <v>0</v>
      </c>
    </row>
    <row r="149" spans="1:17" x14ac:dyDescent="0.35">
      <c r="A149" s="6" t="s">
        <v>168</v>
      </c>
      <c r="B149" s="6" t="s">
        <v>169</v>
      </c>
      <c r="C149" s="6">
        <v>-0.72779876633205409</v>
      </c>
      <c r="D149" s="6">
        <v>-0.15750440824173179</v>
      </c>
      <c r="E149" s="6">
        <v>0.57255929202906375</v>
      </c>
      <c r="F149" s="6">
        <v>0.27319500913979972</v>
      </c>
      <c r="G149" s="6">
        <v>0.42193516961625177</v>
      </c>
      <c r="H149" s="6">
        <v>0.84445823085926897</v>
      </c>
      <c r="I149" s="6">
        <v>0.18891457524626096</v>
      </c>
      <c r="J149" s="6">
        <v>0.81252013585654681</v>
      </c>
      <c r="K149" s="6">
        <v>-1.3465121983248018</v>
      </c>
      <c r="L149" s="6">
        <v>-0.26393137879096173</v>
      </c>
      <c r="N149" s="8">
        <f t="shared" si="6"/>
        <v>3.7567258168715862</v>
      </c>
      <c r="O149" s="8">
        <f t="shared" si="7"/>
        <v>4.1786939075718905</v>
      </c>
      <c r="P149" s="12">
        <f t="shared" si="8"/>
        <v>0</v>
      </c>
      <c r="Q149" s="11">
        <f>IF(P149=Sheet1!M149, 1, 0)</f>
        <v>1</v>
      </c>
    </row>
    <row r="150" spans="1:17" x14ac:dyDescent="0.35">
      <c r="A150" s="6" t="s">
        <v>168</v>
      </c>
      <c r="B150" s="6" t="s">
        <v>170</v>
      </c>
      <c r="C150" s="6">
        <v>-0.7855057020575108</v>
      </c>
      <c r="D150" s="6">
        <v>0.1432466172303121</v>
      </c>
      <c r="E150" s="6">
        <v>1.4986967832482163</v>
      </c>
      <c r="F150" s="6">
        <v>0.7153654356986956</v>
      </c>
      <c r="G150" s="6">
        <v>0.23320710555650215</v>
      </c>
      <c r="H150" s="6">
        <v>0.13776989534215694</v>
      </c>
      <c r="I150" s="6">
        <v>-0.54165565979725194</v>
      </c>
      <c r="J150" s="6">
        <v>1.3515416013443362</v>
      </c>
      <c r="K150" s="6">
        <v>-0.9818902286733594</v>
      </c>
      <c r="L150" s="6">
        <v>-0.16779925067623339</v>
      </c>
      <c r="N150" s="8">
        <f t="shared" si="6"/>
        <v>4.1907288352951291</v>
      </c>
      <c r="O150" s="8">
        <f t="shared" si="7"/>
        <v>3.7044543256926237</v>
      </c>
      <c r="P150" s="12">
        <f t="shared" si="8"/>
        <v>1</v>
      </c>
      <c r="Q150" s="11">
        <f>IF(P150=Sheet1!M150, 1, 0)</f>
        <v>0</v>
      </c>
    </row>
    <row r="151" spans="1:17" x14ac:dyDescent="0.35">
      <c r="A151" s="6" t="s">
        <v>168</v>
      </c>
      <c r="B151" s="6" t="s">
        <v>171</v>
      </c>
      <c r="C151" s="6">
        <v>-0.98278290093290921</v>
      </c>
      <c r="D151" s="6">
        <v>0.29669101798135483</v>
      </c>
      <c r="E151" s="6">
        <v>1.6158454396554121</v>
      </c>
      <c r="F151" s="6">
        <v>0.48734723663696611</v>
      </c>
      <c r="G151" s="6">
        <v>-1.262099863532268</v>
      </c>
      <c r="H151" s="6">
        <v>-0.34969423853207149</v>
      </c>
      <c r="I151" s="6">
        <v>-0.247132580748296</v>
      </c>
      <c r="J151" s="6">
        <v>3.4355344131216416E-2</v>
      </c>
      <c r="K151" s="6">
        <v>0.44529962678636542</v>
      </c>
      <c r="L151" s="6">
        <v>-0.15292389916733301</v>
      </c>
      <c r="N151" s="8">
        <f t="shared" si="6"/>
        <v>3.576992328008719</v>
      </c>
      <c r="O151" s="8">
        <f t="shared" si="7"/>
        <v>4.6429965407053011</v>
      </c>
      <c r="P151" s="12">
        <f t="shared" si="8"/>
        <v>0</v>
      </c>
      <c r="Q151" s="11">
        <f>IF(P151=Sheet1!M151, 1, 0)</f>
        <v>1</v>
      </c>
    </row>
    <row r="152" spans="1:17" x14ac:dyDescent="0.35">
      <c r="A152" s="6" t="s">
        <v>168</v>
      </c>
      <c r="B152" s="6" t="s">
        <v>172</v>
      </c>
      <c r="C152" s="6">
        <v>0.22235264049639553</v>
      </c>
      <c r="D152" s="6">
        <v>-0.95541529214715393</v>
      </c>
      <c r="E152" s="6">
        <v>0.59429442010461264</v>
      </c>
      <c r="F152" s="6">
        <v>-0.63117446957125567</v>
      </c>
      <c r="G152" s="6">
        <v>-2.1099243974622133</v>
      </c>
      <c r="H152" s="6">
        <v>-0.48596874225602615</v>
      </c>
      <c r="I152" s="6">
        <v>-0.24777007659039363</v>
      </c>
      <c r="J152" s="6">
        <v>-0.3148698306918587</v>
      </c>
      <c r="K152" s="6">
        <v>-0.77845307822405707</v>
      </c>
      <c r="L152" s="6">
        <v>-0.39684927001983133</v>
      </c>
      <c r="N152" s="8">
        <f t="shared" si="6"/>
        <v>2.9023839740207906</v>
      </c>
      <c r="O152" s="8">
        <f t="shared" si="7"/>
        <v>6.4313792797413321</v>
      </c>
      <c r="P152" s="12">
        <f t="shared" si="8"/>
        <v>0</v>
      </c>
      <c r="Q152" s="11">
        <f>IF(P152=Sheet1!M152, 1, 0)</f>
        <v>1</v>
      </c>
    </row>
    <row r="153" spans="1:17" x14ac:dyDescent="0.35">
      <c r="A153" s="6" t="s">
        <v>168</v>
      </c>
      <c r="B153" s="6" t="s">
        <v>173</v>
      </c>
      <c r="C153" s="6">
        <v>-0.69559024406668291</v>
      </c>
      <c r="D153" s="6">
        <v>-0.67307759476523532</v>
      </c>
      <c r="E153" s="6">
        <v>0.59871512411997863</v>
      </c>
      <c r="F153" s="6">
        <v>-0.10734887713214306</v>
      </c>
      <c r="G153" s="6">
        <v>-0.66688058457460209</v>
      </c>
      <c r="H153" s="6">
        <v>-2.3377938165760215</v>
      </c>
      <c r="I153" s="6">
        <v>-4.1199198214894333</v>
      </c>
      <c r="J153" s="6">
        <v>-1.4384638714269702</v>
      </c>
      <c r="K153" s="6">
        <v>0.1307544941685965</v>
      </c>
      <c r="L153" s="6">
        <v>-0.22682776066002291</v>
      </c>
      <c r="N153" s="8">
        <f t="shared" si="6"/>
        <v>5.7618551780361917</v>
      </c>
      <c r="O153" s="8">
        <f t="shared" si="7"/>
        <v>8.385122914383663</v>
      </c>
      <c r="P153" s="12">
        <f t="shared" si="8"/>
        <v>0</v>
      </c>
      <c r="Q153" s="11">
        <f>IF(P153=Sheet1!M153, 1, 0)</f>
        <v>1</v>
      </c>
    </row>
    <row r="154" spans="1:17" x14ac:dyDescent="0.35">
      <c r="A154" s="6" t="s">
        <v>168</v>
      </c>
      <c r="B154" s="6" t="s">
        <v>174</v>
      </c>
      <c r="C154" s="6">
        <v>-0.96936268332233788</v>
      </c>
      <c r="D154" s="6">
        <v>1.6654150726806562</v>
      </c>
      <c r="E154" s="6">
        <v>2.8400120599104812</v>
      </c>
      <c r="F154" s="6">
        <v>1.7245000328975744</v>
      </c>
      <c r="G154" s="6">
        <v>1.0752246221307642</v>
      </c>
      <c r="H154" s="6">
        <v>1.1110822598843992</v>
      </c>
      <c r="I154" s="6">
        <v>0.66894894434553287</v>
      </c>
      <c r="J154" s="6">
        <v>2.497911196959214</v>
      </c>
      <c r="K154" s="6">
        <v>0.24968698212357429</v>
      </c>
      <c r="L154" s="6">
        <v>1.8618480370812447</v>
      </c>
      <c r="N154" s="8">
        <f t="shared" si="6"/>
        <v>6.6209362238446614</v>
      </c>
      <c r="O154" s="8">
        <f t="shared" si="7"/>
        <v>2.9742119706701975</v>
      </c>
      <c r="P154" s="12">
        <f t="shared" si="8"/>
        <v>1</v>
      </c>
      <c r="Q154" s="11">
        <f>IF(P154=Sheet1!M154, 1, 0)</f>
        <v>0</v>
      </c>
    </row>
    <row r="155" spans="1:17" x14ac:dyDescent="0.35">
      <c r="A155" s="6" t="s">
        <v>168</v>
      </c>
      <c r="B155" s="6" t="s">
        <v>175</v>
      </c>
      <c r="C155" s="6">
        <v>-0.36276884732451409</v>
      </c>
      <c r="D155" s="6">
        <v>1.1191530060069437</v>
      </c>
      <c r="E155" s="6">
        <v>1.8840348165876091</v>
      </c>
      <c r="F155" s="6">
        <v>1.3870947248264998</v>
      </c>
      <c r="G155" s="6">
        <v>0.73261059814537755</v>
      </c>
      <c r="H155" s="6">
        <v>0.39146669871758344</v>
      </c>
      <c r="I155" s="6">
        <v>0.41586309503290225</v>
      </c>
      <c r="J155" s="6">
        <v>0.47468273847335435</v>
      </c>
      <c r="K155" s="6">
        <v>-1.3934592330438713</v>
      </c>
      <c r="L155" s="6">
        <v>-0.16598723469827575</v>
      </c>
      <c r="N155" s="8">
        <f t="shared" si="6"/>
        <v>4.7231385764242875</v>
      </c>
      <c r="O155" s="8">
        <f t="shared" si="7"/>
        <v>2.458714053327379</v>
      </c>
      <c r="P155" s="12">
        <f t="shared" si="8"/>
        <v>1</v>
      </c>
      <c r="Q155" s="11">
        <f>IF(P155=Sheet1!M155, 1, 0)</f>
        <v>0</v>
      </c>
    </row>
    <row r="156" spans="1:17" x14ac:dyDescent="0.35">
      <c r="A156" s="6" t="s">
        <v>176</v>
      </c>
      <c r="B156" s="6" t="s">
        <v>177</v>
      </c>
      <c r="C156" s="6">
        <v>0.37400109949585159</v>
      </c>
      <c r="D156" s="6">
        <v>0.22917548165089638</v>
      </c>
      <c r="E156" s="6">
        <v>0.83338082893565091</v>
      </c>
      <c r="F156" s="6">
        <v>0.33482154942675274</v>
      </c>
      <c r="G156" s="6">
        <v>-0.19360867008631225</v>
      </c>
      <c r="H156" s="6">
        <v>0.35268502176847366</v>
      </c>
      <c r="I156" s="6">
        <v>0.57906203060981287</v>
      </c>
      <c r="J156" s="6">
        <v>1.3363578980911595</v>
      </c>
      <c r="K156" s="6">
        <v>-0.62822256712303226</v>
      </c>
      <c r="L156" s="6">
        <v>-0.38269013704963545</v>
      </c>
      <c r="N156" s="8">
        <f t="shared" si="6"/>
        <v>2.9985184900924384</v>
      </c>
      <c r="O156" s="8">
        <f t="shared" si="7"/>
        <v>3.9531153599870983</v>
      </c>
      <c r="P156" s="12">
        <f t="shared" si="8"/>
        <v>0</v>
      </c>
      <c r="Q156" s="11">
        <f>IF(P156=Sheet1!M156, 1, 0)</f>
        <v>1</v>
      </c>
    </row>
    <row r="157" spans="1:17" x14ac:dyDescent="0.35">
      <c r="A157" s="6" t="s">
        <v>176</v>
      </c>
      <c r="B157" s="6" t="s">
        <v>178</v>
      </c>
      <c r="C157" s="6">
        <v>-1.1693239257198504</v>
      </c>
      <c r="D157" s="6">
        <v>1.9661660981527</v>
      </c>
      <c r="E157" s="6">
        <v>4.9965788354064706</v>
      </c>
      <c r="F157" s="6">
        <v>2.3068708386092931</v>
      </c>
      <c r="G157" s="6">
        <v>1.3191193510695163</v>
      </c>
      <c r="H157" s="6">
        <v>1.0399825188110317</v>
      </c>
      <c r="I157" s="6">
        <v>0.94498464397366644</v>
      </c>
      <c r="J157" s="6">
        <v>0.86186717142937253</v>
      </c>
      <c r="K157" s="6">
        <v>-1.2557479312012669</v>
      </c>
      <c r="L157" s="6">
        <v>8.5133565675385334</v>
      </c>
      <c r="N157" s="8">
        <f t="shared" si="6"/>
        <v>11.996154282325483</v>
      </c>
      <c r="O157" s="8">
        <f t="shared" si="7"/>
        <v>9.1309018386097165</v>
      </c>
      <c r="P157" s="12">
        <f t="shared" si="8"/>
        <v>1</v>
      </c>
      <c r="Q157" s="11">
        <f>IF(P157=Sheet1!M157, 1, 0)</f>
        <v>0</v>
      </c>
    </row>
    <row r="158" spans="1:17" x14ac:dyDescent="0.35">
      <c r="A158" s="6" t="s">
        <v>176</v>
      </c>
      <c r="B158" s="6" t="s">
        <v>179</v>
      </c>
      <c r="C158" s="6">
        <v>-1.0726983589237371</v>
      </c>
      <c r="D158" s="6">
        <v>1.9845794262428249</v>
      </c>
      <c r="E158" s="6">
        <v>2.7291260675250535</v>
      </c>
      <c r="F158" s="6">
        <v>2.0095227817247374</v>
      </c>
      <c r="G158" s="6">
        <v>1.4178386461161547</v>
      </c>
      <c r="H158" s="6">
        <v>1.0518324756565929</v>
      </c>
      <c r="I158" s="6">
        <v>0.92075980197396912</v>
      </c>
      <c r="J158" s="6">
        <v>1.2035004946258592</v>
      </c>
      <c r="K158" s="6">
        <v>-1.3480770994821039</v>
      </c>
      <c r="L158" s="6">
        <v>6.098797322843228</v>
      </c>
      <c r="N158" s="8">
        <f t="shared" si="6"/>
        <v>9.1183813472650943</v>
      </c>
      <c r="O158" s="8">
        <f t="shared" si="7"/>
        <v>6.3904374321541688</v>
      </c>
      <c r="P158" s="12">
        <f t="shared" si="8"/>
        <v>1</v>
      </c>
      <c r="Q158" s="11">
        <f>IF(P158=Sheet1!M158, 1, 0)</f>
        <v>0</v>
      </c>
    </row>
    <row r="159" spans="1:17" x14ac:dyDescent="0.35">
      <c r="A159" s="6" t="s">
        <v>176</v>
      </c>
      <c r="B159" s="6" t="s">
        <v>180</v>
      </c>
      <c r="C159" s="6">
        <v>-0.98412492269396634</v>
      </c>
      <c r="D159" s="6">
        <v>1.8127216974016573</v>
      </c>
      <c r="E159" s="6">
        <v>2.5935578110538331</v>
      </c>
      <c r="F159" s="6">
        <v>1.7922892272132238</v>
      </c>
      <c r="G159" s="6">
        <v>1.3162158423916726</v>
      </c>
      <c r="H159" s="6">
        <v>0.66563160937170729</v>
      </c>
      <c r="I159" s="6">
        <v>0.94753462734205607</v>
      </c>
      <c r="J159" s="6">
        <v>1.0212960555877328</v>
      </c>
      <c r="K159" s="6">
        <v>-0.98502003098796342</v>
      </c>
      <c r="L159" s="6">
        <v>9.1544620291523184</v>
      </c>
      <c r="N159" s="8">
        <f t="shared" si="6"/>
        <v>11.257340987172118</v>
      </c>
      <c r="O159" s="8">
        <f t="shared" si="7"/>
        <v>9.4222223564702414</v>
      </c>
      <c r="P159" s="12">
        <f t="shared" si="8"/>
        <v>1</v>
      </c>
      <c r="Q159" s="11">
        <f>IF(P159=Sheet1!M159, 1, 0)</f>
        <v>0</v>
      </c>
    </row>
    <row r="160" spans="1:17" x14ac:dyDescent="0.35">
      <c r="A160" s="6" t="s">
        <v>176</v>
      </c>
      <c r="B160" s="6" t="s">
        <v>181</v>
      </c>
      <c r="C160" s="6">
        <v>-1.0686722936405657</v>
      </c>
      <c r="D160" s="6">
        <v>1.4383173595691123</v>
      </c>
      <c r="E160" s="6">
        <v>3.8593527274535977</v>
      </c>
      <c r="F160" s="6">
        <v>1.8231024973567014</v>
      </c>
      <c r="G160" s="6">
        <v>1.1710404084995587</v>
      </c>
      <c r="H160" s="6">
        <v>1.1067731846678317</v>
      </c>
      <c r="I160" s="6">
        <v>0.94753462734205607</v>
      </c>
      <c r="J160" s="6">
        <v>1.5185623371292858</v>
      </c>
      <c r="K160" s="6">
        <v>-0.97876042635875427</v>
      </c>
      <c r="L160" s="6">
        <v>6.386729963153571</v>
      </c>
      <c r="N160" s="8">
        <f t="shared" si="6"/>
        <v>9.6720984465562037</v>
      </c>
      <c r="O160" s="8">
        <f t="shared" si="7"/>
        <v>6.8691794933872252</v>
      </c>
      <c r="P160" s="12">
        <f t="shared" si="8"/>
        <v>1</v>
      </c>
      <c r="Q160" s="11">
        <f>IF(P160=Sheet1!M160, 1, 0)</f>
        <v>0</v>
      </c>
    </row>
    <row r="161" spans="1:17" x14ac:dyDescent="0.35">
      <c r="A161" s="6" t="s">
        <v>176</v>
      </c>
      <c r="B161" s="6" t="s">
        <v>182</v>
      </c>
      <c r="C161" s="6">
        <v>-0.67545991765082591</v>
      </c>
      <c r="D161" s="6">
        <v>1.4567306876592383</v>
      </c>
      <c r="E161" s="6">
        <v>3.1082014368426782</v>
      </c>
      <c r="F161" s="6">
        <v>1.6305195589599693</v>
      </c>
      <c r="G161" s="6">
        <v>1.0723211134529202</v>
      </c>
      <c r="H161" s="6">
        <v>0.72218822158915907</v>
      </c>
      <c r="I161" s="6">
        <v>0.94753462734205607</v>
      </c>
      <c r="J161" s="6">
        <v>1.8146445505662405</v>
      </c>
      <c r="K161" s="6">
        <v>-0.57501592777475252</v>
      </c>
      <c r="L161" s="6">
        <v>6.4551088266199272</v>
      </c>
      <c r="N161" s="8">
        <f t="shared" si="6"/>
        <v>9.1567968226618746</v>
      </c>
      <c r="O161" s="8">
        <f t="shared" si="7"/>
        <v>6.8512872426523099</v>
      </c>
      <c r="P161" s="12">
        <f t="shared" si="8"/>
        <v>1</v>
      </c>
      <c r="Q161" s="11">
        <f>IF(P161=Sheet1!M161, 1, 0)</f>
        <v>0</v>
      </c>
    </row>
    <row r="162" spans="1:17" x14ac:dyDescent="0.35">
      <c r="A162" s="6" t="s">
        <v>183</v>
      </c>
      <c r="B162" s="6" t="s">
        <v>184</v>
      </c>
      <c r="C162" s="6">
        <v>-0.5560199809167411</v>
      </c>
      <c r="D162" s="6">
        <v>-7.771331985118908E-2</v>
      </c>
      <c r="E162" s="6">
        <v>3.139144214802362E-2</v>
      </c>
      <c r="F162" s="6">
        <v>0.10372202335067403</v>
      </c>
      <c r="G162" s="6">
        <v>0.49452288656230869</v>
      </c>
      <c r="H162" s="6">
        <v>-0.71596563194033092</v>
      </c>
      <c r="I162" s="6">
        <v>0.42670052434855654</v>
      </c>
      <c r="J162" s="6">
        <v>2.7180748941302828</v>
      </c>
      <c r="K162" s="6">
        <v>-1.0820439027407085</v>
      </c>
      <c r="L162" s="6">
        <v>2.875542472386635</v>
      </c>
      <c r="N162" s="8">
        <f t="shared" si="6"/>
        <v>5.164197776826569</v>
      </c>
      <c r="O162" s="8">
        <f t="shared" si="7"/>
        <v>5.7821115963353087</v>
      </c>
      <c r="P162" s="12">
        <f t="shared" si="8"/>
        <v>0</v>
      </c>
      <c r="Q162" s="11">
        <f>IF(P162=Sheet1!M162, 1, 0)</f>
        <v>1</v>
      </c>
    </row>
    <row r="163" spans="1:17" x14ac:dyDescent="0.35">
      <c r="A163" s="6" t="s">
        <v>183</v>
      </c>
      <c r="B163" s="6" t="s">
        <v>185</v>
      </c>
      <c r="C163" s="6">
        <v>-0.61372691664219781</v>
      </c>
      <c r="D163" s="6">
        <v>-0.82038421948623641</v>
      </c>
      <c r="E163" s="6">
        <v>-0.5433000798495411</v>
      </c>
      <c r="F163" s="6">
        <v>-0.44013219468169812</v>
      </c>
      <c r="G163" s="6">
        <v>0.45097025639467292</v>
      </c>
      <c r="H163" s="6">
        <v>-0.69226571824920835</v>
      </c>
      <c r="I163" s="6">
        <v>-0.24203261401151765</v>
      </c>
      <c r="J163" s="6">
        <v>1.6893789987275287</v>
      </c>
      <c r="K163" s="6">
        <v>-0.70959742730275266</v>
      </c>
      <c r="L163" s="6">
        <v>0.54263195304847733</v>
      </c>
      <c r="N163" s="8">
        <f t="shared" si="6"/>
        <v>3.4726796270733962</v>
      </c>
      <c r="O163" s="8">
        <f t="shared" si="7"/>
        <v>5.9145144332128723</v>
      </c>
      <c r="P163" s="12">
        <f t="shared" si="8"/>
        <v>0</v>
      </c>
      <c r="Q163" s="11">
        <f>IF(P163=Sheet1!M163, 1, 0)</f>
        <v>1</v>
      </c>
    </row>
    <row r="164" spans="1:17" x14ac:dyDescent="0.35">
      <c r="A164" s="6" t="s">
        <v>183</v>
      </c>
      <c r="B164" s="6" t="s">
        <v>186</v>
      </c>
      <c r="C164" s="6">
        <v>-0.14670334379431585</v>
      </c>
      <c r="D164" s="6">
        <v>-0.76514423521586061</v>
      </c>
      <c r="E164" s="6">
        <v>-0.8372768968713723</v>
      </c>
      <c r="F164" s="6">
        <v>-0.67277238426494923</v>
      </c>
      <c r="G164" s="6">
        <v>0.1925579840667101</v>
      </c>
      <c r="H164" s="6">
        <v>-1.0062895746565834</v>
      </c>
      <c r="I164" s="6">
        <v>7.0977844458259623E-2</v>
      </c>
      <c r="J164" s="6">
        <v>1.6172564082749372</v>
      </c>
      <c r="K164" s="6">
        <v>-0.2323025743255428</v>
      </c>
      <c r="L164" s="6">
        <v>0.22845441766329597</v>
      </c>
      <c r="N164" s="8">
        <f t="shared" si="6"/>
        <v>2.8965930249213017</v>
      </c>
      <c r="O164" s="8">
        <f t="shared" si="7"/>
        <v>6.2448716011551717</v>
      </c>
      <c r="P164" s="12">
        <f t="shared" si="8"/>
        <v>0</v>
      </c>
      <c r="Q164" s="11">
        <f>IF(P164=Sheet1!M164, 1, 0)</f>
        <v>1</v>
      </c>
    </row>
    <row r="165" spans="1:17" x14ac:dyDescent="0.35">
      <c r="A165" s="6" t="s">
        <v>183</v>
      </c>
      <c r="B165" s="6" t="s">
        <v>187</v>
      </c>
      <c r="C165" s="6">
        <v>-0.68753811350034011</v>
      </c>
      <c r="D165" s="6">
        <v>0.38875765843198068</v>
      </c>
      <c r="E165" s="6">
        <v>-6.5529339838668712E-3</v>
      </c>
      <c r="F165" s="6">
        <v>0.43188335037870729</v>
      </c>
      <c r="G165" s="6">
        <v>1.1797509345330859</v>
      </c>
      <c r="H165" s="6">
        <v>-0.68364756781607228</v>
      </c>
      <c r="I165" s="6">
        <v>0.88824751402700619</v>
      </c>
      <c r="J165" s="6">
        <v>1.2376638269455078</v>
      </c>
      <c r="K165" s="6">
        <v>-0.67986430531400877</v>
      </c>
      <c r="L165" s="6">
        <v>1.295137407202702</v>
      </c>
      <c r="N165" s="8">
        <f t="shared" si="6"/>
        <v>4.0513706736930848</v>
      </c>
      <c r="O165" s="8">
        <f t="shared" si="7"/>
        <v>4.6328788952269768</v>
      </c>
      <c r="P165" s="12">
        <f t="shared" si="8"/>
        <v>0</v>
      </c>
      <c r="Q165" s="11">
        <f>IF(P165=Sheet1!M165, 1, 0)</f>
        <v>1</v>
      </c>
    </row>
    <row r="166" spans="1:17" x14ac:dyDescent="0.35">
      <c r="A166" s="6" t="s">
        <v>183</v>
      </c>
      <c r="B166" s="6" t="s">
        <v>188</v>
      </c>
      <c r="C166" s="6">
        <v>-0.21783049713034378</v>
      </c>
      <c r="D166" s="6">
        <v>-0.55645985019444255</v>
      </c>
      <c r="E166" s="6">
        <v>-0.87080056898789693</v>
      </c>
      <c r="F166" s="6">
        <v>-0.53565333212647581</v>
      </c>
      <c r="G166" s="6">
        <v>0.56130358615268228</v>
      </c>
      <c r="H166" s="6">
        <v>-1.8029298553195483</v>
      </c>
      <c r="I166" s="6">
        <v>-0.49639345500834353</v>
      </c>
      <c r="J166" s="6">
        <v>1.3743171562241023</v>
      </c>
      <c r="K166" s="6">
        <v>-1.0491809784373596</v>
      </c>
      <c r="L166" s="6">
        <v>0.37646791478787001</v>
      </c>
      <c r="N166" s="8">
        <f t="shared" si="6"/>
        <v>3.5251403748737244</v>
      </c>
      <c r="O166" s="8">
        <f t="shared" si="7"/>
        <v>6.4628102592894505</v>
      </c>
      <c r="P166" s="12">
        <f t="shared" si="8"/>
        <v>0</v>
      </c>
      <c r="Q166" s="11">
        <f>IF(P166=Sheet1!M166, 1, 0)</f>
        <v>1</v>
      </c>
    </row>
    <row r="167" spans="1:17" x14ac:dyDescent="0.35">
      <c r="A167" s="6" t="s">
        <v>183</v>
      </c>
      <c r="B167" s="6" t="s">
        <v>189</v>
      </c>
      <c r="C167" s="6">
        <v>-0.15072940907748716</v>
      </c>
      <c r="D167" s="6">
        <v>-0.58714873034465098</v>
      </c>
      <c r="E167" s="6">
        <v>-0.91942831315692164</v>
      </c>
      <c r="F167" s="6">
        <v>-0.62038982502103757</v>
      </c>
      <c r="G167" s="6">
        <v>3.8299200069645666E-3</v>
      </c>
      <c r="H167" s="6">
        <v>-1.5002173213556629</v>
      </c>
      <c r="I167" s="6">
        <v>7.8657560906266067E-3</v>
      </c>
      <c r="J167" s="6">
        <v>0.41774385127394009</v>
      </c>
      <c r="K167" s="6">
        <v>-0.20100455117949576</v>
      </c>
      <c r="L167" s="6">
        <v>6.7185789635758039E-2</v>
      </c>
      <c r="N167" s="8">
        <f t="shared" si="6"/>
        <v>2.4984981634864933</v>
      </c>
      <c r="O167" s="8">
        <f t="shared" si="7"/>
        <v>6.4641760893846527</v>
      </c>
      <c r="P167" s="12">
        <f t="shared" si="8"/>
        <v>0</v>
      </c>
      <c r="Q167" s="11">
        <f>IF(P167=Sheet1!M167, 1, 0)</f>
        <v>1</v>
      </c>
    </row>
    <row r="168" spans="1:17" x14ac:dyDescent="0.35">
      <c r="A168" s="6" t="s">
        <v>183</v>
      </c>
      <c r="B168" s="6" t="s">
        <v>190</v>
      </c>
      <c r="C168" s="6">
        <v>-0.57749232909365533</v>
      </c>
      <c r="D168" s="6">
        <v>-0.32936213708289924</v>
      </c>
      <c r="E168" s="6">
        <v>-0.39262775132582062</v>
      </c>
      <c r="F168" s="6">
        <v>0.15456391908741327</v>
      </c>
      <c r="G168" s="6">
        <v>0.68615445929989805</v>
      </c>
      <c r="H168" s="6">
        <v>-0.57161161218531054</v>
      </c>
      <c r="I168" s="6">
        <v>0.31768873534991754</v>
      </c>
      <c r="J168" s="6">
        <v>1.9201181156748245E-4</v>
      </c>
      <c r="K168" s="6">
        <v>5.72041397753872E-2</v>
      </c>
      <c r="L168" s="6">
        <v>1.6942861687715773E-2</v>
      </c>
      <c r="N168" s="8">
        <f t="shared" si="6"/>
        <v>2.905537171374287</v>
      </c>
      <c r="O168" s="8">
        <f t="shared" si="7"/>
        <v>5.4007124531045241</v>
      </c>
      <c r="P168" s="12">
        <f t="shared" si="8"/>
        <v>0</v>
      </c>
      <c r="Q168" s="11">
        <f>IF(P168=Sheet1!M168, 1, 0)</f>
        <v>1</v>
      </c>
    </row>
    <row r="169" spans="1:17" x14ac:dyDescent="0.35">
      <c r="A169" s="6" t="s">
        <v>183</v>
      </c>
      <c r="B169" s="6" t="s">
        <v>191</v>
      </c>
      <c r="C169" s="6">
        <v>0.11096483432865353</v>
      </c>
      <c r="D169" s="6">
        <v>-0.39073989738331666</v>
      </c>
      <c r="E169" s="6">
        <v>-0.3373689511337471</v>
      </c>
      <c r="F169" s="6">
        <v>-3.3397028787799446E-2</v>
      </c>
      <c r="G169" s="6">
        <v>1.1971719866001402</v>
      </c>
      <c r="H169" s="6">
        <v>0.20348329239481522</v>
      </c>
      <c r="I169" s="6">
        <v>0.59053695576756482</v>
      </c>
      <c r="J169" s="6">
        <v>2.5130949002123906</v>
      </c>
      <c r="K169" s="6">
        <v>-0.8833014557633122</v>
      </c>
      <c r="L169" s="6">
        <v>-9.363169405390992E-2</v>
      </c>
      <c r="N169" s="8">
        <f t="shared" si="6"/>
        <v>3.9678305478335747</v>
      </c>
      <c r="O169" s="8">
        <f t="shared" si="7"/>
        <v>5.1395915512288157</v>
      </c>
      <c r="P169" s="12">
        <f t="shared" si="8"/>
        <v>0</v>
      </c>
      <c r="Q169" s="11">
        <f>IF(P169=Sheet1!M169, 1, 0)</f>
        <v>1</v>
      </c>
    </row>
    <row r="170" spans="1:17" x14ac:dyDescent="0.35">
      <c r="A170" s="6" t="s">
        <v>183</v>
      </c>
      <c r="B170" s="6" t="s">
        <v>192</v>
      </c>
      <c r="C170" s="6">
        <v>3.6030934440831001E-3</v>
      </c>
      <c r="D170" s="6">
        <v>-0.82038421948623641</v>
      </c>
      <c r="E170" s="6">
        <v>1.5918978094243034E-2</v>
      </c>
      <c r="F170" s="6">
        <v>-0.12429617571105542</v>
      </c>
      <c r="G170" s="6">
        <v>0.73261059814537755</v>
      </c>
      <c r="H170" s="6">
        <v>0.33437145209806052</v>
      </c>
      <c r="I170" s="6">
        <v>0.72696106597638843</v>
      </c>
      <c r="J170" s="6">
        <v>2.0196245444841328</v>
      </c>
      <c r="K170" s="6">
        <v>-0.77845307822405707</v>
      </c>
      <c r="L170" s="6">
        <v>0.25417695817825253</v>
      </c>
      <c r="N170" s="8">
        <f t="shared" si="6"/>
        <v>3.7370053363144811</v>
      </c>
      <c r="O170" s="8">
        <f t="shared" si="7"/>
        <v>5.14141882290052</v>
      </c>
      <c r="P170" s="12">
        <f t="shared" si="8"/>
        <v>0</v>
      </c>
      <c r="Q170" s="11">
        <f>IF(P170=Sheet1!M170, 1, 0)</f>
        <v>1</v>
      </c>
    </row>
    <row r="171" spans="1:17" x14ac:dyDescent="0.35">
      <c r="A171" s="6" t="s">
        <v>183</v>
      </c>
      <c r="B171" s="6" t="s">
        <v>193</v>
      </c>
      <c r="C171" s="6">
        <v>7.6291587272544108E-3</v>
      </c>
      <c r="D171" s="6">
        <v>-0.69149092285536051</v>
      </c>
      <c r="E171" s="6">
        <v>-0.2703216069006979</v>
      </c>
      <c r="F171" s="6">
        <v>-0.32612309515083121</v>
      </c>
      <c r="G171" s="6">
        <v>0.23320710555650215</v>
      </c>
      <c r="H171" s="6">
        <v>0.18247655071404736</v>
      </c>
      <c r="I171" s="6">
        <v>0.74353595787091786</v>
      </c>
      <c r="J171" s="6">
        <v>0.24692718967569677</v>
      </c>
      <c r="K171" s="6">
        <v>-0.28707411483112566</v>
      </c>
      <c r="L171" s="6">
        <v>1.7231630839184574E-2</v>
      </c>
      <c r="N171" s="8">
        <f t="shared" si="6"/>
        <v>2.6037251494725004</v>
      </c>
      <c r="O171" s="8">
        <f t="shared" si="7"/>
        <v>5.4745355081855918</v>
      </c>
      <c r="P171" s="12">
        <f t="shared" si="8"/>
        <v>0</v>
      </c>
      <c r="Q171" s="11">
        <f>IF(P171=Sheet1!M171, 1, 0)</f>
        <v>1</v>
      </c>
    </row>
    <row r="172" spans="1:17" x14ac:dyDescent="0.35">
      <c r="A172" s="6" t="s">
        <v>183</v>
      </c>
      <c r="B172" s="6" t="s">
        <v>194</v>
      </c>
      <c r="C172" s="6">
        <v>-0.20977836656400092</v>
      </c>
      <c r="D172" s="6">
        <v>5.1179976779686241E-2</v>
      </c>
      <c r="E172" s="6">
        <v>-2.3130574041488931E-2</v>
      </c>
      <c r="F172" s="6">
        <v>0.28860164421153744</v>
      </c>
      <c r="G172" s="6">
        <v>0.86036497997043715</v>
      </c>
      <c r="H172" s="6">
        <v>0.57460239542171354</v>
      </c>
      <c r="I172" s="6">
        <v>0.57523705555722882</v>
      </c>
      <c r="J172" s="6">
        <v>1.5641134468888169</v>
      </c>
      <c r="K172" s="6">
        <v>-0.14936281298851917</v>
      </c>
      <c r="L172" s="6">
        <v>5.1205028979234367E-2</v>
      </c>
      <c r="N172" s="8">
        <f t="shared" si="6"/>
        <v>3.3486096450175418</v>
      </c>
      <c r="O172" s="8">
        <f t="shared" si="7"/>
        <v>4.3755223485328001</v>
      </c>
      <c r="P172" s="12">
        <f t="shared" si="8"/>
        <v>0</v>
      </c>
      <c r="Q172" s="11">
        <f>IF(P172=Sheet1!M172, 1, 0)</f>
        <v>1</v>
      </c>
    </row>
    <row r="173" spans="1:17" x14ac:dyDescent="0.35">
      <c r="A173" s="6" t="s">
        <v>183</v>
      </c>
      <c r="B173" s="6" t="s">
        <v>195</v>
      </c>
      <c r="C173" s="6">
        <v>0.10291270376231068</v>
      </c>
      <c r="D173" s="6">
        <v>-1.1763752292286556</v>
      </c>
      <c r="E173" s="6">
        <v>-0.18964375862027052</v>
      </c>
      <c r="F173" s="6">
        <v>-0.35231437477278704</v>
      </c>
      <c r="G173" s="6">
        <v>0.6338913030987392</v>
      </c>
      <c r="H173" s="6">
        <v>0.67586566301105566</v>
      </c>
      <c r="I173" s="6">
        <v>0.81684797971210843</v>
      </c>
      <c r="J173" s="6">
        <v>1.2300719753189193</v>
      </c>
      <c r="K173" s="6">
        <v>6.1898843247294361E-2</v>
      </c>
      <c r="L173" s="6">
        <v>0.7852512598936161</v>
      </c>
      <c r="N173" s="8">
        <f t="shared" si="6"/>
        <v>3.5271096881031565</v>
      </c>
      <c r="O173" s="8">
        <f t="shared" si="7"/>
        <v>5.6974269498377312</v>
      </c>
      <c r="P173" s="12">
        <f t="shared" si="8"/>
        <v>0</v>
      </c>
      <c r="Q173" s="11">
        <f>IF(P173=Sheet1!M173, 1, 0)</f>
        <v>1</v>
      </c>
    </row>
    <row r="174" spans="1:17" x14ac:dyDescent="0.35">
      <c r="A174" s="6" t="s">
        <v>183</v>
      </c>
      <c r="B174" s="6" t="s">
        <v>196</v>
      </c>
      <c r="C174" s="6">
        <v>-0.30103584631588609</v>
      </c>
      <c r="D174" s="6">
        <v>-0.81424644345619435</v>
      </c>
      <c r="E174" s="6">
        <v>0.19495749071656129</v>
      </c>
      <c r="F174" s="6">
        <v>-0.12275551220388296</v>
      </c>
      <c r="G174" s="6">
        <v>0.84875094525906614</v>
      </c>
      <c r="H174" s="6">
        <v>0.4641823429971641</v>
      </c>
      <c r="I174" s="6">
        <v>0.86784764707989281</v>
      </c>
      <c r="J174" s="6">
        <v>1.7880730698731804</v>
      </c>
      <c r="K174" s="6">
        <v>-0.26360059747158981</v>
      </c>
      <c r="L174" s="6">
        <v>0.14750036808109171</v>
      </c>
      <c r="N174" s="8">
        <f t="shared" si="6"/>
        <v>3.7656482586918969</v>
      </c>
      <c r="O174" s="8">
        <f t="shared" si="7"/>
        <v>5.0310448905176974</v>
      </c>
      <c r="P174" s="12">
        <f t="shared" si="8"/>
        <v>0</v>
      </c>
      <c r="Q174" s="11">
        <f>IF(P174=Sheet1!M174, 1, 0)</f>
        <v>1</v>
      </c>
    </row>
    <row r="175" spans="1:17" x14ac:dyDescent="0.35">
      <c r="A175" s="6" t="s">
        <v>183</v>
      </c>
      <c r="B175" s="6" t="s">
        <v>197</v>
      </c>
      <c r="C175" s="6">
        <v>-0.46207845764274191</v>
      </c>
      <c r="D175" s="6">
        <v>-0.20660661648206549</v>
      </c>
      <c r="E175" s="6">
        <v>0.49519697176016081</v>
      </c>
      <c r="F175" s="6">
        <v>0.16226723662328213</v>
      </c>
      <c r="G175" s="6">
        <v>0.44225973036114985</v>
      </c>
      <c r="H175" s="6">
        <v>-0.24735370213858687</v>
      </c>
      <c r="I175" s="6">
        <v>-0.23183268053796097</v>
      </c>
      <c r="J175" s="6">
        <v>2.1410941705095494</v>
      </c>
      <c r="K175" s="6">
        <v>-1.3042598670776384</v>
      </c>
      <c r="L175" s="6">
        <v>0.51978596700351043</v>
      </c>
      <c r="N175" s="8">
        <f t="shared" si="6"/>
        <v>3.982771474570642</v>
      </c>
      <c r="O175" s="8">
        <f t="shared" si="7"/>
        <v>4.6618952633022612</v>
      </c>
      <c r="P175" s="12">
        <f t="shared" si="8"/>
        <v>0</v>
      </c>
      <c r="Q175" s="11">
        <f>IF(P175=Sheet1!M175, 1, 0)</f>
        <v>1</v>
      </c>
    </row>
    <row r="176" spans="1:17" x14ac:dyDescent="0.35">
      <c r="A176" s="6" t="s">
        <v>183</v>
      </c>
      <c r="B176" s="6" t="s">
        <v>198</v>
      </c>
      <c r="C176" s="6">
        <v>-0.44597419651005643</v>
      </c>
      <c r="D176" s="6">
        <v>-0.40301544944339984</v>
      </c>
      <c r="E176" s="6">
        <v>0.44104334757192876</v>
      </c>
      <c r="F176" s="6">
        <v>0.15610458259458573</v>
      </c>
      <c r="G176" s="6">
        <v>0.77616322831300921</v>
      </c>
      <c r="H176" s="6">
        <v>-6.5914599008273019E-4</v>
      </c>
      <c r="I176" s="6">
        <v>0.73269852855526352</v>
      </c>
      <c r="J176" s="6">
        <v>2.5700337874118051</v>
      </c>
      <c r="K176" s="6">
        <v>-0.82540011294312643</v>
      </c>
      <c r="L176" s="6">
        <v>3.0293057143532587</v>
      </c>
      <c r="N176" s="8">
        <f t="shared" si="6"/>
        <v>5.3963471573477948</v>
      </c>
      <c r="O176" s="8">
        <f t="shared" si="7"/>
        <v>5.6184422219800689</v>
      </c>
      <c r="P176" s="12">
        <f t="shared" si="8"/>
        <v>0</v>
      </c>
      <c r="Q176" s="11">
        <f>IF(P176=Sheet1!M176, 1, 0)</f>
        <v>1</v>
      </c>
    </row>
    <row r="177" spans="1:17" x14ac:dyDescent="0.35">
      <c r="A177" s="6" t="s">
        <v>183</v>
      </c>
      <c r="B177" s="6" t="s">
        <v>199</v>
      </c>
      <c r="C177" s="6">
        <v>-0.94789033514542376</v>
      </c>
      <c r="D177" s="6">
        <v>0.5299265071229402</v>
      </c>
      <c r="E177" s="6">
        <v>0.37436439534016003</v>
      </c>
      <c r="F177" s="6">
        <v>0.69687747361261076</v>
      </c>
      <c r="G177" s="6">
        <v>1.2058825126336674</v>
      </c>
      <c r="H177" s="6">
        <v>0.20563783000309868</v>
      </c>
      <c r="I177" s="6">
        <v>0.63006169797759715</v>
      </c>
      <c r="J177" s="6">
        <v>1.9095426958985979</v>
      </c>
      <c r="K177" s="6">
        <v>-0.56249671851633409</v>
      </c>
      <c r="L177" s="6">
        <v>4.8030228582441232</v>
      </c>
      <c r="N177" s="8">
        <f t="shared" si="6"/>
        <v>6.6894023921837293</v>
      </c>
      <c r="O177" s="8">
        <f t="shared" si="7"/>
        <v>6.1907368866167101</v>
      </c>
      <c r="P177" s="12">
        <f t="shared" si="8"/>
        <v>1</v>
      </c>
      <c r="Q177" s="11">
        <f>IF(P177=Sheet1!M177, 1, 0)</f>
        <v>0</v>
      </c>
    </row>
    <row r="178" spans="1:17" x14ac:dyDescent="0.35">
      <c r="A178" s="6" t="s">
        <v>183</v>
      </c>
      <c r="B178" s="6" t="s">
        <v>200</v>
      </c>
      <c r="C178" s="6">
        <v>-0.13059908266163012</v>
      </c>
      <c r="D178" s="6">
        <v>-0.14522885618164863</v>
      </c>
      <c r="E178" s="6">
        <v>-0.65529124823881013</v>
      </c>
      <c r="F178" s="6">
        <v>-0.25217124680648539</v>
      </c>
      <c r="G178" s="6">
        <v>0.83132989319201189</v>
      </c>
      <c r="H178" s="6">
        <v>-0.72296787916725325</v>
      </c>
      <c r="I178" s="6">
        <v>0.46750025824278418</v>
      </c>
      <c r="J178" s="6">
        <v>2.5017071227725078</v>
      </c>
      <c r="K178" s="6">
        <v>-1.3637261110551273</v>
      </c>
      <c r="L178" s="6">
        <v>0.20346959666076761</v>
      </c>
      <c r="N178" s="8">
        <f t="shared" si="6"/>
        <v>3.8539314048038249</v>
      </c>
      <c r="O178" s="8">
        <f t="shared" si="7"/>
        <v>5.5073654499214983</v>
      </c>
      <c r="P178" s="12">
        <f t="shared" si="8"/>
        <v>0</v>
      </c>
      <c r="Q178" s="11">
        <f>IF(P178=Sheet1!M178, 1, 0)</f>
        <v>1</v>
      </c>
    </row>
    <row r="179" spans="1:17" x14ac:dyDescent="0.35">
      <c r="A179" s="6" t="s">
        <v>183</v>
      </c>
      <c r="B179" s="6" t="s">
        <v>201</v>
      </c>
      <c r="C179" s="6">
        <v>-0.35203267323605703</v>
      </c>
      <c r="D179" s="6">
        <v>-0.36005101723310823</v>
      </c>
      <c r="E179" s="6">
        <v>-0.46409579957423575</v>
      </c>
      <c r="F179" s="6">
        <v>-0.25371191031366003</v>
      </c>
      <c r="G179" s="6">
        <v>0.56420709483052189</v>
      </c>
      <c r="H179" s="6">
        <v>0.23095364690043418</v>
      </c>
      <c r="I179" s="6">
        <v>-0.27773238116896698</v>
      </c>
      <c r="J179" s="6">
        <v>-0.68687056039469974</v>
      </c>
      <c r="K179" s="6">
        <v>0.82713550916813339</v>
      </c>
      <c r="L179" s="6">
        <v>-0.29130364367754757</v>
      </c>
      <c r="N179" s="8">
        <f t="shared" si="6"/>
        <v>2.8621128541961438</v>
      </c>
      <c r="O179" s="8">
        <f t="shared" si="7"/>
        <v>5.9495721961622108</v>
      </c>
      <c r="P179" s="12">
        <f t="shared" si="8"/>
        <v>0</v>
      </c>
      <c r="Q179" s="11">
        <f>IF(P179=Sheet1!M179, 1, 0)</f>
        <v>1</v>
      </c>
    </row>
    <row r="180" spans="1:17" x14ac:dyDescent="0.35">
      <c r="A180" s="6" t="s">
        <v>183</v>
      </c>
      <c r="B180" s="6" t="s">
        <v>202</v>
      </c>
      <c r="C180" s="6">
        <v>-0.67545991765082591</v>
      </c>
      <c r="D180" s="6">
        <v>1.2848729588180696</v>
      </c>
      <c r="E180" s="6">
        <v>0.51251139582034388</v>
      </c>
      <c r="F180" s="6">
        <v>1.0265794641478165</v>
      </c>
      <c r="G180" s="6">
        <v>1.2087860213115069</v>
      </c>
      <c r="H180" s="6">
        <v>-9.9767875971141382E-2</v>
      </c>
      <c r="I180" s="6">
        <v>0.82896040071195709</v>
      </c>
      <c r="J180" s="6">
        <v>2.5548500841586277</v>
      </c>
      <c r="K180" s="6">
        <v>-1.2041061930102892</v>
      </c>
      <c r="L180" s="6">
        <v>0.23837869461065275</v>
      </c>
      <c r="N180" s="8">
        <f t="shared" si="6"/>
        <v>4.7712103102017673</v>
      </c>
      <c r="O180" s="8">
        <f t="shared" si="7"/>
        <v>3.3390917036885632</v>
      </c>
      <c r="P180" s="12">
        <f t="shared" si="8"/>
        <v>1</v>
      </c>
      <c r="Q180" s="11">
        <f>IF(P180=Sheet1!M180, 1, 0)</f>
        <v>0</v>
      </c>
    </row>
    <row r="181" spans="1:17" x14ac:dyDescent="0.35">
      <c r="A181" s="6" t="s">
        <v>183</v>
      </c>
      <c r="B181" s="6" t="s">
        <v>203</v>
      </c>
      <c r="C181" s="6">
        <v>-0.53991571978405561</v>
      </c>
      <c r="D181" s="6">
        <v>0.84295308465506735</v>
      </c>
      <c r="E181" s="6">
        <v>0.22737598682924443</v>
      </c>
      <c r="F181" s="6">
        <v>0.71998742622021727</v>
      </c>
      <c r="G181" s="6">
        <v>0.84875094525906614</v>
      </c>
      <c r="H181" s="6">
        <v>-2.0232313257665746</v>
      </c>
      <c r="I181" s="6">
        <v>0.84362280508019538</v>
      </c>
      <c r="J181" s="6">
        <v>2.1714615770159038</v>
      </c>
      <c r="K181" s="6">
        <v>-1.9724726612457335</v>
      </c>
      <c r="L181" s="6">
        <v>-0.2739969269563417</v>
      </c>
      <c r="N181" s="8">
        <f t="shared" si="6"/>
        <v>4.7244834476857163</v>
      </c>
      <c r="O181" s="8">
        <f t="shared" si="7"/>
        <v>4.8200848761755104</v>
      </c>
      <c r="P181" s="12">
        <f t="shared" si="8"/>
        <v>0</v>
      </c>
      <c r="Q181" s="11">
        <f>IF(P181=Sheet1!M181, 1, 0)</f>
        <v>1</v>
      </c>
    </row>
    <row r="182" spans="1:17" x14ac:dyDescent="0.35">
      <c r="A182" s="6" t="s">
        <v>183</v>
      </c>
      <c r="B182" s="6" t="s">
        <v>204</v>
      </c>
      <c r="C182" s="6">
        <v>-1.0606201630742229</v>
      </c>
      <c r="D182" s="6">
        <v>1.5672106561999888</v>
      </c>
      <c r="E182" s="6">
        <v>2.4576211625813325</v>
      </c>
      <c r="F182" s="6">
        <v>1.8539157675001769</v>
      </c>
      <c r="G182" s="6">
        <v>1.3946105766934129</v>
      </c>
      <c r="H182" s="6">
        <v>-1.5244558694488566</v>
      </c>
      <c r="I182" s="6">
        <v>0.91629733107928835</v>
      </c>
      <c r="J182" s="6">
        <v>2.4295845323199168</v>
      </c>
      <c r="K182" s="6">
        <v>-0.65013118332526487</v>
      </c>
      <c r="L182" s="6">
        <v>3.7287151094048494</v>
      </c>
      <c r="N182" s="8">
        <f t="shared" si="6"/>
        <v>7.4591129804057781</v>
      </c>
      <c r="O182" s="8">
        <f t="shared" si="7"/>
        <v>5.1039915734262991</v>
      </c>
      <c r="P182" s="12">
        <f t="shared" si="8"/>
        <v>1</v>
      </c>
      <c r="Q182" s="11">
        <f>IF(P182=Sheet1!M182, 1, 0)</f>
        <v>0</v>
      </c>
    </row>
    <row r="183" spans="1:17" x14ac:dyDescent="0.35">
      <c r="A183" s="6" t="s">
        <v>183</v>
      </c>
      <c r="B183" s="6" t="s">
        <v>205</v>
      </c>
      <c r="C183" s="6">
        <v>-0.30103584631588609</v>
      </c>
      <c r="D183" s="6">
        <v>1.0332241415863594</v>
      </c>
      <c r="E183" s="6">
        <v>0.54714024394070992</v>
      </c>
      <c r="F183" s="6">
        <v>0.82013055418651892</v>
      </c>
      <c r="G183" s="6">
        <v>0.80810182376927409</v>
      </c>
      <c r="H183" s="6">
        <v>0.83530144602406242</v>
      </c>
      <c r="I183" s="6">
        <v>0.90545990176363411</v>
      </c>
      <c r="J183" s="6">
        <v>2.0765634316835468</v>
      </c>
      <c r="K183" s="6">
        <v>-1.0319670657070339</v>
      </c>
      <c r="L183" s="6">
        <v>-0.10049512247078837</v>
      </c>
      <c r="N183" s="8">
        <f t="shared" si="6"/>
        <v>4.210366301409322</v>
      </c>
      <c r="O183" s="8">
        <f t="shared" si="7"/>
        <v>3.0918122288772683</v>
      </c>
      <c r="P183" s="12">
        <f t="shared" si="8"/>
        <v>1</v>
      </c>
      <c r="Q183" s="11">
        <f>IF(P183=Sheet1!M183, 1, 0)</f>
        <v>0</v>
      </c>
    </row>
    <row r="184" spans="1:17" x14ac:dyDescent="0.35">
      <c r="A184" s="6" t="s">
        <v>183</v>
      </c>
      <c r="B184" s="6" t="s">
        <v>206</v>
      </c>
      <c r="C184" s="6">
        <v>-1.010965357915109</v>
      </c>
      <c r="D184" s="6">
        <v>1.7636194891613237</v>
      </c>
      <c r="E184" s="6">
        <v>2.0549687051817567</v>
      </c>
      <c r="F184" s="6">
        <v>1.8523751039930043</v>
      </c>
      <c r="G184" s="6">
        <v>1.6065667101759002</v>
      </c>
      <c r="H184" s="6">
        <v>1.0954618622243415</v>
      </c>
      <c r="I184" s="6">
        <v>0.94753462734205607</v>
      </c>
      <c r="J184" s="6">
        <v>2.2094208351488476</v>
      </c>
      <c r="K184" s="6">
        <v>-0.73620074697689253</v>
      </c>
      <c r="L184" s="6">
        <v>0.99946844909034249</v>
      </c>
      <c r="N184" s="8">
        <f t="shared" si="6"/>
        <v>6.2293547002974989</v>
      </c>
      <c r="O184" s="8">
        <f t="shared" si="7"/>
        <v>2.1324278549455205</v>
      </c>
      <c r="P184" s="12">
        <f t="shared" si="8"/>
        <v>1</v>
      </c>
      <c r="Q184" s="11">
        <f>IF(P184=Sheet1!M184, 1, 0)</f>
        <v>0</v>
      </c>
    </row>
    <row r="185" spans="1:17" x14ac:dyDescent="0.35">
      <c r="A185" s="6" t="s">
        <v>183</v>
      </c>
      <c r="B185" s="6" t="s">
        <v>207</v>
      </c>
      <c r="C185" s="6">
        <v>-1.3008420583034497</v>
      </c>
      <c r="D185" s="6">
        <v>1.8556861296119496</v>
      </c>
      <c r="E185" s="6">
        <v>1.8770353685632797</v>
      </c>
      <c r="F185" s="6">
        <v>1.7630166205769209</v>
      </c>
      <c r="G185" s="6">
        <v>1.4410667155388925</v>
      </c>
      <c r="H185" s="6">
        <v>1.0696074109249347</v>
      </c>
      <c r="I185" s="6">
        <v>0.91693482692138517</v>
      </c>
      <c r="J185" s="6">
        <v>1.7842771440598861</v>
      </c>
      <c r="K185" s="6">
        <v>-1.0710895946395922</v>
      </c>
      <c r="L185" s="6">
        <v>0.58470214984446123</v>
      </c>
      <c r="N185" s="8">
        <f t="shared" si="6"/>
        <v>5.9930081232895107</v>
      </c>
      <c r="O185" s="8">
        <f t="shared" si="7"/>
        <v>1.8321249973957847</v>
      </c>
      <c r="P185" s="12">
        <f t="shared" si="8"/>
        <v>1</v>
      </c>
      <c r="Q185" s="11">
        <f>IF(P185=Sheet1!M185, 1, 0)</f>
        <v>0</v>
      </c>
    </row>
    <row r="186" spans="1:17" x14ac:dyDescent="0.35">
      <c r="A186" s="6" t="s">
        <v>183</v>
      </c>
      <c r="B186" s="6" t="s">
        <v>208</v>
      </c>
      <c r="C186" s="6">
        <v>-0.92910203049062401</v>
      </c>
      <c r="D186" s="6">
        <v>1.622450640470364</v>
      </c>
      <c r="E186" s="6">
        <v>0.62413417220833245</v>
      </c>
      <c r="F186" s="6">
        <v>1.2530569997023735</v>
      </c>
      <c r="G186" s="6">
        <v>1.322022859747356</v>
      </c>
      <c r="H186" s="6">
        <v>7.9058745516421031E-2</v>
      </c>
      <c r="I186" s="6">
        <v>0.81557298802791411</v>
      </c>
      <c r="J186" s="6">
        <v>3.0407285882602983</v>
      </c>
      <c r="K186" s="6">
        <v>-1.2009763906956852</v>
      </c>
      <c r="L186" s="6">
        <v>2.7408027076094358E-2</v>
      </c>
      <c r="N186" s="8">
        <f t="shared" si="6"/>
        <v>5.3125046148358344</v>
      </c>
      <c r="O186" s="8">
        <f t="shared" si="7"/>
        <v>3.2093740682049519</v>
      </c>
      <c r="P186" s="12">
        <f t="shared" si="8"/>
        <v>1</v>
      </c>
      <c r="Q186" s="11">
        <f>IF(P186=Sheet1!M186, 1, 0)</f>
        <v>0</v>
      </c>
    </row>
    <row r="187" spans="1:17" x14ac:dyDescent="0.35">
      <c r="A187" s="6" t="s">
        <v>183</v>
      </c>
      <c r="B187" s="6" t="s">
        <v>209</v>
      </c>
      <c r="C187" s="6">
        <v>0.11499089961182508</v>
      </c>
      <c r="D187" s="6">
        <v>0.66495757978385717</v>
      </c>
      <c r="E187" s="6">
        <v>-4.1181782104232956E-2</v>
      </c>
      <c r="F187" s="6">
        <v>0.52124183379479083</v>
      </c>
      <c r="G187" s="6">
        <v>0.77906673699085305</v>
      </c>
      <c r="H187" s="6">
        <v>-1.324083871878456</v>
      </c>
      <c r="I187" s="6">
        <v>0.59053695576756482</v>
      </c>
      <c r="J187" s="6">
        <v>0.98713272326808432</v>
      </c>
      <c r="K187" s="6">
        <v>-0.58127553240396279</v>
      </c>
      <c r="L187" s="6">
        <v>-0.12501126821518033</v>
      </c>
      <c r="N187" s="8">
        <f t="shared" si="6"/>
        <v>3.1325261775845017</v>
      </c>
      <c r="O187" s="8">
        <f t="shared" si="7"/>
        <v>4.6299659947611671</v>
      </c>
      <c r="P187" s="12">
        <f t="shared" si="8"/>
        <v>0</v>
      </c>
      <c r="Q187" s="11">
        <f>IF(P187=Sheet1!M187, 1, 0)</f>
        <v>1</v>
      </c>
    </row>
    <row r="188" spans="1:17" x14ac:dyDescent="0.35">
      <c r="A188" s="6" t="s">
        <v>183</v>
      </c>
      <c r="B188" s="6" t="s">
        <v>210</v>
      </c>
      <c r="C188" s="6">
        <v>-0.69290620054456864</v>
      </c>
      <c r="D188" s="6">
        <v>0.20462437753072898</v>
      </c>
      <c r="E188" s="6">
        <v>5.5705314232535975E-2</v>
      </c>
      <c r="F188" s="6">
        <v>0.30708960629762444</v>
      </c>
      <c r="G188" s="6">
        <v>0.44516323903898952</v>
      </c>
      <c r="H188" s="6">
        <v>0.25411492618948628</v>
      </c>
      <c r="I188" s="6">
        <v>0.76967328739690721</v>
      </c>
      <c r="J188" s="6">
        <v>0.39117237058087995</v>
      </c>
      <c r="K188" s="6">
        <v>-0.84417892683075513</v>
      </c>
      <c r="L188" s="6">
        <v>-0.38864350384400503</v>
      </c>
      <c r="N188" s="8">
        <f t="shared" si="6"/>
        <v>3.1375085308273403</v>
      </c>
      <c r="O188" s="8">
        <f t="shared" si="7"/>
        <v>4.3057126418291833</v>
      </c>
      <c r="P188" s="12">
        <f t="shared" si="8"/>
        <v>0</v>
      </c>
      <c r="Q188" s="11">
        <f>IF(P188=Sheet1!M188, 1, 0)</f>
        <v>1</v>
      </c>
    </row>
    <row r="189" spans="1:17" x14ac:dyDescent="0.35">
      <c r="A189" s="6" t="s">
        <v>211</v>
      </c>
      <c r="B189" s="6" t="s">
        <v>212</v>
      </c>
      <c r="C189" s="6">
        <v>-8.0944277502516343E-2</v>
      </c>
      <c r="D189" s="6">
        <v>-0.82652199551627803</v>
      </c>
      <c r="E189" s="6">
        <v>7.7072050306804418E-2</v>
      </c>
      <c r="F189" s="6">
        <v>7.5990080221545714E-2</v>
      </c>
      <c r="G189" s="6">
        <v>1.2320140907342489</v>
      </c>
      <c r="H189" s="6">
        <v>-4.2133994949547199E-2</v>
      </c>
      <c r="I189" s="6">
        <v>0.52487488403154214</v>
      </c>
      <c r="J189" s="6">
        <v>1.8639915861390666</v>
      </c>
      <c r="K189" s="6">
        <v>-1.0257074610778247</v>
      </c>
      <c r="L189" s="6">
        <v>1.4622440406291495</v>
      </c>
      <c r="N189" s="8">
        <f t="shared" si="6"/>
        <v>4.4005064215076706</v>
      </c>
      <c r="O189" s="8">
        <f t="shared" si="7"/>
        <v>5.3544992285768478</v>
      </c>
      <c r="P189" s="12">
        <f t="shared" si="8"/>
        <v>0</v>
      </c>
      <c r="Q189" s="11">
        <f>IF(P189=Sheet1!M189, 1, 0)</f>
        <v>1</v>
      </c>
    </row>
    <row r="190" spans="1:17" x14ac:dyDescent="0.35">
      <c r="A190" s="6" t="s">
        <v>211</v>
      </c>
      <c r="B190" s="6" t="s">
        <v>213</v>
      </c>
      <c r="C190" s="6">
        <v>0.18611805294785302</v>
      </c>
      <c r="D190" s="6">
        <v>-0.49508208989402569</v>
      </c>
      <c r="E190" s="6">
        <v>0.4498847556026605</v>
      </c>
      <c r="F190" s="6">
        <v>0.38720410867066446</v>
      </c>
      <c r="G190" s="6">
        <v>1.2029790039558237</v>
      </c>
      <c r="H190" s="6">
        <v>0.14908121778564698</v>
      </c>
      <c r="I190" s="6">
        <v>0.40502566571724791</v>
      </c>
      <c r="J190" s="6">
        <v>0.37598866732770275</v>
      </c>
      <c r="K190" s="6">
        <v>-0.68768881110052227</v>
      </c>
      <c r="L190" s="6">
        <v>0.39121179484228114</v>
      </c>
      <c r="N190" s="8">
        <f t="shared" si="6"/>
        <v>3.642203173520588</v>
      </c>
      <c r="O190" s="8">
        <f t="shared" si="7"/>
        <v>4.7254474914062889</v>
      </c>
      <c r="P190" s="12">
        <f t="shared" si="8"/>
        <v>0</v>
      </c>
      <c r="Q190" s="11">
        <f>IF(P190=Sheet1!M190, 1, 0)</f>
        <v>1</v>
      </c>
    </row>
    <row r="191" spans="1:17" x14ac:dyDescent="0.35">
      <c r="A191" s="6" t="s">
        <v>211</v>
      </c>
      <c r="B191" s="6" t="s">
        <v>214</v>
      </c>
      <c r="C191" s="6">
        <v>0.53235966730059292</v>
      </c>
      <c r="D191" s="6">
        <v>-0.72831757903561056</v>
      </c>
      <c r="E191" s="6">
        <v>-0.10786073433600168</v>
      </c>
      <c r="F191" s="6">
        <v>-0.11967418518953367</v>
      </c>
      <c r="G191" s="6">
        <v>1.0316719919631283</v>
      </c>
      <c r="H191" s="6">
        <v>-4.6981704568186115E-2</v>
      </c>
      <c r="I191" s="6">
        <v>2.765789353848263E-3</v>
      </c>
      <c r="J191" s="6">
        <v>0.37598866732770275</v>
      </c>
      <c r="K191" s="6">
        <v>8.6922038990146413E-3</v>
      </c>
      <c r="L191" s="6">
        <v>-8.8441079003767298E-2</v>
      </c>
      <c r="N191" s="8">
        <f t="shared" si="6"/>
        <v>2.9830597342823384</v>
      </c>
      <c r="O191" s="8">
        <f t="shared" si="7"/>
        <v>5.5569869511932177</v>
      </c>
      <c r="P191" s="12">
        <f t="shared" si="8"/>
        <v>0</v>
      </c>
      <c r="Q191" s="11">
        <f>IF(P191=Sheet1!M191, 1, 0)</f>
        <v>1</v>
      </c>
    </row>
    <row r="192" spans="1:17" x14ac:dyDescent="0.35">
      <c r="A192" s="6" t="s">
        <v>211</v>
      </c>
      <c r="B192" s="6" t="s">
        <v>215</v>
      </c>
      <c r="C192" s="6">
        <v>0.53101764553953601</v>
      </c>
      <c r="D192" s="6">
        <v>-1.0352063805376961</v>
      </c>
      <c r="E192" s="6">
        <v>-0.33810573513630809</v>
      </c>
      <c r="F192" s="6">
        <v>-0.31841977761496232</v>
      </c>
      <c r="G192" s="6">
        <v>1.3423474204922541</v>
      </c>
      <c r="H192" s="6">
        <v>-1.963442907136697</v>
      </c>
      <c r="I192" s="6">
        <v>-0.16107064206515997</v>
      </c>
      <c r="J192" s="6">
        <v>0.30386607687511136</v>
      </c>
      <c r="K192" s="6">
        <v>4.6249831674271963E-2</v>
      </c>
      <c r="L192" s="6">
        <v>-0.13430480814327245</v>
      </c>
      <c r="N192" s="8">
        <f t="shared" si="6"/>
        <v>3.6740925136831906</v>
      </c>
      <c r="O192" s="8">
        <f t="shared" si="7"/>
        <v>6.6964342790428129</v>
      </c>
      <c r="P192" s="12">
        <f t="shared" si="8"/>
        <v>0</v>
      </c>
      <c r="Q192" s="11">
        <f>IF(P192=Sheet1!M192, 1, 0)</f>
        <v>1</v>
      </c>
    </row>
    <row r="193" spans="1:17" x14ac:dyDescent="0.35">
      <c r="A193" s="6" t="s">
        <v>211</v>
      </c>
      <c r="B193" s="6" t="s">
        <v>216</v>
      </c>
      <c r="C193" s="6">
        <v>0.74574112730867692</v>
      </c>
      <c r="D193" s="6">
        <v>-0.54418429813435942</v>
      </c>
      <c r="E193" s="6">
        <v>-0.47772630362161389</v>
      </c>
      <c r="F193" s="6">
        <v>1.898553045611226E-2</v>
      </c>
      <c r="G193" s="6">
        <v>1.1303912870097668</v>
      </c>
      <c r="H193" s="6">
        <v>0.63492944845366162</v>
      </c>
      <c r="I193" s="6">
        <v>7.7990298721329954E-2</v>
      </c>
      <c r="J193" s="6">
        <v>0.36839681570111432</v>
      </c>
      <c r="K193" s="6">
        <v>-0.26673039978619384</v>
      </c>
      <c r="L193" s="6">
        <v>-3.5751762325336653E-2</v>
      </c>
      <c r="N193" s="8">
        <f t="shared" si="6"/>
        <v>3.0529603877091036</v>
      </c>
      <c r="O193" s="8">
        <f t="shared" si="7"/>
        <v>5.4552460500419491</v>
      </c>
      <c r="P193" s="12">
        <f t="shared" si="8"/>
        <v>0</v>
      </c>
      <c r="Q193" s="11">
        <f>IF(P193=Sheet1!M193, 1, 0)</f>
        <v>1</v>
      </c>
    </row>
    <row r="194" spans="1:17" x14ac:dyDescent="0.35">
      <c r="A194" s="6" t="s">
        <v>211</v>
      </c>
      <c r="B194" s="6" t="s">
        <v>217</v>
      </c>
      <c r="C194" s="6">
        <v>1.7023311054654374E-2</v>
      </c>
      <c r="D194" s="6">
        <v>-0.13909108015160596</v>
      </c>
      <c r="E194" s="6">
        <v>-1.834147802484256E-2</v>
      </c>
      <c r="F194" s="6">
        <v>0.47039993805805375</v>
      </c>
      <c r="G194" s="6">
        <v>1.5136544324849495</v>
      </c>
      <c r="H194" s="6">
        <v>0.14046306735251163</v>
      </c>
      <c r="I194" s="6">
        <v>5.4402952563729332E-2</v>
      </c>
      <c r="J194" s="6">
        <v>-0.55780908274269381</v>
      </c>
      <c r="K194" s="6">
        <v>0.59865994020199431</v>
      </c>
      <c r="L194" s="6">
        <v>-0.17513204388684872</v>
      </c>
      <c r="N194" s="8">
        <f t="shared" si="6"/>
        <v>3.5384040212084975</v>
      </c>
      <c r="O194" s="8">
        <f t="shared" si="7"/>
        <v>5.2727722247748439</v>
      </c>
      <c r="P194" s="12">
        <f t="shared" si="8"/>
        <v>0</v>
      </c>
      <c r="Q194" s="11">
        <f>IF(P194=Sheet1!M194, 1, 0)</f>
        <v>1</v>
      </c>
    </row>
    <row r="195" spans="1:17" x14ac:dyDescent="0.35">
      <c r="A195" s="6" t="s">
        <v>211</v>
      </c>
      <c r="B195" s="6" t="s">
        <v>218</v>
      </c>
      <c r="C195" s="6">
        <v>0.72426877913176324</v>
      </c>
      <c r="D195" s="6">
        <v>-0.99224194832740387</v>
      </c>
      <c r="E195" s="6">
        <v>0.1603286425961952</v>
      </c>
      <c r="F195" s="6">
        <v>-0.23060195770605127</v>
      </c>
      <c r="G195" s="6">
        <v>0.66292638987716024</v>
      </c>
      <c r="H195" s="6">
        <v>-1.2890726357438425</v>
      </c>
      <c r="I195" s="6">
        <v>0.66958644018763047</v>
      </c>
      <c r="J195" s="6">
        <v>7.6110528077453443E-2</v>
      </c>
      <c r="K195" s="6">
        <v>0.20430484856180578</v>
      </c>
      <c r="L195" s="6">
        <v>-0.16505627805757092</v>
      </c>
      <c r="N195" s="8">
        <f t="shared" ref="N195:N258" si="9">SQRT((C195-$C$520)^2+(D195-$D$520)^2+(E195-$E$520)^2+(F195-$F$520)^2+(G195-$G$520)^2+(H195-$H$520)^2+(I195-$I$520)^2+(J195-$J$520)^2+(K195-$K$520)^2+(L195-$L$520)^2)</f>
        <v>3.1058640300676137</v>
      </c>
      <c r="O195" s="8">
        <f t="shared" ref="O195:O258" si="10">SQRT((C195-$C$521)^2+(D195-$D$521)^2+(E195-$E$521)^2+(F195-$F$521)^2+(G195-$G$521)^2+(H195-$H$521)^2+(I195-$I$521)^2+(J195-$J$521)^2+(K195-$K$521)^2+(L195-$L$521)^2)</f>
        <v>6.117517005811111</v>
      </c>
      <c r="P195" s="12">
        <f t="shared" ref="P195:P258" si="11">IF(N195&lt;=O195, 0, 1)</f>
        <v>0</v>
      </c>
      <c r="Q195" s="11">
        <f>IF(P195=Sheet1!M195, 1, 0)</f>
        <v>1</v>
      </c>
    </row>
    <row r="196" spans="1:17" x14ac:dyDescent="0.35">
      <c r="A196" s="6" t="s">
        <v>211</v>
      </c>
      <c r="B196" s="6" t="s">
        <v>219</v>
      </c>
      <c r="C196" s="6">
        <v>-4.8735755237145136E-2</v>
      </c>
      <c r="D196" s="6">
        <v>-0.39687767341335822</v>
      </c>
      <c r="E196" s="6">
        <v>-0.32594879909405189</v>
      </c>
      <c r="F196" s="6">
        <v>2.9770175006330404E-2</v>
      </c>
      <c r="G196" s="6">
        <v>1.2262070733785613</v>
      </c>
      <c r="H196" s="6">
        <v>6.4515616660505065E-2</v>
      </c>
      <c r="I196" s="6">
        <v>0.5739620638730345</v>
      </c>
      <c r="J196" s="6">
        <v>-1.1195765628315158E-2</v>
      </c>
      <c r="K196" s="6">
        <v>0.98832032837027339</v>
      </c>
      <c r="L196" s="6">
        <v>3.547212502855171E-2</v>
      </c>
      <c r="N196" s="8">
        <f t="shared" si="9"/>
        <v>3.2205188932614695</v>
      </c>
      <c r="O196" s="8">
        <f t="shared" si="10"/>
        <v>5.5997552498104657</v>
      </c>
      <c r="P196" s="12">
        <f t="shared" si="11"/>
        <v>0</v>
      </c>
      <c r="Q196" s="11">
        <f>IF(P196=Sheet1!M196, 1, 0)</f>
        <v>1</v>
      </c>
    </row>
    <row r="197" spans="1:17" x14ac:dyDescent="0.35">
      <c r="A197" s="6" t="s">
        <v>211</v>
      </c>
      <c r="B197" s="6" t="s">
        <v>220</v>
      </c>
      <c r="C197" s="6">
        <v>-0.22185656241351531</v>
      </c>
      <c r="D197" s="6">
        <v>-0.36005101723310823</v>
      </c>
      <c r="E197" s="6">
        <v>0.99694687750418853</v>
      </c>
      <c r="F197" s="6">
        <v>0.68917415607674193</v>
      </c>
      <c r="G197" s="6">
        <v>1.8504614391146526</v>
      </c>
      <c r="H197" s="6">
        <v>0.56652287939064871</v>
      </c>
      <c r="I197" s="6">
        <v>0.52806236324202849</v>
      </c>
      <c r="J197" s="6">
        <v>1.1579789251450461E-2</v>
      </c>
      <c r="K197" s="6">
        <v>0.98988522952757652</v>
      </c>
      <c r="L197" s="6">
        <v>3.0993340563292428E-2</v>
      </c>
      <c r="N197" s="8">
        <f t="shared" si="9"/>
        <v>4.4617144765976455</v>
      </c>
      <c r="O197" s="8">
        <f t="shared" si="10"/>
        <v>4.7980956540623021</v>
      </c>
      <c r="P197" s="12">
        <f t="shared" si="11"/>
        <v>0</v>
      </c>
      <c r="Q197" s="11">
        <f>IF(P197=Sheet1!M197, 1, 0)</f>
        <v>1</v>
      </c>
    </row>
    <row r="198" spans="1:17" x14ac:dyDescent="0.35">
      <c r="A198" s="6" t="s">
        <v>211</v>
      </c>
      <c r="B198" s="6" t="s">
        <v>221</v>
      </c>
      <c r="C198" s="6">
        <v>0.16330368300988177</v>
      </c>
      <c r="D198" s="6">
        <v>0.22917548165089638</v>
      </c>
      <c r="E198" s="6">
        <v>0.6233973882057714</v>
      </c>
      <c r="F198" s="6">
        <v>0.9541682793106453</v>
      </c>
      <c r="G198" s="6">
        <v>2.0914526593755611</v>
      </c>
      <c r="H198" s="6">
        <v>0.97857819697494097</v>
      </c>
      <c r="I198" s="6">
        <v>0.80983552544903814</v>
      </c>
      <c r="J198" s="6">
        <v>0.15962089596992818</v>
      </c>
      <c r="K198" s="6">
        <v>-0.40287680047149721</v>
      </c>
      <c r="L198" s="6">
        <v>0.13721824305211014</v>
      </c>
      <c r="N198" s="8">
        <f t="shared" si="9"/>
        <v>4.5081206872123172</v>
      </c>
      <c r="O198" s="8">
        <f t="shared" si="10"/>
        <v>4.0939436669979425</v>
      </c>
      <c r="P198" s="12">
        <f t="shared" si="11"/>
        <v>1</v>
      </c>
      <c r="Q198" s="11">
        <f>IF(P198=Sheet1!M198, 1, 0)</f>
        <v>0</v>
      </c>
    </row>
    <row r="199" spans="1:17" x14ac:dyDescent="0.35">
      <c r="A199" s="6" t="s">
        <v>211</v>
      </c>
      <c r="B199" s="6" t="s">
        <v>222</v>
      </c>
      <c r="C199" s="6">
        <v>-0.54259976330616977</v>
      </c>
      <c r="D199" s="6">
        <v>0.56061538727314819</v>
      </c>
      <c r="E199" s="6">
        <v>0.40641449945156266</v>
      </c>
      <c r="F199" s="6">
        <v>1.1097752935352037</v>
      </c>
      <c r="G199" s="6">
        <v>2.3440579143478404</v>
      </c>
      <c r="H199" s="6">
        <v>0.91932841274713384</v>
      </c>
      <c r="I199" s="6">
        <v>0.82067295476469238</v>
      </c>
      <c r="J199" s="6">
        <v>-0.6602990797016397</v>
      </c>
      <c r="K199" s="6">
        <v>-0.10711048174135691</v>
      </c>
      <c r="L199" s="6">
        <v>0.1184755997854566</v>
      </c>
      <c r="N199" s="8">
        <f t="shared" si="9"/>
        <v>4.8552736444232396</v>
      </c>
      <c r="O199" s="8">
        <f t="shared" si="10"/>
        <v>4.3761493179782436</v>
      </c>
      <c r="P199" s="12">
        <f t="shared" si="11"/>
        <v>1</v>
      </c>
      <c r="Q199" s="11">
        <f>IF(P199=Sheet1!M199, 1, 0)</f>
        <v>0</v>
      </c>
    </row>
    <row r="200" spans="1:17" x14ac:dyDescent="0.35">
      <c r="A200" s="6" t="s">
        <v>211</v>
      </c>
      <c r="B200" s="6" t="s">
        <v>223</v>
      </c>
      <c r="C200" s="6">
        <v>-9.7048538635201825E-2</v>
      </c>
      <c r="D200" s="6">
        <v>-0.67307759476523532</v>
      </c>
      <c r="E200" s="6">
        <v>-0.33000111110813729</v>
      </c>
      <c r="F200" s="6">
        <v>8.6774724771761666E-2</v>
      </c>
      <c r="G200" s="6">
        <v>1.9230491560607095</v>
      </c>
      <c r="H200" s="6">
        <v>0.84930594047790786</v>
      </c>
      <c r="I200" s="6">
        <v>0.87231011797457347</v>
      </c>
      <c r="J200" s="6">
        <v>-0.99813647708483189</v>
      </c>
      <c r="K200" s="6">
        <v>0.5673619170559473</v>
      </c>
      <c r="L200" s="6">
        <v>-1.4899683391723529E-2</v>
      </c>
      <c r="N200" s="8">
        <f t="shared" si="9"/>
        <v>4.205577454950558</v>
      </c>
      <c r="O200" s="8">
        <f t="shared" si="10"/>
        <v>5.9458850902754108</v>
      </c>
      <c r="P200" s="12">
        <f t="shared" si="11"/>
        <v>0</v>
      </c>
      <c r="Q200" s="11">
        <f>IF(P200=Sheet1!M200, 1, 0)</f>
        <v>1</v>
      </c>
    </row>
    <row r="201" spans="1:17" x14ac:dyDescent="0.35">
      <c r="A201" s="6" t="s">
        <v>211</v>
      </c>
      <c r="B201" s="6" t="s">
        <v>224</v>
      </c>
      <c r="C201" s="6">
        <v>-0.21380443184717246</v>
      </c>
      <c r="D201" s="6">
        <v>8.186885692989522E-2</v>
      </c>
      <c r="E201" s="6">
        <v>0.43625425155528241</v>
      </c>
      <c r="F201" s="6">
        <v>0.93413965371738372</v>
      </c>
      <c r="G201" s="6">
        <v>2.2917947581466773</v>
      </c>
      <c r="H201" s="6">
        <v>0.97911683137701144</v>
      </c>
      <c r="I201" s="6">
        <v>0.86147268865892002</v>
      </c>
      <c r="J201" s="6">
        <v>0.31525385431499398</v>
      </c>
      <c r="K201" s="6">
        <v>0.57675132399976159</v>
      </c>
      <c r="L201" s="6">
        <v>0.10593837991767109</v>
      </c>
      <c r="N201" s="8">
        <f t="shared" si="9"/>
        <v>4.6415791674698985</v>
      </c>
      <c r="O201" s="8">
        <f t="shared" si="10"/>
        <v>4.4975636892234458</v>
      </c>
      <c r="P201" s="12">
        <f t="shared" si="11"/>
        <v>1</v>
      </c>
      <c r="Q201" s="11">
        <f>IF(P201=Sheet1!M201, 1, 0)</f>
        <v>0</v>
      </c>
    </row>
    <row r="202" spans="1:17" x14ac:dyDescent="0.35">
      <c r="A202" s="6" t="s">
        <v>211</v>
      </c>
      <c r="B202" s="6" t="s">
        <v>225</v>
      </c>
      <c r="C202" s="6">
        <v>0.20893242288582425</v>
      </c>
      <c r="D202" s="6">
        <v>-0.47666876180390039</v>
      </c>
      <c r="E202" s="6">
        <v>0.86727289305345601</v>
      </c>
      <c r="F202" s="6">
        <v>0.63987292384717731</v>
      </c>
      <c r="G202" s="6">
        <v>1.7807772308464394</v>
      </c>
      <c r="H202" s="6">
        <v>0.68340654464004924</v>
      </c>
      <c r="I202" s="6">
        <v>0.84107282171180575</v>
      </c>
      <c r="J202" s="6">
        <v>-0.11368576258726129</v>
      </c>
      <c r="K202" s="6">
        <v>0.35610026082013152</v>
      </c>
      <c r="L202" s="6">
        <v>0.11264647476928044</v>
      </c>
      <c r="N202" s="8">
        <f t="shared" si="9"/>
        <v>4.2975330750202456</v>
      </c>
      <c r="O202" s="8">
        <f t="shared" si="10"/>
        <v>4.7608316075707249</v>
      </c>
      <c r="P202" s="12">
        <f t="shared" si="11"/>
        <v>0</v>
      </c>
      <c r="Q202" s="11">
        <f>IF(P202=Sheet1!M202, 1, 0)</f>
        <v>1</v>
      </c>
    </row>
    <row r="203" spans="1:17" x14ac:dyDescent="0.35">
      <c r="A203" s="6" t="s">
        <v>211</v>
      </c>
      <c r="B203" s="6" t="s">
        <v>226</v>
      </c>
      <c r="C203" s="6">
        <v>6.265205093059685E-2</v>
      </c>
      <c r="D203" s="6">
        <v>-0.81424644345619435</v>
      </c>
      <c r="E203" s="6">
        <v>-1.1342030000513243E-2</v>
      </c>
      <c r="F203" s="6">
        <v>7.4449416714371067E-2</v>
      </c>
      <c r="G203" s="6">
        <v>1.5049439064514223</v>
      </c>
      <c r="H203" s="6">
        <v>0.65539755573235903</v>
      </c>
      <c r="I203" s="6">
        <v>-0.57353045190211727</v>
      </c>
      <c r="J203" s="6">
        <v>-0.25793094349244444</v>
      </c>
      <c r="K203" s="6">
        <v>0.53449899275259716</v>
      </c>
      <c r="L203" s="6">
        <v>-3.8625349702742368E-2</v>
      </c>
      <c r="N203" s="8">
        <f t="shared" si="9"/>
        <v>3.7632800445952972</v>
      </c>
      <c r="O203" s="8">
        <f t="shared" si="10"/>
        <v>5.7533813024442866</v>
      </c>
      <c r="P203" s="12">
        <f t="shared" si="11"/>
        <v>0</v>
      </c>
      <c r="Q203" s="11">
        <f>IF(P203=Sheet1!M203, 1, 0)</f>
        <v>1</v>
      </c>
    </row>
    <row r="204" spans="1:17" x14ac:dyDescent="0.35">
      <c r="A204" s="6" t="s">
        <v>211</v>
      </c>
      <c r="B204" s="6" t="s">
        <v>227</v>
      </c>
      <c r="C204" s="6">
        <v>1.5681289293597273E-2</v>
      </c>
      <c r="D204" s="6">
        <v>-0.88789975581669489</v>
      </c>
      <c r="E204" s="6">
        <v>-0.24158703080081964</v>
      </c>
      <c r="F204" s="6">
        <v>-8.5779588031708959E-2</v>
      </c>
      <c r="G204" s="6">
        <v>1.4091281200826276</v>
      </c>
      <c r="H204" s="6">
        <v>0.7168018775684496</v>
      </c>
      <c r="I204" s="6">
        <v>0.61858677281984609</v>
      </c>
      <c r="J204" s="6">
        <v>-0.47429871485021918</v>
      </c>
      <c r="K204" s="6">
        <v>0.16831212194385381</v>
      </c>
      <c r="L204" s="6">
        <v>-8.0187358761181202E-2</v>
      </c>
      <c r="N204" s="8">
        <f t="shared" si="9"/>
        <v>3.6444551065014679</v>
      </c>
      <c r="O204" s="8">
        <f t="shared" si="10"/>
        <v>5.7406427977290573</v>
      </c>
      <c r="P204" s="12">
        <f t="shared" si="11"/>
        <v>0</v>
      </c>
      <c r="Q204" s="11">
        <f>IF(P204=Sheet1!M204, 1, 0)</f>
        <v>1</v>
      </c>
    </row>
    <row r="205" spans="1:17" x14ac:dyDescent="0.35">
      <c r="A205" s="6" t="s">
        <v>211</v>
      </c>
      <c r="B205" s="6" t="s">
        <v>228</v>
      </c>
      <c r="C205" s="6">
        <v>0.47331070981407941</v>
      </c>
      <c r="D205" s="6">
        <v>-0.69762869888540213</v>
      </c>
      <c r="E205" s="6">
        <v>7.1546170287597063E-2</v>
      </c>
      <c r="F205" s="6">
        <v>7.7530743728720361E-2</v>
      </c>
      <c r="G205" s="6">
        <v>1.4381632068610488</v>
      </c>
      <c r="H205" s="6">
        <v>0.68609971665040392</v>
      </c>
      <c r="I205" s="6">
        <v>0.65173655660890584</v>
      </c>
      <c r="J205" s="6">
        <v>-0.52744167623633942</v>
      </c>
      <c r="K205" s="6">
        <v>0.18865583698878338</v>
      </c>
      <c r="L205" s="6">
        <v>-0.16796588844634655</v>
      </c>
      <c r="N205" s="8">
        <f t="shared" si="9"/>
        <v>3.6252283931701617</v>
      </c>
      <c r="O205" s="8">
        <f t="shared" si="10"/>
        <v>5.5119174338244292</v>
      </c>
      <c r="P205" s="12">
        <f t="shared" si="11"/>
        <v>0</v>
      </c>
      <c r="Q205" s="11">
        <f>IF(P205=Sheet1!M205, 1, 0)</f>
        <v>1</v>
      </c>
    </row>
    <row r="206" spans="1:17" x14ac:dyDescent="0.35">
      <c r="A206" s="6" t="s">
        <v>211</v>
      </c>
      <c r="B206" s="6" t="s">
        <v>229</v>
      </c>
      <c r="C206" s="6">
        <v>-0.27687945461685753</v>
      </c>
      <c r="D206" s="6">
        <v>-0.58714873034465098</v>
      </c>
      <c r="E206" s="6">
        <v>6.6757074270950678E-2</v>
      </c>
      <c r="F206" s="6">
        <v>0.36255349255588326</v>
      </c>
      <c r="G206" s="6">
        <v>1.9201456473828658</v>
      </c>
      <c r="H206" s="6">
        <v>0.779283468208682</v>
      </c>
      <c r="I206" s="6">
        <v>0.92968474376333143</v>
      </c>
      <c r="J206" s="6">
        <v>-0.17442057559997007</v>
      </c>
      <c r="K206" s="6">
        <v>-7.4247557438008982E-2</v>
      </c>
      <c r="L206" s="6">
        <v>0.20048773129907019</v>
      </c>
      <c r="N206" s="8">
        <f t="shared" si="9"/>
        <v>4.2296659578794973</v>
      </c>
      <c r="O206" s="8">
        <f t="shared" si="10"/>
        <v>5.1500082964893439</v>
      </c>
      <c r="P206" s="12">
        <f t="shared" si="11"/>
        <v>0</v>
      </c>
      <c r="Q206" s="11">
        <f>IF(P206=Sheet1!M206, 1, 0)</f>
        <v>1</v>
      </c>
    </row>
    <row r="207" spans="1:17" x14ac:dyDescent="0.35">
      <c r="A207" s="6" t="s">
        <v>211</v>
      </c>
      <c r="B207" s="6" t="s">
        <v>230</v>
      </c>
      <c r="C207" s="6">
        <v>-0.62714713425276924</v>
      </c>
      <c r="D207" s="6">
        <v>0.19848660150068739</v>
      </c>
      <c r="E207" s="6">
        <v>0.3489453472518062</v>
      </c>
      <c r="F207" s="6">
        <v>0.80626458262195366</v>
      </c>
      <c r="G207" s="6">
        <v>2.0391895031744021</v>
      </c>
      <c r="H207" s="6">
        <v>0.89401259584979831</v>
      </c>
      <c r="I207" s="6">
        <v>0.87741008471135273</v>
      </c>
      <c r="J207" s="6">
        <v>-0.48948241810339638</v>
      </c>
      <c r="K207" s="6">
        <v>0.83026531148273741</v>
      </c>
      <c r="L207" s="6">
        <v>0.9944534775631555</v>
      </c>
      <c r="N207" s="8">
        <f t="shared" si="9"/>
        <v>4.7385341757495203</v>
      </c>
      <c r="O207" s="8">
        <f t="shared" si="10"/>
        <v>4.9032510715919981</v>
      </c>
      <c r="P207" s="12">
        <f t="shared" si="11"/>
        <v>0</v>
      </c>
      <c r="Q207" s="11">
        <f>IF(P207=Sheet1!M207, 1, 0)</f>
        <v>1</v>
      </c>
    </row>
    <row r="208" spans="1:17" x14ac:dyDescent="0.35">
      <c r="A208" s="6" t="s">
        <v>211</v>
      </c>
      <c r="B208" s="6" t="s">
        <v>231</v>
      </c>
      <c r="C208" s="6">
        <v>-0.64861948242968326</v>
      </c>
      <c r="D208" s="6">
        <v>-0.39687767341335822</v>
      </c>
      <c r="E208" s="6">
        <v>7.7808834309365388E-2</v>
      </c>
      <c r="F208" s="6">
        <v>0.37487880061327383</v>
      </c>
      <c r="G208" s="6">
        <v>1.8156193349805438</v>
      </c>
      <c r="H208" s="6">
        <v>-0.57161161218531054</v>
      </c>
      <c r="I208" s="6">
        <v>-0.23310767222215534</v>
      </c>
      <c r="J208" s="6">
        <v>-0.3148698306918587</v>
      </c>
      <c r="K208" s="6">
        <v>1.3386907370921807E-2</v>
      </c>
      <c r="L208" s="6">
        <v>-4.1467171774273631E-4</v>
      </c>
      <c r="N208" s="8">
        <f t="shared" si="9"/>
        <v>4.0215964702202056</v>
      </c>
      <c r="O208" s="8">
        <f t="shared" si="10"/>
        <v>5.4486110931860008</v>
      </c>
      <c r="P208" s="12">
        <f t="shared" si="11"/>
        <v>0</v>
      </c>
      <c r="Q208" s="11">
        <f>IF(P208=Sheet1!M208, 1, 0)</f>
        <v>1</v>
      </c>
    </row>
    <row r="209" spans="1:17" x14ac:dyDescent="0.35">
      <c r="A209" s="6" t="s">
        <v>211</v>
      </c>
      <c r="B209" s="6" t="s">
        <v>232</v>
      </c>
      <c r="C209" s="6">
        <v>8.6808442629625199E-2</v>
      </c>
      <c r="D209" s="6">
        <v>-0.35391324120306611</v>
      </c>
      <c r="E209" s="6">
        <v>-2.8288062059415794E-2</v>
      </c>
      <c r="F209" s="6">
        <v>0.40723273426392392</v>
      </c>
      <c r="G209" s="6">
        <v>1.6849614444776406</v>
      </c>
      <c r="H209" s="6">
        <v>0.76366307054862348</v>
      </c>
      <c r="I209" s="6">
        <v>0.73779849529204189</v>
      </c>
      <c r="J209" s="6">
        <v>8.3702379704042207E-2</v>
      </c>
      <c r="K209" s="6">
        <v>-0.50616027685345033</v>
      </c>
      <c r="L209" s="6">
        <v>-6.4934643223660951E-2</v>
      </c>
      <c r="N209" s="8">
        <f t="shared" si="9"/>
        <v>3.8507751433131339</v>
      </c>
      <c r="O209" s="8">
        <f t="shared" si="10"/>
        <v>4.861919007776307</v>
      </c>
      <c r="P209" s="12">
        <f t="shared" si="11"/>
        <v>0</v>
      </c>
      <c r="Q209" s="11">
        <f>IF(P209=Sheet1!M209, 1, 0)</f>
        <v>1</v>
      </c>
    </row>
    <row r="210" spans="1:17" x14ac:dyDescent="0.35">
      <c r="A210" s="6" t="s">
        <v>211</v>
      </c>
      <c r="B210" s="6" t="s">
        <v>233</v>
      </c>
      <c r="C210" s="6">
        <v>-0.59762265550951221</v>
      </c>
      <c r="D210" s="6">
        <v>-0.24957104869235763</v>
      </c>
      <c r="E210" s="6">
        <v>0.64292216427363735</v>
      </c>
      <c r="F210" s="6">
        <v>0.66452353996195845</v>
      </c>
      <c r="G210" s="6">
        <v>1.7807772308464394</v>
      </c>
      <c r="H210" s="6">
        <v>0.74373359767199809</v>
      </c>
      <c r="I210" s="6">
        <v>0.83597285497502749</v>
      </c>
      <c r="J210" s="6">
        <v>-1.499169144160971E-2</v>
      </c>
      <c r="K210" s="6">
        <v>0.72541693394348106</v>
      </c>
      <c r="L210" s="6">
        <v>0.29215461492033029</v>
      </c>
      <c r="N210" s="8">
        <f t="shared" si="9"/>
        <v>4.4110410047779309</v>
      </c>
      <c r="O210" s="8">
        <f t="shared" si="10"/>
        <v>4.7056108732885704</v>
      </c>
      <c r="P210" s="12">
        <f t="shared" si="11"/>
        <v>0</v>
      </c>
      <c r="Q210" s="11">
        <f>IF(P210=Sheet1!M210, 1, 0)</f>
        <v>1</v>
      </c>
    </row>
    <row r="211" spans="1:17" x14ac:dyDescent="0.35">
      <c r="A211" s="6" t="s">
        <v>211</v>
      </c>
      <c r="B211" s="6" t="s">
        <v>234</v>
      </c>
      <c r="C211" s="6">
        <v>-0.28224754166108618</v>
      </c>
      <c r="D211" s="6">
        <v>-0.72831757903561056</v>
      </c>
      <c r="E211" s="6">
        <v>-0.33773734313502757</v>
      </c>
      <c r="F211" s="6">
        <v>-7.2057491658435932E-3</v>
      </c>
      <c r="G211" s="6">
        <v>1.7372246006788037</v>
      </c>
      <c r="H211" s="6">
        <v>-0.49297098948294932</v>
      </c>
      <c r="I211" s="6">
        <v>0.42925050771694617</v>
      </c>
      <c r="J211" s="6">
        <v>-0.92601388663224027</v>
      </c>
      <c r="K211" s="6">
        <v>0.71133282352776184</v>
      </c>
      <c r="L211" s="6">
        <v>-0.13740872130625273</v>
      </c>
      <c r="N211" s="8">
        <f t="shared" si="9"/>
        <v>3.8822935040277748</v>
      </c>
      <c r="O211" s="8">
        <f t="shared" si="10"/>
        <v>6.2223878646121094</v>
      </c>
      <c r="P211" s="12">
        <f t="shared" si="11"/>
        <v>0</v>
      </c>
      <c r="Q211" s="11">
        <f>IF(P211=Sheet1!M211, 1, 0)</f>
        <v>1</v>
      </c>
    </row>
    <row r="212" spans="1:17" x14ac:dyDescent="0.35">
      <c r="A212" s="6" t="s">
        <v>211</v>
      </c>
      <c r="B212" s="6" t="s">
        <v>235</v>
      </c>
      <c r="C212" s="6">
        <v>-0.27285338933368619</v>
      </c>
      <c r="D212" s="6">
        <v>-0.59942428240473467</v>
      </c>
      <c r="E212" s="6">
        <v>0.47272505968205092</v>
      </c>
      <c r="F212" s="6">
        <v>0.39644808971370793</v>
      </c>
      <c r="G212" s="6">
        <v>1.4004175940491004</v>
      </c>
      <c r="H212" s="6">
        <v>0.35591682818089965</v>
      </c>
      <c r="I212" s="6">
        <v>0.47897518340053613</v>
      </c>
      <c r="J212" s="6">
        <v>0.94537753932184698</v>
      </c>
      <c r="K212" s="6">
        <v>7.2853151348411818E-2</v>
      </c>
      <c r="L212" s="6">
        <v>0.20201718394596324</v>
      </c>
      <c r="N212" s="8">
        <f t="shared" si="9"/>
        <v>3.8846301131521241</v>
      </c>
      <c r="O212" s="8">
        <f t="shared" si="10"/>
        <v>4.7072400288857077</v>
      </c>
      <c r="P212" s="12">
        <f t="shared" si="11"/>
        <v>0</v>
      </c>
      <c r="Q212" s="11">
        <f>IF(P212=Sheet1!M212, 1, 0)</f>
        <v>1</v>
      </c>
    </row>
    <row r="213" spans="1:17" x14ac:dyDescent="0.35">
      <c r="A213" s="6" t="s">
        <v>211</v>
      </c>
      <c r="B213" s="6" t="s">
        <v>236</v>
      </c>
      <c r="C213" s="6">
        <v>-0.34800660795288568</v>
      </c>
      <c r="D213" s="6">
        <v>-0.95541529214715393</v>
      </c>
      <c r="E213" s="6">
        <v>-0.29500387098649072</v>
      </c>
      <c r="F213" s="6">
        <v>-0.15510944585453301</v>
      </c>
      <c r="G213" s="6">
        <v>1.475908819672997</v>
      </c>
      <c r="H213" s="6">
        <v>-0.55168213930868515</v>
      </c>
      <c r="I213" s="6">
        <v>0.8442603009222921</v>
      </c>
      <c r="J213" s="6">
        <v>0.58096866124559465</v>
      </c>
      <c r="K213" s="6">
        <v>0.302893621471854</v>
      </c>
      <c r="L213" s="6">
        <v>-0.12954517373844066</v>
      </c>
      <c r="N213" s="8">
        <f t="shared" si="9"/>
        <v>3.6484956396219306</v>
      </c>
      <c r="O213" s="8">
        <f t="shared" si="10"/>
        <v>5.832408938010472</v>
      </c>
      <c r="P213" s="12">
        <f t="shared" si="11"/>
        <v>0</v>
      </c>
      <c r="Q213" s="11">
        <f>IF(P213=Sheet1!M213, 1, 0)</f>
        <v>1</v>
      </c>
    </row>
    <row r="214" spans="1:17" x14ac:dyDescent="0.35">
      <c r="A214" s="6" t="s">
        <v>211</v>
      </c>
      <c r="B214" s="6" t="s">
        <v>237</v>
      </c>
      <c r="C214" s="6">
        <v>-0.22856667121880084</v>
      </c>
      <c r="D214" s="6">
        <v>-0.7774197872759443</v>
      </c>
      <c r="E214" s="6">
        <v>3.1023050146743131E-2</v>
      </c>
      <c r="F214" s="6">
        <v>2.8229511499155757E-2</v>
      </c>
      <c r="G214" s="6">
        <v>1.1855579518887693</v>
      </c>
      <c r="H214" s="6">
        <v>7.3672401495710874E-2</v>
      </c>
      <c r="I214" s="6">
        <v>0.70528620734507974</v>
      </c>
      <c r="J214" s="6">
        <v>-0.29589020162538726</v>
      </c>
      <c r="K214" s="6">
        <v>0.31228302841566613</v>
      </c>
      <c r="L214" s="6">
        <v>-0.11176769225727883</v>
      </c>
      <c r="N214" s="8">
        <f t="shared" si="9"/>
        <v>3.4546301203561152</v>
      </c>
      <c r="O214" s="8">
        <f t="shared" si="10"/>
        <v>5.5100956781319494</v>
      </c>
      <c r="P214" s="12">
        <f t="shared" si="11"/>
        <v>0</v>
      </c>
      <c r="Q214" s="11">
        <f>IF(P214=Sheet1!M214, 1, 0)</f>
        <v>1</v>
      </c>
    </row>
    <row r="215" spans="1:17" x14ac:dyDescent="0.35">
      <c r="A215" s="6" t="s">
        <v>211</v>
      </c>
      <c r="B215" s="6" t="s">
        <v>238</v>
      </c>
      <c r="C215" s="6">
        <v>0.57530436365442117</v>
      </c>
      <c r="D215" s="6">
        <v>-1.2193396614389471</v>
      </c>
      <c r="E215" s="6">
        <v>-0.64534466420423697</v>
      </c>
      <c r="F215" s="6">
        <v>-0.51870603354756351</v>
      </c>
      <c r="G215" s="6">
        <v>1.1245842696540833</v>
      </c>
      <c r="H215" s="6">
        <v>3.7045262154885322E-2</v>
      </c>
      <c r="I215" s="6">
        <v>0.63771164808276515</v>
      </c>
      <c r="J215" s="6">
        <v>0.62651977100512624</v>
      </c>
      <c r="K215" s="6">
        <v>-0.55780201504442695</v>
      </c>
      <c r="L215" s="6">
        <v>-6.368415996470278E-2</v>
      </c>
      <c r="N215" s="8">
        <f t="shared" si="9"/>
        <v>3.2990915895342803</v>
      </c>
      <c r="O215" s="8">
        <f t="shared" si="10"/>
        <v>6.1331441670202276</v>
      </c>
      <c r="P215" s="12">
        <f t="shared" si="11"/>
        <v>0</v>
      </c>
      <c r="Q215" s="11">
        <f>IF(P215=Sheet1!M215, 1, 0)</f>
        <v>1</v>
      </c>
    </row>
    <row r="216" spans="1:17" x14ac:dyDescent="0.35">
      <c r="A216" s="6" t="s">
        <v>211</v>
      </c>
      <c r="B216" s="6" t="s">
        <v>239</v>
      </c>
      <c r="C216" s="6">
        <v>-0.49294495814705597</v>
      </c>
      <c r="D216" s="6">
        <v>-0.88789975581669489</v>
      </c>
      <c r="E216" s="6">
        <v>-0.23016687876112443</v>
      </c>
      <c r="F216" s="6">
        <v>-0.17513807144779248</v>
      </c>
      <c r="G216" s="6">
        <v>0.59904919896463049</v>
      </c>
      <c r="H216" s="6">
        <v>0.37853947306788044</v>
      </c>
      <c r="I216" s="6">
        <v>0.87549759718506071</v>
      </c>
      <c r="J216" s="6">
        <v>1.8639915861390666</v>
      </c>
      <c r="K216" s="6">
        <v>-0.50459537569614943</v>
      </c>
      <c r="L216" s="6">
        <v>7.1854488921400825E-2</v>
      </c>
      <c r="N216" s="8">
        <f t="shared" si="9"/>
        <v>3.6384489519937229</v>
      </c>
      <c r="O216" s="8">
        <f t="shared" si="10"/>
        <v>5.2770570169317628</v>
      </c>
      <c r="P216" s="12">
        <f t="shared" si="11"/>
        <v>0</v>
      </c>
      <c r="Q216" s="11">
        <f>IF(P216=Sheet1!M216, 1, 0)</f>
        <v>1</v>
      </c>
    </row>
    <row r="217" spans="1:17" x14ac:dyDescent="0.35">
      <c r="A217" s="6" t="s">
        <v>211</v>
      </c>
      <c r="B217" s="6" t="s">
        <v>240</v>
      </c>
      <c r="C217" s="6">
        <v>0.69206025686639183</v>
      </c>
      <c r="D217" s="6">
        <v>-1.3605085101299068</v>
      </c>
      <c r="E217" s="6">
        <v>-6.365369418234286E-2</v>
      </c>
      <c r="F217" s="6">
        <v>-0.5556819577197375</v>
      </c>
      <c r="G217" s="6">
        <v>-3.3915692804983716E-2</v>
      </c>
      <c r="H217" s="6">
        <v>0.15608346501256934</v>
      </c>
      <c r="I217" s="6">
        <v>0.4757877041900489</v>
      </c>
      <c r="J217" s="6">
        <v>1.7918689956864746</v>
      </c>
      <c r="K217" s="6">
        <v>-0.85982793840377758</v>
      </c>
      <c r="L217" s="6">
        <v>0.24013078367642424</v>
      </c>
      <c r="N217" s="8">
        <f t="shared" si="9"/>
        <v>3.3484539886024463</v>
      </c>
      <c r="O217" s="8">
        <f t="shared" si="10"/>
        <v>5.9331429305510559</v>
      </c>
      <c r="P217" s="12">
        <f t="shared" si="11"/>
        <v>0</v>
      </c>
      <c r="Q217" s="11">
        <f>IF(P217=Sheet1!M217, 1, 0)</f>
        <v>1</v>
      </c>
    </row>
    <row r="218" spans="1:17" x14ac:dyDescent="0.35">
      <c r="A218" s="6" t="s">
        <v>211</v>
      </c>
      <c r="B218" s="6" t="s">
        <v>241</v>
      </c>
      <c r="C218" s="6">
        <v>-0.60701680783691214</v>
      </c>
      <c r="D218" s="6">
        <v>1.3401129430884449</v>
      </c>
      <c r="E218" s="6">
        <v>0.74570353263089417</v>
      </c>
      <c r="F218" s="6">
        <v>1.4641279001851928</v>
      </c>
      <c r="G218" s="6">
        <v>2.1117772201204592</v>
      </c>
      <c r="H218" s="6">
        <v>0.36830541942853212</v>
      </c>
      <c r="I218" s="6">
        <v>0.94753462734205607</v>
      </c>
      <c r="J218" s="6">
        <v>1.393296785290574</v>
      </c>
      <c r="K218" s="6">
        <v>-0.37470857964005644</v>
      </c>
      <c r="L218" s="6">
        <v>-0.32283184410324611</v>
      </c>
      <c r="N218" s="8">
        <f t="shared" si="9"/>
        <v>4.9721046615142539</v>
      </c>
      <c r="O218" s="8">
        <f t="shared" si="10"/>
        <v>3.0364504423357586</v>
      </c>
      <c r="P218" s="12">
        <f t="shared" si="11"/>
        <v>1</v>
      </c>
      <c r="Q218" s="11">
        <f>IF(P218=Sheet1!M218, 1, 0)</f>
        <v>0</v>
      </c>
    </row>
    <row r="219" spans="1:17" x14ac:dyDescent="0.35">
      <c r="A219" s="6" t="s">
        <v>211</v>
      </c>
      <c r="B219" s="6" t="s">
        <v>242</v>
      </c>
      <c r="C219" s="6">
        <v>-0.38558321726248529</v>
      </c>
      <c r="D219" s="6">
        <v>1.5119706719296135</v>
      </c>
      <c r="E219" s="6">
        <v>1.6895238399115102</v>
      </c>
      <c r="F219" s="6">
        <v>1.9555995589736532</v>
      </c>
      <c r="G219" s="6">
        <v>2.2250140585563041</v>
      </c>
      <c r="H219" s="6">
        <v>0.62092495399981695</v>
      </c>
      <c r="I219" s="6">
        <v>0.93605970218430412</v>
      </c>
      <c r="J219" s="6">
        <v>1.0592553137206757</v>
      </c>
      <c r="K219" s="6">
        <v>-0.40287680047149721</v>
      </c>
      <c r="L219" s="6">
        <v>0.29769488720496484</v>
      </c>
      <c r="N219" s="8">
        <f t="shared" si="9"/>
        <v>5.670279537579626</v>
      </c>
      <c r="O219" s="8">
        <f t="shared" si="10"/>
        <v>2.479317067845153</v>
      </c>
      <c r="P219" s="12">
        <f t="shared" si="11"/>
        <v>1</v>
      </c>
      <c r="Q219" s="11">
        <f>IF(P219=Sheet1!M219, 1, 0)</f>
        <v>0</v>
      </c>
    </row>
    <row r="220" spans="1:17" x14ac:dyDescent="0.35">
      <c r="A220" s="6" t="s">
        <v>211</v>
      </c>
      <c r="B220" s="6" t="s">
        <v>243</v>
      </c>
      <c r="C220" s="6">
        <v>-0.9572844874728238</v>
      </c>
      <c r="D220" s="6">
        <v>1.3646640472086125</v>
      </c>
      <c r="E220" s="6">
        <v>2.0328651851049271</v>
      </c>
      <c r="F220" s="6">
        <v>2.1065845826766898</v>
      </c>
      <c r="G220" s="6">
        <v>2.2917947581466773</v>
      </c>
      <c r="H220" s="6">
        <v>1.1240094855341023</v>
      </c>
      <c r="I220" s="6">
        <v>0.86976013460618473</v>
      </c>
      <c r="J220" s="6">
        <v>0.83529569073631238</v>
      </c>
      <c r="K220" s="6">
        <v>0.14014390111241082</v>
      </c>
      <c r="L220" s="6">
        <v>-0.25374472310011775</v>
      </c>
      <c r="N220" s="8">
        <f t="shared" si="9"/>
        <v>6.0738837841446429</v>
      </c>
      <c r="O220" s="8">
        <f t="shared" si="10"/>
        <v>2.6385494511251881</v>
      </c>
      <c r="P220" s="12">
        <f t="shared" si="11"/>
        <v>1</v>
      </c>
      <c r="Q220" s="11">
        <f>IF(P220=Sheet1!M220, 1, 0)</f>
        <v>0</v>
      </c>
    </row>
    <row r="221" spans="1:17" x14ac:dyDescent="0.35">
      <c r="A221" s="6" t="s">
        <v>211</v>
      </c>
      <c r="B221" s="6" t="s">
        <v>244</v>
      </c>
      <c r="C221" s="6">
        <v>-1.0351217496141374</v>
      </c>
      <c r="D221" s="6">
        <v>1.4383173595691123</v>
      </c>
      <c r="E221" s="6">
        <v>1.878877328569682</v>
      </c>
      <c r="F221" s="6">
        <v>2.0988812651408209</v>
      </c>
      <c r="G221" s="6">
        <v>2.2801807234353109</v>
      </c>
      <c r="H221" s="6">
        <v>0.88701034862287598</v>
      </c>
      <c r="I221" s="6">
        <v>0.84681028429068173</v>
      </c>
      <c r="J221" s="6">
        <v>1.7007667761674115</v>
      </c>
      <c r="K221" s="6">
        <v>-8.5217088313108893E-3</v>
      </c>
      <c r="L221" s="6">
        <v>2.5647921378859624</v>
      </c>
      <c r="N221" s="8">
        <f t="shared" si="9"/>
        <v>6.8038960038467611</v>
      </c>
      <c r="O221" s="8">
        <f t="shared" si="10"/>
        <v>3.6940465558207123</v>
      </c>
      <c r="P221" s="12">
        <f t="shared" si="11"/>
        <v>1</v>
      </c>
      <c r="Q221" s="11">
        <f>IF(P221=Sheet1!M221, 1, 0)</f>
        <v>0</v>
      </c>
    </row>
    <row r="222" spans="1:17" x14ac:dyDescent="0.35">
      <c r="A222" s="6" t="s">
        <v>211</v>
      </c>
      <c r="B222" s="6" t="s">
        <v>245</v>
      </c>
      <c r="C222" s="6">
        <v>-0.62848915601382627</v>
      </c>
      <c r="D222" s="6">
        <v>0.45627319476243916</v>
      </c>
      <c r="E222" s="6">
        <v>0.8374331409497362</v>
      </c>
      <c r="F222" s="6">
        <v>0.84324050679412765</v>
      </c>
      <c r="G222" s="6">
        <v>1.3888035593377295</v>
      </c>
      <c r="H222" s="6">
        <v>0.93818061681961828</v>
      </c>
      <c r="I222" s="6">
        <v>0.90163492671105006</v>
      </c>
      <c r="J222" s="6">
        <v>0.6948464356444235</v>
      </c>
      <c r="K222" s="6">
        <v>0.98675542721297027</v>
      </c>
      <c r="L222" s="6">
        <v>-0.30010661036843383</v>
      </c>
      <c r="N222" s="8">
        <f t="shared" si="9"/>
        <v>4.2712642778849998</v>
      </c>
      <c r="O222" s="8">
        <f t="shared" si="10"/>
        <v>3.9329691896904793</v>
      </c>
      <c r="P222" s="12">
        <f t="shared" si="11"/>
        <v>1</v>
      </c>
      <c r="Q222" s="11">
        <f>IF(P222=Sheet1!M222, 1, 0)</f>
        <v>0</v>
      </c>
    </row>
    <row r="223" spans="1:17" x14ac:dyDescent="0.35">
      <c r="A223" s="6" t="s">
        <v>211</v>
      </c>
      <c r="B223" s="6" t="s">
        <v>246</v>
      </c>
      <c r="C223" s="6">
        <v>-0.55736200267779834</v>
      </c>
      <c r="D223" s="6">
        <v>0.18007327341056265</v>
      </c>
      <c r="E223" s="6">
        <v>1.0382067816476035</v>
      </c>
      <c r="F223" s="6">
        <v>0.86172846888021248</v>
      </c>
      <c r="G223" s="6">
        <v>1.4178386461161547</v>
      </c>
      <c r="H223" s="6">
        <v>0.83853325243648835</v>
      </c>
      <c r="I223" s="6">
        <v>0.94753462734205607</v>
      </c>
      <c r="J223" s="6">
        <v>1.2110923462524477</v>
      </c>
      <c r="K223" s="6">
        <v>-0.19005024307838053</v>
      </c>
      <c r="L223" s="6">
        <v>-0.22302942246231655</v>
      </c>
      <c r="N223" s="8">
        <f t="shared" si="9"/>
        <v>4.419699234034236</v>
      </c>
      <c r="O223" s="8">
        <f t="shared" si="10"/>
        <v>3.5180728168971243</v>
      </c>
      <c r="P223" s="12">
        <f t="shared" si="11"/>
        <v>1</v>
      </c>
      <c r="Q223" s="11">
        <f>IF(P223=Sheet1!M223, 1, 0)</f>
        <v>0</v>
      </c>
    </row>
    <row r="224" spans="1:17" x14ac:dyDescent="0.35">
      <c r="A224" s="6" t="s">
        <v>247</v>
      </c>
      <c r="B224" s="6" t="s">
        <v>248</v>
      </c>
      <c r="C224" s="6">
        <v>0.81955232416681933</v>
      </c>
      <c r="D224" s="6">
        <v>0.35806877828177169</v>
      </c>
      <c r="E224" s="6">
        <v>-9.423023028862354E-2</v>
      </c>
      <c r="F224" s="6">
        <v>0.73693472479912969</v>
      </c>
      <c r="G224" s="6">
        <v>1.6297947795986381</v>
      </c>
      <c r="H224" s="6">
        <v>1.0098189922950571</v>
      </c>
      <c r="I224" s="6">
        <v>0.26732656382422992</v>
      </c>
      <c r="J224" s="6">
        <v>-0.51984982460975082</v>
      </c>
      <c r="K224" s="6">
        <v>1.135421037156692</v>
      </c>
      <c r="L224" s="6">
        <v>-0.27550661291602135</v>
      </c>
      <c r="N224" s="8">
        <f t="shared" si="9"/>
        <v>3.7951303230432138</v>
      </c>
      <c r="O224" s="8">
        <f t="shared" si="10"/>
        <v>5.1948512382992282</v>
      </c>
      <c r="P224" s="12">
        <f t="shared" si="11"/>
        <v>0</v>
      </c>
      <c r="Q224" s="11">
        <f>IF(P224=Sheet1!M224, 1, 0)</f>
        <v>1</v>
      </c>
    </row>
    <row r="225" spans="1:17" x14ac:dyDescent="0.35">
      <c r="A225" s="6" t="s">
        <v>247</v>
      </c>
      <c r="B225" s="6" t="s">
        <v>249</v>
      </c>
      <c r="C225" s="6">
        <v>0.2371148798680239</v>
      </c>
      <c r="D225" s="6">
        <v>0.69564645993406615</v>
      </c>
      <c r="E225" s="6">
        <v>1.923084368723341</v>
      </c>
      <c r="F225" s="6">
        <v>1.5950842982949698</v>
      </c>
      <c r="G225" s="6">
        <v>1.2291105820564052</v>
      </c>
      <c r="H225" s="6">
        <v>1.0232848523468314</v>
      </c>
      <c r="I225" s="6">
        <v>0.69954874476620377</v>
      </c>
      <c r="J225" s="6">
        <v>-0.38699242114445043</v>
      </c>
      <c r="K225" s="6">
        <v>0.34045124924710912</v>
      </c>
      <c r="L225" s="6">
        <v>-4.5775666719451991E-2</v>
      </c>
      <c r="N225" s="8">
        <f t="shared" si="9"/>
        <v>4.8419994333194625</v>
      </c>
      <c r="O225" s="8">
        <f t="shared" si="10"/>
        <v>3.3979258905566234</v>
      </c>
      <c r="P225" s="12">
        <f t="shared" si="11"/>
        <v>1</v>
      </c>
      <c r="Q225" s="11">
        <f>IF(P225=Sheet1!M225, 1, 0)</f>
        <v>0</v>
      </c>
    </row>
    <row r="226" spans="1:17" x14ac:dyDescent="0.35">
      <c r="A226" s="6" t="s">
        <v>247</v>
      </c>
      <c r="B226" s="6" t="s">
        <v>250</v>
      </c>
      <c r="C226" s="6">
        <v>0.72695282265387751</v>
      </c>
      <c r="D226" s="6">
        <v>-0.69762869888540213</v>
      </c>
      <c r="E226" s="6">
        <v>-0.30200331901082006</v>
      </c>
      <c r="F226" s="6">
        <v>3.5932829035024615E-2</v>
      </c>
      <c r="G226" s="6">
        <v>1.3162158423916726</v>
      </c>
      <c r="H226" s="6">
        <v>1.0125121643054118</v>
      </c>
      <c r="I226" s="6">
        <v>0.60966183103048377</v>
      </c>
      <c r="J226" s="6">
        <v>-1.0854427707906007</v>
      </c>
      <c r="K226" s="6">
        <v>1.0211832526736213</v>
      </c>
      <c r="L226" s="6">
        <v>-0.16188865598411101</v>
      </c>
      <c r="N226" s="8">
        <f t="shared" si="9"/>
        <v>3.7370019910915793</v>
      </c>
      <c r="O226" s="8">
        <f t="shared" si="10"/>
        <v>6.1567445339171512</v>
      </c>
      <c r="P226" s="12">
        <f t="shared" si="11"/>
        <v>0</v>
      </c>
      <c r="Q226" s="11">
        <f>IF(P226=Sheet1!M226, 1, 0)</f>
        <v>1</v>
      </c>
    </row>
    <row r="227" spans="1:17" x14ac:dyDescent="0.35">
      <c r="A227" s="6" t="s">
        <v>247</v>
      </c>
      <c r="B227" s="6" t="s">
        <v>251</v>
      </c>
      <c r="C227" s="6">
        <v>-0.48757687110282733</v>
      </c>
      <c r="D227" s="6">
        <v>1.5242462239896968</v>
      </c>
      <c r="E227" s="6">
        <v>2.1128062493827935</v>
      </c>
      <c r="F227" s="6">
        <v>2.1682111229636449</v>
      </c>
      <c r="G227" s="6">
        <v>1.5281719758741599</v>
      </c>
      <c r="H227" s="6">
        <v>1.1423230552045154</v>
      </c>
      <c r="I227" s="6">
        <v>0.7091111823976638</v>
      </c>
      <c r="J227" s="6">
        <v>4.1947195757804846E-2</v>
      </c>
      <c r="K227" s="6">
        <v>0.56110231242673703</v>
      </c>
      <c r="L227" s="6">
        <v>0.28882973693992725</v>
      </c>
      <c r="N227" s="8">
        <f t="shared" si="9"/>
        <v>5.6311982213575016</v>
      </c>
      <c r="O227" s="8">
        <f t="shared" si="10"/>
        <v>2.6978862747081229</v>
      </c>
      <c r="P227" s="12">
        <f t="shared" si="11"/>
        <v>1</v>
      </c>
      <c r="Q227" s="11">
        <f>IF(P227=Sheet1!M227, 1, 0)</f>
        <v>0</v>
      </c>
    </row>
    <row r="228" spans="1:17" x14ac:dyDescent="0.35">
      <c r="A228" s="6" t="s">
        <v>247</v>
      </c>
      <c r="B228" s="6" t="s">
        <v>252</v>
      </c>
      <c r="C228" s="6">
        <v>-0.61506893840325494</v>
      </c>
      <c r="D228" s="6">
        <v>2.0152683063930339</v>
      </c>
      <c r="E228" s="6">
        <v>3.1225687248926173</v>
      </c>
      <c r="F228" s="6">
        <v>2.6581421182449327</v>
      </c>
      <c r="G228" s="6">
        <v>1.4817158370286845</v>
      </c>
      <c r="H228" s="6">
        <v>1.1293958295548123</v>
      </c>
      <c r="I228" s="6">
        <v>0.94753462734205607</v>
      </c>
      <c r="J228" s="6">
        <v>1.5451338178223459</v>
      </c>
      <c r="K228" s="6">
        <v>0.37487907470776016</v>
      </c>
      <c r="L228" s="6">
        <v>0.13427154400603661</v>
      </c>
      <c r="N228" s="8">
        <f t="shared" si="9"/>
        <v>6.7182703759341198</v>
      </c>
      <c r="O228" s="8">
        <f t="shared" si="10"/>
        <v>1.9764594142840139</v>
      </c>
      <c r="P228" s="12">
        <f t="shared" si="11"/>
        <v>1</v>
      </c>
      <c r="Q228" s="11">
        <f>IF(P228=Sheet1!M228, 1, 0)</f>
        <v>0</v>
      </c>
    </row>
    <row r="229" spans="1:17" x14ac:dyDescent="0.35">
      <c r="A229" s="6" t="s">
        <v>253</v>
      </c>
      <c r="B229" s="6" t="s">
        <v>254</v>
      </c>
      <c r="C229" s="6">
        <v>0.38071120830113708</v>
      </c>
      <c r="D229" s="6">
        <v>-0.50735764195410882</v>
      </c>
      <c r="E229" s="6">
        <v>-0.52966957580216301</v>
      </c>
      <c r="F229" s="6">
        <v>-0.20903266860561937</v>
      </c>
      <c r="G229" s="6">
        <v>0.70067200268910856</v>
      </c>
      <c r="H229" s="6">
        <v>-0.29636943272704497</v>
      </c>
      <c r="I229" s="6">
        <v>-0.53719318890257117</v>
      </c>
      <c r="J229" s="6">
        <v>-1.1461775838033095</v>
      </c>
      <c r="K229" s="6">
        <v>1.7379079827180879</v>
      </c>
      <c r="L229" s="6">
        <v>-0.22685043175476557</v>
      </c>
      <c r="N229" s="8">
        <f t="shared" si="9"/>
        <v>3.2583303124874505</v>
      </c>
      <c r="O229" s="8">
        <f t="shared" si="10"/>
        <v>6.7668516980571853</v>
      </c>
      <c r="P229" s="12">
        <f t="shared" si="11"/>
        <v>0</v>
      </c>
      <c r="Q229" s="11">
        <f>IF(P229=Sheet1!M229, 1, 0)</f>
        <v>1</v>
      </c>
    </row>
    <row r="230" spans="1:17" x14ac:dyDescent="0.35">
      <c r="A230" s="6" t="s">
        <v>253</v>
      </c>
      <c r="B230" s="6" t="s">
        <v>255</v>
      </c>
      <c r="C230" s="6">
        <v>-0.27016934581157204</v>
      </c>
      <c r="D230" s="6">
        <v>-0.54418429813435942</v>
      </c>
      <c r="E230" s="6">
        <v>-0.17453968656777041</v>
      </c>
      <c r="F230" s="6">
        <v>0.17459254468067273</v>
      </c>
      <c r="G230" s="6">
        <v>0.92714567956080651</v>
      </c>
      <c r="H230" s="6">
        <v>0.55413428814301613</v>
      </c>
      <c r="I230" s="6">
        <v>0.71166116576605254</v>
      </c>
      <c r="J230" s="6">
        <v>-0.25793094349244444</v>
      </c>
      <c r="K230" s="6">
        <v>0.49537646382003891</v>
      </c>
      <c r="L230" s="6">
        <v>-0.15345528037507564</v>
      </c>
      <c r="N230" s="8">
        <f t="shared" si="9"/>
        <v>3.247314976928616</v>
      </c>
      <c r="O230" s="8">
        <f t="shared" si="10"/>
        <v>5.3244475504984035</v>
      </c>
      <c r="P230" s="12">
        <f t="shared" si="11"/>
        <v>0</v>
      </c>
      <c r="Q230" s="11">
        <f>IF(P230=Sheet1!M230, 1, 0)</f>
        <v>1</v>
      </c>
    </row>
    <row r="231" spans="1:17" x14ac:dyDescent="0.35">
      <c r="A231" s="6" t="s">
        <v>253</v>
      </c>
      <c r="B231" s="6" t="s">
        <v>256</v>
      </c>
      <c r="C231" s="6">
        <v>-1.7869254732831037E-2</v>
      </c>
      <c r="D231" s="6">
        <v>-0.5380465221043178</v>
      </c>
      <c r="E231" s="6">
        <v>-0.21432602270606335</v>
      </c>
      <c r="F231" s="6">
        <v>2.0526193963286907E-2</v>
      </c>
      <c r="G231" s="6">
        <v>1.220400056022878</v>
      </c>
      <c r="H231" s="6">
        <v>-9.2765628744218259E-2</v>
      </c>
      <c r="I231" s="6">
        <v>-0.59648030221762027</v>
      </c>
      <c r="J231" s="6">
        <v>-0.5805846376224596</v>
      </c>
      <c r="K231" s="6">
        <v>0.45312413257287665</v>
      </c>
      <c r="L231" s="6">
        <v>-0.18816088174274986</v>
      </c>
      <c r="N231" s="8">
        <f t="shared" si="9"/>
        <v>3.3229752136235517</v>
      </c>
      <c r="O231" s="8">
        <f t="shared" si="10"/>
        <v>5.8648016905524623</v>
      </c>
      <c r="P231" s="12">
        <f t="shared" si="11"/>
        <v>0</v>
      </c>
      <c r="Q231" s="11">
        <f>IF(P231=Sheet1!M231, 1, 0)</f>
        <v>1</v>
      </c>
    </row>
    <row r="232" spans="1:17" x14ac:dyDescent="0.35">
      <c r="A232" s="6" t="s">
        <v>253</v>
      </c>
      <c r="B232" s="6" t="s">
        <v>257</v>
      </c>
      <c r="C232" s="6">
        <v>-0.63922533010228344</v>
      </c>
      <c r="D232" s="6">
        <v>-5.9299991761064347E-2</v>
      </c>
      <c r="E232" s="6">
        <v>0.17764306665637825</v>
      </c>
      <c r="F232" s="6">
        <v>0.49659121768000963</v>
      </c>
      <c r="G232" s="6">
        <v>1.3075053163581454</v>
      </c>
      <c r="H232" s="6">
        <v>0.43994379490397106</v>
      </c>
      <c r="I232" s="6">
        <v>0.78178570839675676</v>
      </c>
      <c r="J232" s="6">
        <v>-5.6746875387846736E-2</v>
      </c>
      <c r="K232" s="6">
        <v>0.43747512099985425</v>
      </c>
      <c r="L232" s="6">
        <v>0.11338360922119914</v>
      </c>
      <c r="N232" s="8">
        <f t="shared" si="9"/>
        <v>3.7107101745302327</v>
      </c>
      <c r="O232" s="8">
        <f t="shared" si="10"/>
        <v>4.6988605154333793</v>
      </c>
      <c r="P232" s="12">
        <f t="shared" si="11"/>
        <v>0</v>
      </c>
      <c r="Q232" s="11">
        <f>IF(P232=Sheet1!M232, 1, 0)</f>
        <v>1</v>
      </c>
    </row>
    <row r="233" spans="1:17" x14ac:dyDescent="0.35">
      <c r="A233" s="6" t="s">
        <v>253</v>
      </c>
      <c r="B233" s="6" t="s">
        <v>258</v>
      </c>
      <c r="C233" s="6">
        <v>-0.35203267323605703</v>
      </c>
      <c r="D233" s="6">
        <v>-0.57487317828456785</v>
      </c>
      <c r="E233" s="6">
        <v>0.15922346659235373</v>
      </c>
      <c r="F233" s="6">
        <v>0.17305188117349807</v>
      </c>
      <c r="G233" s="6">
        <v>1.1478123390768211</v>
      </c>
      <c r="H233" s="6">
        <v>-8.2531575104869942E-2</v>
      </c>
      <c r="I233" s="6">
        <v>0.52232490066315251</v>
      </c>
      <c r="J233" s="6">
        <v>-0.53123760204963355</v>
      </c>
      <c r="K233" s="6">
        <v>0.15266311037082919</v>
      </c>
      <c r="L233" s="6">
        <v>7.8062565987579755E-2</v>
      </c>
      <c r="N233" s="8">
        <f t="shared" si="9"/>
        <v>3.4975798415346055</v>
      </c>
      <c r="O233" s="8">
        <f t="shared" si="10"/>
        <v>5.3497949950635846</v>
      </c>
      <c r="P233" s="12">
        <f t="shared" si="11"/>
        <v>0</v>
      </c>
      <c r="Q233" s="11">
        <f>IF(P233=Sheet1!M233, 1, 0)</f>
        <v>1</v>
      </c>
    </row>
    <row r="234" spans="1:17" x14ac:dyDescent="0.35">
      <c r="A234" s="6" t="s">
        <v>253</v>
      </c>
      <c r="B234" s="6" t="s">
        <v>259</v>
      </c>
      <c r="C234" s="6">
        <v>-8.4970342785687644E-2</v>
      </c>
      <c r="D234" s="6">
        <v>-0.21888216854214865</v>
      </c>
      <c r="E234" s="6">
        <v>0.29552850706613509</v>
      </c>
      <c r="F234" s="6">
        <v>0.40569207075675146</v>
      </c>
      <c r="G234" s="6">
        <v>0.86907550600396422</v>
      </c>
      <c r="H234" s="6">
        <v>0.52343212722497123</v>
      </c>
      <c r="I234" s="6">
        <v>0.71484864497653888</v>
      </c>
      <c r="J234" s="6">
        <v>3.4355344131216416E-2</v>
      </c>
      <c r="K234" s="6">
        <v>-1.9476016932426125E-2</v>
      </c>
      <c r="L234" s="6">
        <v>0.15457287205003942</v>
      </c>
      <c r="N234" s="8">
        <f t="shared" si="9"/>
        <v>3.2865460002588351</v>
      </c>
      <c r="O234" s="8">
        <f t="shared" si="10"/>
        <v>4.6017715004639665</v>
      </c>
      <c r="P234" s="12">
        <f t="shared" si="11"/>
        <v>0</v>
      </c>
      <c r="Q234" s="11">
        <f>IF(P234=Sheet1!M234, 1, 0)</f>
        <v>1</v>
      </c>
    </row>
    <row r="235" spans="1:17" x14ac:dyDescent="0.35">
      <c r="A235" s="6" t="s">
        <v>253</v>
      </c>
      <c r="B235" s="6" t="s">
        <v>260</v>
      </c>
      <c r="C235" s="6">
        <v>-0.23796082354620079</v>
      </c>
      <c r="D235" s="6">
        <v>-0.61783761049485997</v>
      </c>
      <c r="E235" s="6">
        <v>-5.9601382168257465E-2</v>
      </c>
      <c r="F235" s="6">
        <v>0.10372202335067403</v>
      </c>
      <c r="G235" s="6">
        <v>0.85746147129259331</v>
      </c>
      <c r="H235" s="6">
        <v>0.1932492387554669</v>
      </c>
      <c r="I235" s="6">
        <v>0.5739620638730345</v>
      </c>
      <c r="J235" s="6">
        <v>0.12925348946357379</v>
      </c>
      <c r="K235" s="6">
        <v>-0.15249261530312544</v>
      </c>
      <c r="L235" s="6">
        <v>0.97485760712348635</v>
      </c>
      <c r="N235" s="8">
        <f t="shared" si="9"/>
        <v>3.410661031944036</v>
      </c>
      <c r="O235" s="8">
        <f t="shared" si="10"/>
        <v>5.2673158935171625</v>
      </c>
      <c r="P235" s="12">
        <f t="shared" si="11"/>
        <v>0</v>
      </c>
      <c r="Q235" s="11">
        <f>IF(P235=Sheet1!M235, 1, 0)</f>
        <v>1</v>
      </c>
    </row>
    <row r="236" spans="1:17" x14ac:dyDescent="0.35">
      <c r="A236" s="6" t="s">
        <v>253</v>
      </c>
      <c r="B236" s="6" t="s">
        <v>261</v>
      </c>
      <c r="C236" s="6">
        <v>-0.29835180279377166</v>
      </c>
      <c r="D236" s="6">
        <v>-1.0843085887780297</v>
      </c>
      <c r="E236" s="6">
        <v>-0.4132577033975281</v>
      </c>
      <c r="F236" s="6">
        <v>-0.5941985453990839</v>
      </c>
      <c r="G236" s="6">
        <v>0.16061938861044522</v>
      </c>
      <c r="H236" s="6">
        <v>0.32521466726285392</v>
      </c>
      <c r="I236" s="6">
        <v>0.67532390276650645</v>
      </c>
      <c r="J236" s="6">
        <v>-0.5881764892490482</v>
      </c>
      <c r="K236" s="6">
        <v>-0.51241988148266071</v>
      </c>
      <c r="L236" s="6">
        <v>1.3776597790438605E-2</v>
      </c>
      <c r="N236" s="8">
        <f t="shared" si="9"/>
        <v>3.03349605957896</v>
      </c>
      <c r="O236" s="8">
        <f t="shared" si="10"/>
        <v>6.0910906212907321</v>
      </c>
      <c r="P236" s="12">
        <f t="shared" si="11"/>
        <v>0</v>
      </c>
      <c r="Q236" s="11">
        <f>IF(P236=Sheet1!M236, 1, 0)</f>
        <v>1</v>
      </c>
    </row>
    <row r="237" spans="1:17" x14ac:dyDescent="0.35">
      <c r="A237" s="6" t="s">
        <v>253</v>
      </c>
      <c r="B237" s="6" t="s">
        <v>262</v>
      </c>
      <c r="C237" s="6">
        <v>-0.25003901939571499</v>
      </c>
      <c r="D237" s="6">
        <v>-1.1947885573187804</v>
      </c>
      <c r="E237" s="6">
        <v>-0.33700055913246663</v>
      </c>
      <c r="F237" s="6">
        <v>-0.40161560700235166</v>
      </c>
      <c r="G237" s="6">
        <v>-0.10940691842888441</v>
      </c>
      <c r="H237" s="6">
        <v>-0.70196113748648536</v>
      </c>
      <c r="I237" s="6">
        <v>0.58734947655707759</v>
      </c>
      <c r="J237" s="6">
        <v>0.14443719271675098</v>
      </c>
      <c r="K237" s="6">
        <v>-7.7377359752613006E-2</v>
      </c>
      <c r="L237" s="6">
        <v>0.68378197996613654</v>
      </c>
      <c r="N237" s="8">
        <f t="shared" si="9"/>
        <v>2.9087318646506759</v>
      </c>
      <c r="O237" s="8">
        <f t="shared" si="10"/>
        <v>6.200130541838254</v>
      </c>
      <c r="P237" s="12">
        <f t="shared" si="11"/>
        <v>0</v>
      </c>
      <c r="Q237" s="11">
        <f>IF(P237=Sheet1!M237, 1, 0)</f>
        <v>1</v>
      </c>
    </row>
    <row r="238" spans="1:17" x14ac:dyDescent="0.35">
      <c r="A238" s="6" t="s">
        <v>253</v>
      </c>
      <c r="B238" s="6" t="s">
        <v>263</v>
      </c>
      <c r="C238" s="6">
        <v>-0.56407211148308389</v>
      </c>
      <c r="D238" s="6">
        <v>-0.62397538652490159</v>
      </c>
      <c r="E238" s="6">
        <v>0.69707578846186946</v>
      </c>
      <c r="F238" s="6">
        <v>0.22389377691023513</v>
      </c>
      <c r="G238" s="6">
        <v>0.3086983311804028</v>
      </c>
      <c r="H238" s="6">
        <v>0.21264007723002179</v>
      </c>
      <c r="I238" s="6">
        <v>0.57523705555722882</v>
      </c>
      <c r="J238" s="6">
        <v>0.13684534109016222</v>
      </c>
      <c r="K238" s="6">
        <v>0.44686452794366632</v>
      </c>
      <c r="L238" s="6">
        <v>0.70012911387170906</v>
      </c>
      <c r="N238" s="8">
        <f t="shared" si="9"/>
        <v>3.4743184745349782</v>
      </c>
      <c r="O238" s="8">
        <f t="shared" si="10"/>
        <v>4.9661441347043143</v>
      </c>
      <c r="P238" s="12">
        <f t="shared" si="11"/>
        <v>0</v>
      </c>
      <c r="Q238" s="11">
        <f>IF(P238=Sheet1!M238, 1, 0)</f>
        <v>1</v>
      </c>
    </row>
    <row r="239" spans="1:17" x14ac:dyDescent="0.35">
      <c r="A239" s="6" t="s">
        <v>253</v>
      </c>
      <c r="B239" s="6" t="s">
        <v>264</v>
      </c>
      <c r="C239" s="6">
        <v>0.3297143813809662</v>
      </c>
      <c r="D239" s="6">
        <v>-1.5323662389710742</v>
      </c>
      <c r="E239" s="6">
        <v>0.13454120250656088</v>
      </c>
      <c r="F239" s="6">
        <v>-0.51408404302604171</v>
      </c>
      <c r="G239" s="6">
        <v>-0.80334549243318876</v>
      </c>
      <c r="H239" s="6">
        <v>-1.3133111838370364</v>
      </c>
      <c r="I239" s="6">
        <v>0.52933735492622291</v>
      </c>
      <c r="J239" s="6">
        <v>-0.22756353698609008</v>
      </c>
      <c r="K239" s="6">
        <v>0.69255400964013314</v>
      </c>
      <c r="L239" s="6">
        <v>-0.16804658500661951</v>
      </c>
      <c r="N239" s="8">
        <f t="shared" si="9"/>
        <v>2.933877252535432</v>
      </c>
      <c r="O239" s="8">
        <f t="shared" si="10"/>
        <v>6.8458278348325932</v>
      </c>
      <c r="P239" s="12">
        <f t="shared" si="11"/>
        <v>0</v>
      </c>
      <c r="Q239" s="11">
        <f>IF(P239=Sheet1!M239, 1, 0)</f>
        <v>1</v>
      </c>
    </row>
    <row r="240" spans="1:17" x14ac:dyDescent="0.35">
      <c r="A240" s="6" t="s">
        <v>253</v>
      </c>
      <c r="B240" s="6" t="s">
        <v>265</v>
      </c>
      <c r="C240" s="6">
        <v>4.7889811558968473E-2</v>
      </c>
      <c r="D240" s="6">
        <v>-1.1149974689282383</v>
      </c>
      <c r="E240" s="6">
        <v>-0.12112284638209933</v>
      </c>
      <c r="F240" s="6">
        <v>-0.33074508567235295</v>
      </c>
      <c r="G240" s="6">
        <v>-0.12102095314025532</v>
      </c>
      <c r="H240" s="6">
        <v>-0.93788300559357041</v>
      </c>
      <c r="I240" s="6">
        <v>0.87613509302715742</v>
      </c>
      <c r="J240" s="6">
        <v>-0.52364575042304495</v>
      </c>
      <c r="K240" s="6">
        <v>0.338886348089806</v>
      </c>
      <c r="L240" s="6">
        <v>-0.17234719765172146</v>
      </c>
      <c r="N240" s="8">
        <f t="shared" si="9"/>
        <v>2.8055084009837374</v>
      </c>
      <c r="O240" s="8">
        <f t="shared" si="10"/>
        <v>6.3228690102630729</v>
      </c>
      <c r="P240" s="12">
        <f t="shared" si="11"/>
        <v>0</v>
      </c>
      <c r="Q240" s="11">
        <f>IF(P240=Sheet1!M240, 1, 0)</f>
        <v>1</v>
      </c>
    </row>
    <row r="241" spans="1:17" x14ac:dyDescent="0.35">
      <c r="A241" s="6" t="s">
        <v>253</v>
      </c>
      <c r="B241" s="6" t="s">
        <v>266</v>
      </c>
      <c r="C241" s="6">
        <v>0.89067947750284748</v>
      </c>
      <c r="D241" s="6">
        <v>-1.4218862704303237</v>
      </c>
      <c r="E241" s="6">
        <v>0.23732257086381767</v>
      </c>
      <c r="F241" s="6">
        <v>-0.56492593876277875</v>
      </c>
      <c r="G241" s="6">
        <v>-0.66688058457460209</v>
      </c>
      <c r="H241" s="6">
        <v>-0.81130392110689231</v>
      </c>
      <c r="I241" s="6">
        <v>0.51276246303169348</v>
      </c>
      <c r="J241" s="6">
        <v>-0.19340020466644148</v>
      </c>
      <c r="K241" s="6">
        <v>0.59083543441548092</v>
      </c>
      <c r="L241" s="6">
        <v>3.5528019202226022E-2</v>
      </c>
      <c r="N241" s="8">
        <f t="shared" si="9"/>
        <v>2.7391941407969682</v>
      </c>
      <c r="O241" s="8">
        <f t="shared" si="10"/>
        <v>6.6424031478359504</v>
      </c>
      <c r="P241" s="12">
        <f t="shared" si="11"/>
        <v>0</v>
      </c>
      <c r="Q241" s="11">
        <f>IF(P241=Sheet1!M241, 1, 0)</f>
        <v>1</v>
      </c>
    </row>
    <row r="242" spans="1:17" x14ac:dyDescent="0.35">
      <c r="A242" s="6" t="s">
        <v>253</v>
      </c>
      <c r="B242" s="6" t="s">
        <v>267</v>
      </c>
      <c r="C242" s="6">
        <v>-0.34532256443077147</v>
      </c>
      <c r="D242" s="6">
        <v>-0.6301131625549431</v>
      </c>
      <c r="E242" s="6">
        <v>-1.0236853996671774E-2</v>
      </c>
      <c r="F242" s="6">
        <v>-0.15356878234735838</v>
      </c>
      <c r="G242" s="6">
        <v>0.17223342332181613</v>
      </c>
      <c r="H242" s="6">
        <v>0.30797836639658327</v>
      </c>
      <c r="I242" s="6">
        <v>0.77923572502836713</v>
      </c>
      <c r="J242" s="6">
        <v>0.36839681570111432</v>
      </c>
      <c r="K242" s="6">
        <v>-6.7987952808798685E-2</v>
      </c>
      <c r="L242" s="6">
        <v>1.7899966096458755</v>
      </c>
      <c r="N242" s="8">
        <f t="shared" si="9"/>
        <v>3.542096870317037</v>
      </c>
      <c r="O242" s="8">
        <f t="shared" si="10"/>
        <v>5.5260154636636063</v>
      </c>
      <c r="P242" s="12">
        <f t="shared" si="11"/>
        <v>0</v>
      </c>
      <c r="Q242" s="11">
        <f>IF(P242=Sheet1!M242, 1, 0)</f>
        <v>1</v>
      </c>
    </row>
    <row r="243" spans="1:17" x14ac:dyDescent="0.35">
      <c r="A243" s="6" t="s">
        <v>253</v>
      </c>
      <c r="B243" s="6" t="s">
        <v>268</v>
      </c>
      <c r="C243" s="6">
        <v>-0.85126476834931031</v>
      </c>
      <c r="D243" s="6">
        <v>1.4014907033888628</v>
      </c>
      <c r="E243" s="6">
        <v>1.566849303485107</v>
      </c>
      <c r="F243" s="6">
        <v>1.6520888480604032</v>
      </c>
      <c r="G243" s="6">
        <v>1.2784702295797243</v>
      </c>
      <c r="H243" s="6">
        <v>0.9613418961086696</v>
      </c>
      <c r="I243" s="6">
        <v>0.74481094955511218</v>
      </c>
      <c r="J243" s="6">
        <v>2.2056249093355524</v>
      </c>
      <c r="K243" s="6">
        <v>-0.46860264907819527</v>
      </c>
      <c r="L243" s="6">
        <v>2.4872652682932488</v>
      </c>
      <c r="N243" s="8">
        <f t="shared" si="9"/>
        <v>6.1040496079830113</v>
      </c>
      <c r="O243" s="8">
        <f t="shared" si="10"/>
        <v>3.3783224064622854</v>
      </c>
      <c r="P243" s="12">
        <f t="shared" si="11"/>
        <v>1</v>
      </c>
      <c r="Q243" s="11">
        <f>IF(P243=Sheet1!M243, 1, 0)</f>
        <v>0</v>
      </c>
    </row>
    <row r="244" spans="1:17" x14ac:dyDescent="0.35">
      <c r="A244" s="6" t="s">
        <v>253</v>
      </c>
      <c r="B244" s="6" t="s">
        <v>269</v>
      </c>
      <c r="C244" s="6">
        <v>-0.22185656241351531</v>
      </c>
      <c r="D244" s="6">
        <v>0.12483328914018736</v>
      </c>
      <c r="E244" s="6">
        <v>0.92805757326473681</v>
      </c>
      <c r="F244" s="6">
        <v>0.65065756839739541</v>
      </c>
      <c r="G244" s="6">
        <v>0.85165445393690997</v>
      </c>
      <c r="H244" s="6">
        <v>0.54605477211195208</v>
      </c>
      <c r="I244" s="6">
        <v>0.84362280508019538</v>
      </c>
      <c r="J244" s="6">
        <v>0.1823964508496938</v>
      </c>
      <c r="K244" s="6">
        <v>0.15735781384273634</v>
      </c>
      <c r="L244" s="6">
        <v>0.79891311232576523</v>
      </c>
      <c r="N244" s="8">
        <f t="shared" si="9"/>
        <v>3.8175653395202711</v>
      </c>
      <c r="O244" s="8">
        <f t="shared" si="10"/>
        <v>4.0785773695055925</v>
      </c>
      <c r="P244" s="12">
        <f t="shared" si="11"/>
        <v>0</v>
      </c>
      <c r="Q244" s="11">
        <f>IF(P244=Sheet1!M244, 1, 0)</f>
        <v>1</v>
      </c>
    </row>
    <row r="245" spans="1:17" x14ac:dyDescent="0.35">
      <c r="A245" s="6" t="s">
        <v>253</v>
      </c>
      <c r="B245" s="6" t="s">
        <v>270</v>
      </c>
      <c r="C245" s="6">
        <v>-0.30506191159905743</v>
      </c>
      <c r="D245" s="6">
        <v>6.9593304869812064E-2</v>
      </c>
      <c r="E245" s="6">
        <v>0.39388917140802598</v>
      </c>
      <c r="F245" s="6">
        <v>0.54281112289522493</v>
      </c>
      <c r="G245" s="6">
        <v>0.82261936715848472</v>
      </c>
      <c r="H245" s="6">
        <v>0.74050179125957216</v>
      </c>
      <c r="I245" s="6">
        <v>0.9118348601846068</v>
      </c>
      <c r="J245" s="6">
        <v>0.77076495191030947</v>
      </c>
      <c r="K245" s="6">
        <v>0.19178563930338741</v>
      </c>
      <c r="L245" s="6">
        <v>0.13768501686359072</v>
      </c>
      <c r="N245" s="8">
        <f t="shared" si="9"/>
        <v>3.4719480915277163</v>
      </c>
      <c r="O245" s="8">
        <f t="shared" si="10"/>
        <v>4.1230324368111004</v>
      </c>
      <c r="P245" s="12">
        <f t="shared" si="11"/>
        <v>0</v>
      </c>
      <c r="Q245" s="11">
        <f>IF(P245=Sheet1!M245, 1, 0)</f>
        <v>1</v>
      </c>
    </row>
    <row r="246" spans="1:17" x14ac:dyDescent="0.35">
      <c r="A246" s="6" t="s">
        <v>253</v>
      </c>
      <c r="B246" s="6" t="s">
        <v>271</v>
      </c>
      <c r="C246" s="6">
        <v>-5.6787885803487995E-2</v>
      </c>
      <c r="D246" s="6">
        <v>-0.40301544944339984</v>
      </c>
      <c r="E246" s="6">
        <v>0.68049814840424738</v>
      </c>
      <c r="F246" s="6">
        <v>0.31479292383349328</v>
      </c>
      <c r="G246" s="6">
        <v>0.56420709483052189</v>
      </c>
      <c r="H246" s="6">
        <v>0.2498058509729186</v>
      </c>
      <c r="I246" s="6">
        <v>0.88569753065861745</v>
      </c>
      <c r="J246" s="6">
        <v>-3.0175394694786566E-2</v>
      </c>
      <c r="K246" s="6">
        <v>-0.81757560715661526</v>
      </c>
      <c r="L246" s="6">
        <v>-6.9442346394103502E-2</v>
      </c>
      <c r="N246" s="8">
        <f t="shared" si="9"/>
        <v>3.4284956220849643</v>
      </c>
      <c r="O246" s="8">
        <f t="shared" si="10"/>
        <v>4.5476745462305264</v>
      </c>
      <c r="P246" s="12">
        <f t="shared" si="11"/>
        <v>0</v>
      </c>
      <c r="Q246" s="11">
        <f>IF(P246=Sheet1!M246, 1, 0)</f>
        <v>1</v>
      </c>
    </row>
    <row r="247" spans="1:17" x14ac:dyDescent="0.35">
      <c r="A247" s="6" t="s">
        <v>253</v>
      </c>
      <c r="B247" s="6" t="s">
        <v>272</v>
      </c>
      <c r="C247" s="6">
        <v>-4.8735755237145136E-2</v>
      </c>
      <c r="D247" s="6">
        <v>-0.37846434532323298</v>
      </c>
      <c r="E247" s="6">
        <v>0.49114465974607541</v>
      </c>
      <c r="F247" s="6">
        <v>0.30092695226892807</v>
      </c>
      <c r="G247" s="6">
        <v>0.53517200805210074</v>
      </c>
      <c r="H247" s="6">
        <v>0.64031579247437176</v>
      </c>
      <c r="I247" s="6">
        <v>0.63516166471437552</v>
      </c>
      <c r="J247" s="6">
        <v>-2.6379468881492351E-2</v>
      </c>
      <c r="K247" s="6">
        <v>-0.26516549862889294</v>
      </c>
      <c r="L247" s="6">
        <v>-0.17952471998212227</v>
      </c>
      <c r="N247" s="8">
        <f t="shared" si="9"/>
        <v>3.196000302569316</v>
      </c>
      <c r="O247" s="8">
        <f t="shared" si="10"/>
        <v>4.6113344023448226</v>
      </c>
      <c r="P247" s="12">
        <f t="shared" si="11"/>
        <v>0</v>
      </c>
      <c r="Q247" s="11">
        <f>IF(P247=Sheet1!M247, 1, 0)</f>
        <v>1</v>
      </c>
    </row>
    <row r="248" spans="1:17" x14ac:dyDescent="0.35">
      <c r="A248" s="6" t="s">
        <v>253</v>
      </c>
      <c r="B248" s="6" t="s">
        <v>273</v>
      </c>
      <c r="C248" s="6">
        <v>-0.21648847536928667</v>
      </c>
      <c r="D248" s="6">
        <v>-4.7024439700981191E-2</v>
      </c>
      <c r="E248" s="6">
        <v>0.5556132599701612</v>
      </c>
      <c r="F248" s="6">
        <v>0.65065756839739541</v>
      </c>
      <c r="G248" s="6">
        <v>0.86907550600396422</v>
      </c>
      <c r="H248" s="6">
        <v>0.603150018731475</v>
      </c>
      <c r="I248" s="6">
        <v>0.94115966892108338</v>
      </c>
      <c r="J248" s="6">
        <v>-0.4553190857837478</v>
      </c>
      <c r="K248" s="6">
        <v>0.60178974251659834</v>
      </c>
      <c r="L248" s="6">
        <v>-0.17859067087872441</v>
      </c>
      <c r="N248" s="8">
        <f t="shared" si="9"/>
        <v>3.5804656361057443</v>
      </c>
      <c r="O248" s="8">
        <f t="shared" si="10"/>
        <v>4.5992712928213795</v>
      </c>
      <c r="P248" s="12">
        <f t="shared" si="11"/>
        <v>0</v>
      </c>
      <c r="Q248" s="11">
        <f>IF(P248=Sheet1!M248, 1, 0)</f>
        <v>1</v>
      </c>
    </row>
    <row r="249" spans="1:17" x14ac:dyDescent="0.35">
      <c r="A249" s="6" t="s">
        <v>253</v>
      </c>
      <c r="B249" s="6" t="s">
        <v>274</v>
      </c>
      <c r="C249" s="6">
        <v>0.4424442093097653</v>
      </c>
      <c r="D249" s="6">
        <v>-0.72217980300556894</v>
      </c>
      <c r="E249" s="6">
        <v>0.41783465149125787</v>
      </c>
      <c r="F249" s="6">
        <v>0.17151121766632563</v>
      </c>
      <c r="G249" s="6">
        <v>0.79939129773574702</v>
      </c>
      <c r="H249" s="6">
        <v>0.1156858848572466</v>
      </c>
      <c r="I249" s="6">
        <v>0.9424346606052777</v>
      </c>
      <c r="J249" s="6">
        <v>-0.30727797906527027</v>
      </c>
      <c r="K249" s="6">
        <v>0.53449899275259716</v>
      </c>
      <c r="L249" s="6">
        <v>-0.17009843400343092</v>
      </c>
      <c r="N249" s="8">
        <f t="shared" si="9"/>
        <v>3.2612873953844366</v>
      </c>
      <c r="O249" s="8">
        <f t="shared" si="10"/>
        <v>5.3659654960032626</v>
      </c>
      <c r="P249" s="12">
        <f t="shared" si="11"/>
        <v>0</v>
      </c>
      <c r="Q249" s="11">
        <f>IF(P249=Sheet1!M249, 1, 0)</f>
        <v>1</v>
      </c>
    </row>
    <row r="250" spans="1:17" x14ac:dyDescent="0.35">
      <c r="A250" s="6" t="s">
        <v>253</v>
      </c>
      <c r="B250" s="6" t="s">
        <v>275</v>
      </c>
      <c r="C250" s="6">
        <v>0.13377920426662479</v>
      </c>
      <c r="D250" s="6">
        <v>-0.6485264906450684</v>
      </c>
      <c r="E250" s="6">
        <v>-3.8234646093989029E-2</v>
      </c>
      <c r="F250" s="6">
        <v>-5.1884990873884256E-2</v>
      </c>
      <c r="G250" s="6">
        <v>0.59904919896463049</v>
      </c>
      <c r="H250" s="6">
        <v>0.74104042566164263</v>
      </c>
      <c r="I250" s="6">
        <v>0.77158577492319913</v>
      </c>
      <c r="J250" s="6">
        <v>-9.0910207707495333E-2</v>
      </c>
      <c r="K250" s="6">
        <v>0.37174927239315614</v>
      </c>
      <c r="L250" s="6">
        <v>0.91677793991597745</v>
      </c>
      <c r="N250" s="8">
        <f t="shared" si="9"/>
        <v>3.2669255830590149</v>
      </c>
      <c r="O250" s="8">
        <f t="shared" si="10"/>
        <v>5.4491206296722057</v>
      </c>
      <c r="P250" s="12">
        <f t="shared" si="11"/>
        <v>0</v>
      </c>
      <c r="Q250" s="11">
        <f>IF(P250=Sheet1!M250, 1, 0)</f>
        <v>1</v>
      </c>
    </row>
    <row r="251" spans="1:17" x14ac:dyDescent="0.35">
      <c r="A251" s="6" t="s">
        <v>253</v>
      </c>
      <c r="B251" s="6" t="s">
        <v>276</v>
      </c>
      <c r="C251" s="6">
        <v>0.54175381962799285</v>
      </c>
      <c r="D251" s="6">
        <v>-0.77128201124590268</v>
      </c>
      <c r="E251" s="6">
        <v>2.0339682109608917E-2</v>
      </c>
      <c r="F251" s="6">
        <v>-0.15665010936170767</v>
      </c>
      <c r="G251" s="6">
        <v>0.5525930601191551</v>
      </c>
      <c r="H251" s="6">
        <v>0.3553781937788284</v>
      </c>
      <c r="I251" s="6">
        <v>0.71803612418702611</v>
      </c>
      <c r="J251" s="6">
        <v>-0.14405316909361568</v>
      </c>
      <c r="K251" s="6">
        <v>0.67377519575250444</v>
      </c>
      <c r="L251" s="6">
        <v>0.46012107834554333</v>
      </c>
      <c r="N251" s="8">
        <f t="shared" si="9"/>
        <v>2.9792227286416342</v>
      </c>
      <c r="O251" s="8">
        <f t="shared" si="10"/>
        <v>5.6955063749087351</v>
      </c>
      <c r="P251" s="12">
        <f t="shared" si="11"/>
        <v>0</v>
      </c>
      <c r="Q251" s="11">
        <f>IF(P251=Sheet1!M251, 1, 0)</f>
        <v>1</v>
      </c>
    </row>
    <row r="252" spans="1:17" x14ac:dyDescent="0.35">
      <c r="A252" s="6" t="s">
        <v>253</v>
      </c>
      <c r="B252" s="6" t="s">
        <v>277</v>
      </c>
      <c r="C252" s="6">
        <v>0.21295848816899557</v>
      </c>
      <c r="D252" s="6">
        <v>-0.24343327266231607</v>
      </c>
      <c r="E252" s="6">
        <v>0.43662264355656288</v>
      </c>
      <c r="F252" s="6">
        <v>0.49196922715848784</v>
      </c>
      <c r="G252" s="6">
        <v>0.82261936715848472</v>
      </c>
      <c r="H252" s="6">
        <v>0.67317249100070098</v>
      </c>
      <c r="I252" s="6">
        <v>-0.20123288011729001</v>
      </c>
      <c r="J252" s="6">
        <v>-6.0542801201140951E-2</v>
      </c>
      <c r="K252" s="6">
        <v>0.19648034277529458</v>
      </c>
      <c r="L252" s="6">
        <v>0.12395897493554346</v>
      </c>
      <c r="N252" s="8">
        <f t="shared" si="9"/>
        <v>3.2806762417183672</v>
      </c>
      <c r="O252" s="8">
        <f t="shared" si="10"/>
        <v>4.7462593492582856</v>
      </c>
      <c r="P252" s="12">
        <f t="shared" si="11"/>
        <v>0</v>
      </c>
      <c r="Q252" s="11">
        <f>IF(P252=Sheet1!M252, 1, 0)</f>
        <v>1</v>
      </c>
    </row>
    <row r="253" spans="1:17" x14ac:dyDescent="0.35">
      <c r="A253" s="6" t="s">
        <v>253</v>
      </c>
      <c r="B253" s="6" t="s">
        <v>278</v>
      </c>
      <c r="C253" s="6">
        <v>1.9707354576768584E-2</v>
      </c>
      <c r="D253" s="6">
        <v>0.68950868390402453</v>
      </c>
      <c r="E253" s="6">
        <v>1.0886764858230307</v>
      </c>
      <c r="F253" s="6">
        <v>1.0127134925832513</v>
      </c>
      <c r="G253" s="6">
        <v>0.87488252335964767</v>
      </c>
      <c r="H253" s="6">
        <v>0.77335848978590138</v>
      </c>
      <c r="I253" s="6">
        <v>0.24565170519292129</v>
      </c>
      <c r="J253" s="6">
        <v>1.1161942009200903</v>
      </c>
      <c r="K253" s="6">
        <v>-5.3919065167046297E-3</v>
      </c>
      <c r="L253" s="6">
        <v>1.6581159889102921</v>
      </c>
      <c r="N253" s="8">
        <f t="shared" si="9"/>
        <v>4.3859464738088967</v>
      </c>
      <c r="O253" s="8">
        <f t="shared" si="10"/>
        <v>3.6519740781705585</v>
      </c>
      <c r="P253" s="12">
        <f t="shared" si="11"/>
        <v>1</v>
      </c>
      <c r="Q253" s="11">
        <f>IF(P253=Sheet1!M253, 1, 0)</f>
        <v>0</v>
      </c>
    </row>
    <row r="254" spans="1:17" x14ac:dyDescent="0.35">
      <c r="A254" s="6" t="s">
        <v>253</v>
      </c>
      <c r="B254" s="6" t="s">
        <v>279</v>
      </c>
      <c r="C254" s="6">
        <v>1.2476572659440446</v>
      </c>
      <c r="D254" s="6">
        <v>-1.5200906869109911</v>
      </c>
      <c r="E254" s="6">
        <v>-0.60850546407618789</v>
      </c>
      <c r="F254" s="6">
        <v>-0.85765200512581274</v>
      </c>
      <c r="G254" s="6">
        <v>0.16352289728828898</v>
      </c>
      <c r="H254" s="6">
        <v>-2.0340040138079942</v>
      </c>
      <c r="I254" s="6">
        <v>0.78114821255465916</v>
      </c>
      <c r="J254" s="6">
        <v>1.1427656816131504</v>
      </c>
      <c r="K254" s="6">
        <v>-0.12588929562898557</v>
      </c>
      <c r="L254" s="6">
        <v>-0.10053216933804988</v>
      </c>
      <c r="N254" s="8">
        <f t="shared" si="9"/>
        <v>3.4227657358053167</v>
      </c>
      <c r="O254" s="8">
        <f t="shared" si="10"/>
        <v>7.2750683586722875</v>
      </c>
      <c r="P254" s="12">
        <f t="shared" si="11"/>
        <v>0</v>
      </c>
      <c r="Q254" s="11">
        <f>IF(P254=Sheet1!M254, 1, 0)</f>
        <v>0</v>
      </c>
    </row>
    <row r="255" spans="1:17" x14ac:dyDescent="0.35">
      <c r="A255" s="6" t="s">
        <v>253</v>
      </c>
      <c r="B255" s="6" t="s">
        <v>280</v>
      </c>
      <c r="C255" s="6">
        <v>1.5415600316155569</v>
      </c>
      <c r="D255" s="6">
        <v>-2.1952460502155788</v>
      </c>
      <c r="E255" s="6">
        <v>-0.56540359992637057</v>
      </c>
      <c r="F255" s="6">
        <v>-1.097995512244935</v>
      </c>
      <c r="G255" s="6">
        <v>-0.46073146844780222</v>
      </c>
      <c r="H255" s="6">
        <v>-5.2906682990966757E-2</v>
      </c>
      <c r="I255" s="6">
        <v>0.26796405966632758</v>
      </c>
      <c r="J255" s="6">
        <v>-0.61095204412881376</v>
      </c>
      <c r="K255" s="6">
        <v>0.11354058143827095</v>
      </c>
      <c r="L255" s="6">
        <v>-0.16673199583183601</v>
      </c>
      <c r="N255" s="8">
        <f t="shared" si="9"/>
        <v>3.2690042562431407</v>
      </c>
      <c r="O255" s="8">
        <f t="shared" si="10"/>
        <v>7.6575638797110201</v>
      </c>
      <c r="P255" s="12">
        <f t="shared" si="11"/>
        <v>0</v>
      </c>
      <c r="Q255" s="11">
        <f>IF(P255=Sheet1!M255, 1, 0)</f>
        <v>0</v>
      </c>
    </row>
    <row r="256" spans="1:17" x14ac:dyDescent="0.35">
      <c r="A256" s="6" t="s">
        <v>253</v>
      </c>
      <c r="B256" s="6" t="s">
        <v>281</v>
      </c>
      <c r="C256" s="6">
        <v>0.40620962176122277</v>
      </c>
      <c r="D256" s="6">
        <v>-1.0658952606879044</v>
      </c>
      <c r="E256" s="6">
        <v>-0.56024611190844364</v>
      </c>
      <c r="F256" s="6">
        <v>-0.54335664966234465</v>
      </c>
      <c r="G256" s="6">
        <v>-0.57687181556149081</v>
      </c>
      <c r="H256" s="6">
        <v>-0.34215335690307785</v>
      </c>
      <c r="I256" s="6">
        <v>0.25585163866647886</v>
      </c>
      <c r="J256" s="6">
        <v>-0.74380944759411416</v>
      </c>
      <c r="K256" s="6">
        <v>-0.56093181735903319</v>
      </c>
      <c r="L256" s="6">
        <v>-0.21872573824953981</v>
      </c>
      <c r="N256" s="8">
        <f t="shared" si="9"/>
        <v>2.3929763507791</v>
      </c>
      <c r="O256" s="8">
        <f t="shared" si="10"/>
        <v>6.4954431634453274</v>
      </c>
      <c r="P256" s="12">
        <f t="shared" si="11"/>
        <v>0</v>
      </c>
      <c r="Q256" s="11">
        <f>IF(P256=Sheet1!M256, 1, 0)</f>
        <v>1</v>
      </c>
    </row>
    <row r="257" spans="1:17" x14ac:dyDescent="0.35">
      <c r="A257" s="6" t="s">
        <v>253</v>
      </c>
      <c r="B257" s="6" t="s">
        <v>282</v>
      </c>
      <c r="C257" s="6">
        <v>1.1054029592719887</v>
      </c>
      <c r="D257" s="6">
        <v>-1.5446417910311578</v>
      </c>
      <c r="E257" s="6">
        <v>-0.48804127965746763</v>
      </c>
      <c r="F257" s="6">
        <v>-0.44475418520321763</v>
      </c>
      <c r="G257" s="6">
        <v>0.5525930601191551</v>
      </c>
      <c r="H257" s="6">
        <v>-0.62170461157791113</v>
      </c>
      <c r="I257" s="6">
        <v>0.83852283834341712</v>
      </c>
      <c r="J257" s="6">
        <v>-1.0436875868443634</v>
      </c>
      <c r="K257" s="6">
        <v>0.96484681101073766</v>
      </c>
      <c r="L257" s="6">
        <v>4.5912070129967716E-2</v>
      </c>
      <c r="N257" s="8">
        <f t="shared" si="9"/>
        <v>3.4019581888123409</v>
      </c>
      <c r="O257" s="8">
        <f t="shared" si="10"/>
        <v>7.1683195349244961</v>
      </c>
      <c r="P257" s="12">
        <f t="shared" si="11"/>
        <v>0</v>
      </c>
      <c r="Q257" s="11">
        <f>IF(P257=Sheet1!M257, 1, 0)</f>
        <v>0</v>
      </c>
    </row>
    <row r="258" spans="1:17" x14ac:dyDescent="0.35">
      <c r="A258" s="6" t="s">
        <v>253</v>
      </c>
      <c r="B258" s="6" t="s">
        <v>283</v>
      </c>
      <c r="C258" s="6">
        <v>-0.60701680783691214</v>
      </c>
      <c r="D258" s="6">
        <v>1.0516374696764854</v>
      </c>
      <c r="E258" s="6">
        <v>0.7493874526436991</v>
      </c>
      <c r="F258" s="6">
        <v>1.3362528290897606</v>
      </c>
      <c r="G258" s="6">
        <v>1.2726632122240409</v>
      </c>
      <c r="H258" s="6">
        <v>0.99904630425363761</v>
      </c>
      <c r="I258" s="6">
        <v>0.88059756392183908</v>
      </c>
      <c r="J258" s="6">
        <v>0.49745829335312031</v>
      </c>
      <c r="K258" s="6">
        <v>-0.33089134723559105</v>
      </c>
      <c r="L258" s="6">
        <v>1.3481782616672624</v>
      </c>
      <c r="N258" s="8">
        <f t="shared" si="9"/>
        <v>4.6814521275820162</v>
      </c>
      <c r="O258" s="8">
        <f t="shared" si="10"/>
        <v>3.3010560719005295</v>
      </c>
      <c r="P258" s="12">
        <f t="shared" si="11"/>
        <v>1</v>
      </c>
      <c r="Q258" s="11">
        <f>IF(P258=Sheet1!M258, 1, 0)</f>
        <v>0</v>
      </c>
    </row>
    <row r="259" spans="1:17" x14ac:dyDescent="0.35">
      <c r="A259" s="6" t="s">
        <v>253</v>
      </c>
      <c r="B259" s="6" t="s">
        <v>284</v>
      </c>
      <c r="C259" s="6">
        <v>-0.58822850318211239</v>
      </c>
      <c r="D259" s="6">
        <v>1.1743929902773191</v>
      </c>
      <c r="E259" s="6">
        <v>1.2861345985093733</v>
      </c>
      <c r="F259" s="6">
        <v>1.3947980423623687</v>
      </c>
      <c r="G259" s="6">
        <v>1.220400056022878</v>
      </c>
      <c r="H259" s="6">
        <v>1.0539870132648763</v>
      </c>
      <c r="I259" s="6">
        <v>0.7613858414496425</v>
      </c>
      <c r="J259" s="6">
        <v>0.58856051287218347</v>
      </c>
      <c r="K259" s="6">
        <v>7.7547854820316758E-2</v>
      </c>
      <c r="L259" s="6">
        <v>-0.35604077710757687</v>
      </c>
      <c r="N259" s="8">
        <f t="shared" ref="N259:N322" si="12">SQRT((C259-$C$520)^2+(D259-$D$520)^2+(E259-$E$520)^2+(F259-$F$520)^2+(G259-$G$520)^2+(H259-$H$520)^2+(I259-$I$520)^2+(J259-$J$520)^2+(K259-$K$520)^2+(L259-$L$520)^2)</f>
        <v>4.5681203424825938</v>
      </c>
      <c r="O259" s="8">
        <f t="shared" ref="O259:O322" si="13">SQRT((C259-$C$521)^2+(D259-$D$521)^2+(E259-$E$521)^2+(F259-$F$521)^2+(G259-$G$521)^2+(H259-$H$521)^2+(I259-$I$521)^2+(J259-$J$521)^2+(K259-$K$521)^2+(L259-$L$521)^2)</f>
        <v>2.6841556270780398</v>
      </c>
      <c r="P259" s="12">
        <f t="shared" ref="P259:P322" si="14">IF(N259&lt;=O259, 0, 1)</f>
        <v>1</v>
      </c>
      <c r="Q259" s="11">
        <f>IF(P259=Sheet1!M259, 1, 0)</f>
        <v>0</v>
      </c>
    </row>
    <row r="260" spans="1:17" x14ac:dyDescent="0.35">
      <c r="A260" s="6" t="s">
        <v>253</v>
      </c>
      <c r="B260" s="6" t="s">
        <v>285</v>
      </c>
      <c r="C260" s="6">
        <v>-1.0270696190477946</v>
      </c>
      <c r="D260" s="6">
        <v>1.2112196464575697</v>
      </c>
      <c r="E260" s="6">
        <v>2.3349466261549292</v>
      </c>
      <c r="F260" s="6">
        <v>1.8662410755575696</v>
      </c>
      <c r="G260" s="6">
        <v>1.0752246221307642</v>
      </c>
      <c r="H260" s="6">
        <v>0.53205027765810653</v>
      </c>
      <c r="I260" s="6">
        <v>0.94307215644737541</v>
      </c>
      <c r="J260" s="6">
        <v>1.742521960113649</v>
      </c>
      <c r="K260" s="6">
        <v>-0.29333371946033371</v>
      </c>
      <c r="L260" s="6">
        <v>0.65496739465853504</v>
      </c>
      <c r="N260" s="8">
        <f t="shared" si="12"/>
        <v>5.7160590692770761</v>
      </c>
      <c r="O260" s="8">
        <f t="shared" si="13"/>
        <v>2.1610846374673836</v>
      </c>
      <c r="P260" s="12">
        <f t="shared" si="14"/>
        <v>1</v>
      </c>
      <c r="Q260" s="11">
        <f>IF(P260=Sheet1!M260, 1, 0)</f>
        <v>0</v>
      </c>
    </row>
    <row r="261" spans="1:17" x14ac:dyDescent="0.35">
      <c r="A261" s="6" t="s">
        <v>253</v>
      </c>
      <c r="B261" s="6" t="s">
        <v>286</v>
      </c>
      <c r="C261" s="6">
        <v>-0.64861948242968326</v>
      </c>
      <c r="D261" s="6">
        <v>0.31510434607147958</v>
      </c>
      <c r="E261" s="6">
        <v>0.7073907644977232</v>
      </c>
      <c r="F261" s="6">
        <v>0.57516505654587502</v>
      </c>
      <c r="G261" s="6">
        <v>0.20126851010023725</v>
      </c>
      <c r="H261" s="6">
        <v>0.67694293181519738</v>
      </c>
      <c r="I261" s="6">
        <v>0.92585976871074749</v>
      </c>
      <c r="J261" s="6">
        <v>0.56578495799241746</v>
      </c>
      <c r="K261" s="6">
        <v>3.8425325887758537E-2</v>
      </c>
      <c r="L261" s="6">
        <v>-0.28423358442572877</v>
      </c>
      <c r="N261" s="8">
        <f t="shared" si="12"/>
        <v>3.3443606821325491</v>
      </c>
      <c r="O261" s="8">
        <f t="shared" si="13"/>
        <v>3.7957566437122363</v>
      </c>
      <c r="P261" s="12">
        <f t="shared" si="14"/>
        <v>0</v>
      </c>
      <c r="Q261" s="11">
        <f>IF(P261=Sheet1!M261, 1, 0)</f>
        <v>1</v>
      </c>
    </row>
    <row r="262" spans="1:17" x14ac:dyDescent="0.35">
      <c r="A262" s="6" t="s">
        <v>253</v>
      </c>
      <c r="B262" s="6" t="s">
        <v>287</v>
      </c>
      <c r="C262" s="6">
        <v>-0.72377270104888269</v>
      </c>
      <c r="D262" s="6">
        <v>0.54833983521306495</v>
      </c>
      <c r="E262" s="6">
        <v>1.1159374939177868</v>
      </c>
      <c r="F262" s="6">
        <v>0.87713510395195238</v>
      </c>
      <c r="G262" s="6">
        <v>0.56420709483052189</v>
      </c>
      <c r="H262" s="6">
        <v>0.80244474749773331</v>
      </c>
      <c r="I262" s="6">
        <v>0.92522227286865066</v>
      </c>
      <c r="J262" s="6">
        <v>0.44431533196700029</v>
      </c>
      <c r="K262" s="6">
        <v>0.34358105156171315</v>
      </c>
      <c r="L262" s="6">
        <v>-0.33535443745829446</v>
      </c>
      <c r="N262" s="8">
        <f t="shared" si="12"/>
        <v>3.8903919061481727</v>
      </c>
      <c r="O262" s="8">
        <f t="shared" si="13"/>
        <v>3.4423577442457716</v>
      </c>
      <c r="P262" s="12">
        <f t="shared" si="14"/>
        <v>1</v>
      </c>
      <c r="Q262" s="11">
        <f>IF(P262=Sheet1!M262, 1, 0)</f>
        <v>0</v>
      </c>
    </row>
    <row r="263" spans="1:17" x14ac:dyDescent="0.35">
      <c r="A263" s="6" t="s">
        <v>253</v>
      </c>
      <c r="B263" s="6" t="s">
        <v>288</v>
      </c>
      <c r="C263" s="6">
        <v>-0.7895317673406822</v>
      </c>
      <c r="D263" s="6">
        <v>1.2480463026378201</v>
      </c>
      <c r="E263" s="6">
        <v>1.2102458462455923</v>
      </c>
      <c r="F263" s="6">
        <v>1.310061549467807</v>
      </c>
      <c r="G263" s="6">
        <v>1.0839351481642914</v>
      </c>
      <c r="H263" s="6">
        <v>0.98504180979979217</v>
      </c>
      <c r="I263" s="6">
        <v>0.92394728118445546</v>
      </c>
      <c r="J263" s="6">
        <v>0.68725458401783501</v>
      </c>
      <c r="K263" s="6">
        <v>-0.37157877732545014</v>
      </c>
      <c r="L263" s="6">
        <v>-0.35495594955287663</v>
      </c>
      <c r="N263" s="8">
        <f t="shared" si="12"/>
        <v>4.5532385357387923</v>
      </c>
      <c r="O263" s="8">
        <f t="shared" si="13"/>
        <v>2.5039829132704883</v>
      </c>
      <c r="P263" s="12">
        <f t="shared" si="14"/>
        <v>1</v>
      </c>
      <c r="Q263" s="11">
        <f>IF(P263=Sheet1!M263, 1, 0)</f>
        <v>0</v>
      </c>
    </row>
    <row r="264" spans="1:17" x14ac:dyDescent="0.35">
      <c r="A264" s="6" t="s">
        <v>253</v>
      </c>
      <c r="B264" s="6" t="s">
        <v>289</v>
      </c>
      <c r="C264" s="6">
        <v>-0.96399459627810935</v>
      </c>
      <c r="D264" s="6">
        <v>1.8004461453415732</v>
      </c>
      <c r="E264" s="6">
        <v>2.1256999694276106</v>
      </c>
      <c r="F264" s="6">
        <v>1.7445286584908339</v>
      </c>
      <c r="G264" s="6">
        <v>0.92133866220512306</v>
      </c>
      <c r="H264" s="6">
        <v>1.083073270976709</v>
      </c>
      <c r="I264" s="6">
        <v>0.91757232276348277</v>
      </c>
      <c r="J264" s="6">
        <v>1.1731330881195048</v>
      </c>
      <c r="K264" s="6">
        <v>-0.40600660278610123</v>
      </c>
      <c r="L264" s="6">
        <v>-0.23435803268760869</v>
      </c>
      <c r="N264" s="8">
        <f t="shared" si="12"/>
        <v>5.4384145957490748</v>
      </c>
      <c r="O264" s="8">
        <f t="shared" si="13"/>
        <v>1.4511544273439811</v>
      </c>
      <c r="P264" s="12">
        <f t="shared" si="14"/>
        <v>1</v>
      </c>
      <c r="Q264" s="11">
        <f>IF(P264=Sheet1!M264, 1, 0)</f>
        <v>0</v>
      </c>
    </row>
    <row r="265" spans="1:17" x14ac:dyDescent="0.35">
      <c r="A265" s="6" t="s">
        <v>253</v>
      </c>
      <c r="B265" s="6" t="s">
        <v>290</v>
      </c>
      <c r="C265" s="6">
        <v>-0.94520629162330949</v>
      </c>
      <c r="D265" s="6">
        <v>1.266459630727945</v>
      </c>
      <c r="E265" s="6">
        <v>2.7766486356902367</v>
      </c>
      <c r="F265" s="6">
        <v>1.9078389902512631</v>
      </c>
      <c r="G265" s="6">
        <v>1.313312333713833</v>
      </c>
      <c r="H265" s="6">
        <v>0.96942141213973443</v>
      </c>
      <c r="I265" s="6">
        <v>0.82386043397517872</v>
      </c>
      <c r="J265" s="6">
        <v>1.7539097375535317</v>
      </c>
      <c r="K265" s="6">
        <v>-0.33871585302210222</v>
      </c>
      <c r="L265" s="6">
        <v>8.0605190854491298</v>
      </c>
      <c r="N265" s="8">
        <f t="shared" si="12"/>
        <v>10.428920401401685</v>
      </c>
      <c r="O265" s="8">
        <f t="shared" si="13"/>
        <v>8.4220866409934061</v>
      </c>
      <c r="P265" s="12">
        <f t="shared" si="14"/>
        <v>1</v>
      </c>
      <c r="Q265" s="11">
        <f>IF(P265=Sheet1!M265, 1, 0)</f>
        <v>0</v>
      </c>
    </row>
    <row r="266" spans="1:17" x14ac:dyDescent="0.35">
      <c r="A266" s="6" t="s">
        <v>253</v>
      </c>
      <c r="B266" s="6" t="s">
        <v>291</v>
      </c>
      <c r="C266" s="6">
        <v>-1.0981967723838226</v>
      </c>
      <c r="D266" s="6">
        <v>0.53606428315298182</v>
      </c>
      <c r="E266" s="6">
        <v>0.94389842931979795</v>
      </c>
      <c r="F266" s="6">
        <v>0.97881889542542655</v>
      </c>
      <c r="G266" s="6">
        <v>0.86907550600396422</v>
      </c>
      <c r="H266" s="6">
        <v>0.98935088501635982</v>
      </c>
      <c r="I266" s="6">
        <v>0.94753462734205607</v>
      </c>
      <c r="J266" s="6">
        <v>0.57337680961900628</v>
      </c>
      <c r="K266" s="6">
        <v>0.66908049228059729</v>
      </c>
      <c r="L266" s="6">
        <v>-0.21924395559581894</v>
      </c>
      <c r="N266" s="8">
        <f t="shared" si="12"/>
        <v>4.2415628291331844</v>
      </c>
      <c r="O266" s="8">
        <f t="shared" si="13"/>
        <v>3.6029985209576312</v>
      </c>
      <c r="P266" s="12">
        <f t="shared" si="14"/>
        <v>1</v>
      </c>
      <c r="Q266" s="11">
        <f>IF(P266=Sheet1!M266, 1, 0)</f>
        <v>0</v>
      </c>
    </row>
    <row r="267" spans="1:17" x14ac:dyDescent="0.35">
      <c r="A267" s="6" t="s">
        <v>292</v>
      </c>
      <c r="B267" s="6" t="s">
        <v>293</v>
      </c>
      <c r="C267" s="6">
        <v>-0.20843634480294382</v>
      </c>
      <c r="D267" s="6">
        <v>-0.81424644345619435</v>
      </c>
      <c r="E267" s="6">
        <v>-0.62250436012484656</v>
      </c>
      <c r="F267" s="6">
        <v>-0.73285826104472984</v>
      </c>
      <c r="G267" s="6">
        <v>-1.4130823147800653</v>
      </c>
      <c r="H267" s="6">
        <v>-1.5131445470053662</v>
      </c>
      <c r="I267" s="6">
        <v>-0.19932039259099801</v>
      </c>
      <c r="J267" s="6">
        <v>1.0023164265212616</v>
      </c>
      <c r="K267" s="6">
        <v>-1.1180366293586617</v>
      </c>
      <c r="L267" s="6">
        <v>-3.8369949895332593E-2</v>
      </c>
      <c r="N267" s="8">
        <f t="shared" si="12"/>
        <v>2.8130502540528668</v>
      </c>
      <c r="O267" s="8">
        <f t="shared" si="13"/>
        <v>6.6729594964100079</v>
      </c>
      <c r="P267" s="12">
        <f t="shared" si="14"/>
        <v>0</v>
      </c>
      <c r="Q267" s="11">
        <f>IF(P267=Sheet1!M267, 1, 0)</f>
        <v>1</v>
      </c>
    </row>
    <row r="268" spans="1:17" x14ac:dyDescent="0.35">
      <c r="A268" s="6" t="s">
        <v>292</v>
      </c>
      <c r="B268" s="6" t="s">
        <v>294</v>
      </c>
      <c r="C268" s="6">
        <v>-0.26614328052840069</v>
      </c>
      <c r="D268" s="6">
        <v>-1.243890765559114</v>
      </c>
      <c r="E268" s="6">
        <v>-0.58971747201088287</v>
      </c>
      <c r="F268" s="6">
        <v>-0.90849390086254977</v>
      </c>
      <c r="G268" s="6">
        <v>-0.67559111060812926</v>
      </c>
      <c r="H268" s="6">
        <v>-1.0978574230086484</v>
      </c>
      <c r="I268" s="6">
        <v>-0.75330427937355815</v>
      </c>
      <c r="J268" s="6">
        <v>1.0630512395339704</v>
      </c>
      <c r="K268" s="6">
        <v>-0.42478541667372988</v>
      </c>
      <c r="L268" s="6">
        <v>-1.5024238595189919E-2</v>
      </c>
      <c r="N268" s="8">
        <f t="shared" si="12"/>
        <v>2.9130838119389106</v>
      </c>
      <c r="O268" s="8">
        <f t="shared" si="13"/>
        <v>6.7830379819225968</v>
      </c>
      <c r="P268" s="12">
        <f t="shared" si="14"/>
        <v>0</v>
      </c>
      <c r="Q268" s="11">
        <f>IF(P268=Sheet1!M268, 1, 0)</f>
        <v>1</v>
      </c>
    </row>
    <row r="269" spans="1:17" x14ac:dyDescent="0.35">
      <c r="A269" s="6" t="s">
        <v>292</v>
      </c>
      <c r="B269" s="6" t="s">
        <v>295</v>
      </c>
      <c r="C269" s="6">
        <v>-0.69156417878351151</v>
      </c>
      <c r="D269" s="6">
        <v>0.10641996105006153</v>
      </c>
      <c r="E269" s="6">
        <v>0.71770574053357694</v>
      </c>
      <c r="F269" s="6">
        <v>0.36409415606305789</v>
      </c>
      <c r="G269" s="6">
        <v>7.9321145630865258E-2</v>
      </c>
      <c r="H269" s="6">
        <v>0.46795278381166128</v>
      </c>
      <c r="I269" s="6">
        <v>0.81812297139630275</v>
      </c>
      <c r="J269" s="6">
        <v>1.5185623371292858</v>
      </c>
      <c r="K269" s="6">
        <v>-0.86452264187568473</v>
      </c>
      <c r="L269" s="6">
        <v>1.5847998833844377</v>
      </c>
      <c r="N269" s="8">
        <f t="shared" si="12"/>
        <v>4.1230446335506619</v>
      </c>
      <c r="O269" s="8">
        <f t="shared" si="13"/>
        <v>4.2019125512731739</v>
      </c>
      <c r="P269" s="12">
        <f t="shared" si="14"/>
        <v>0</v>
      </c>
      <c r="Q269" s="11">
        <f>IF(P269=Sheet1!M269, 1, 0)</f>
        <v>1</v>
      </c>
    </row>
    <row r="270" spans="1:17" x14ac:dyDescent="0.35">
      <c r="A270" s="6" t="s">
        <v>292</v>
      </c>
      <c r="B270" s="6" t="s">
        <v>296</v>
      </c>
      <c r="C270" s="6">
        <v>-0.91031372583582404</v>
      </c>
      <c r="D270" s="6">
        <v>-0.56873540225452623</v>
      </c>
      <c r="E270" s="6">
        <v>0.14301421853601215</v>
      </c>
      <c r="F270" s="6">
        <v>-0.47864878236104458</v>
      </c>
      <c r="G270" s="6">
        <v>-1.4217928408135925</v>
      </c>
      <c r="H270" s="6">
        <v>0.16901069066227312</v>
      </c>
      <c r="I270" s="6">
        <v>0.45857531645342187</v>
      </c>
      <c r="J270" s="6">
        <v>2.0955430607500185</v>
      </c>
      <c r="K270" s="6">
        <v>-0.87704185113410305</v>
      </c>
      <c r="L270" s="6">
        <v>0.69012994917913772</v>
      </c>
      <c r="N270" s="8">
        <f t="shared" si="12"/>
        <v>3.573904346424714</v>
      </c>
      <c r="O270" s="8">
        <f t="shared" si="13"/>
        <v>5.535583443482798</v>
      </c>
      <c r="P270" s="12">
        <f t="shared" si="14"/>
        <v>0</v>
      </c>
      <c r="Q270" s="11">
        <f>IF(P270=Sheet1!M270, 1, 0)</f>
        <v>1</v>
      </c>
    </row>
    <row r="271" spans="1:17" x14ac:dyDescent="0.35">
      <c r="A271" s="6" t="s">
        <v>292</v>
      </c>
      <c r="B271" s="6" t="s">
        <v>297</v>
      </c>
      <c r="C271" s="6">
        <v>-0.85126476834931031</v>
      </c>
      <c r="D271" s="6">
        <v>1.4690062397193213</v>
      </c>
      <c r="E271" s="6">
        <v>1.5657441274812653</v>
      </c>
      <c r="F271" s="6">
        <v>1.3208461940180229</v>
      </c>
      <c r="G271" s="6">
        <v>0.56420709483052189</v>
      </c>
      <c r="H271" s="6">
        <v>0.95541691768588888</v>
      </c>
      <c r="I271" s="6">
        <v>0.82003545892259477</v>
      </c>
      <c r="J271" s="6">
        <v>1.52235826294258</v>
      </c>
      <c r="K271" s="6">
        <v>-0.77375837475214992</v>
      </c>
      <c r="L271" s="6">
        <v>1.770667861118824</v>
      </c>
      <c r="N271" s="8">
        <f t="shared" si="12"/>
        <v>5.2570642200642315</v>
      </c>
      <c r="O271" s="8">
        <f t="shared" si="13"/>
        <v>2.7005607548267561</v>
      </c>
      <c r="P271" s="12">
        <f t="shared" si="14"/>
        <v>1</v>
      </c>
      <c r="Q271" s="11">
        <f>IF(P271=Sheet1!M271, 1, 0)</f>
        <v>0</v>
      </c>
    </row>
    <row r="272" spans="1:17" x14ac:dyDescent="0.35">
      <c r="A272" s="6" t="s">
        <v>292</v>
      </c>
      <c r="B272" s="6" t="s">
        <v>298</v>
      </c>
      <c r="C272" s="6">
        <v>-1.0780664459679656</v>
      </c>
      <c r="D272" s="6">
        <v>1.0086730374661932</v>
      </c>
      <c r="E272" s="6">
        <v>1.0006307975169935</v>
      </c>
      <c r="F272" s="6">
        <v>0.52740448782348504</v>
      </c>
      <c r="G272" s="6">
        <v>-0.86141566599003516</v>
      </c>
      <c r="H272" s="6">
        <v>1.0701460453270053</v>
      </c>
      <c r="I272" s="6">
        <v>0.86593515955360079</v>
      </c>
      <c r="J272" s="6">
        <v>1.9247263991517753</v>
      </c>
      <c r="K272" s="6">
        <v>-1.2667022393023832</v>
      </c>
      <c r="L272" s="6">
        <v>1.1514678380959502</v>
      </c>
      <c r="N272" s="8">
        <f t="shared" si="12"/>
        <v>4.4852763981377439</v>
      </c>
      <c r="O272" s="8">
        <f t="shared" si="13"/>
        <v>3.5509702373379137</v>
      </c>
      <c r="P272" s="12">
        <f t="shared" si="14"/>
        <v>1</v>
      </c>
      <c r="Q272" s="11">
        <f>IF(P272=Sheet1!M272, 1, 0)</f>
        <v>0</v>
      </c>
    </row>
    <row r="273" spans="1:17" x14ac:dyDescent="0.35">
      <c r="A273" s="6" t="s">
        <v>292</v>
      </c>
      <c r="B273" s="6" t="s">
        <v>299</v>
      </c>
      <c r="C273" s="6">
        <v>-0.73585089689839689</v>
      </c>
      <c r="D273" s="6">
        <v>0.27827768989123008</v>
      </c>
      <c r="E273" s="6">
        <v>1.0890448778243111</v>
      </c>
      <c r="F273" s="6">
        <v>0.38720410867066446</v>
      </c>
      <c r="G273" s="6">
        <v>-0.44621392505858753</v>
      </c>
      <c r="H273" s="6">
        <v>0.7302677376202239</v>
      </c>
      <c r="I273" s="6">
        <v>0.8442603009222921</v>
      </c>
      <c r="J273" s="6">
        <v>1.6514197405945858</v>
      </c>
      <c r="K273" s="6">
        <v>-1.1430750478754994</v>
      </c>
      <c r="L273" s="6">
        <v>2.9462132734870916E-2</v>
      </c>
      <c r="N273" s="8">
        <f t="shared" si="12"/>
        <v>3.8946127274498297</v>
      </c>
      <c r="O273" s="8">
        <f t="shared" si="13"/>
        <v>3.6200806844459565</v>
      </c>
      <c r="P273" s="12">
        <f t="shared" si="14"/>
        <v>1</v>
      </c>
      <c r="Q273" s="11">
        <f>IF(P273=Sheet1!M273, 1, 0)</f>
        <v>0</v>
      </c>
    </row>
    <row r="274" spans="1:17" x14ac:dyDescent="0.35">
      <c r="A274" s="6" t="s">
        <v>292</v>
      </c>
      <c r="B274" s="6" t="s">
        <v>300</v>
      </c>
      <c r="C274" s="6">
        <v>-1.3021840800645066</v>
      </c>
      <c r="D274" s="6">
        <v>2.0766460666934505</v>
      </c>
      <c r="E274" s="6">
        <v>1.998973120987122</v>
      </c>
      <c r="F274" s="6">
        <v>1.7984518812419181</v>
      </c>
      <c r="G274" s="6">
        <v>0.81681234980280126</v>
      </c>
      <c r="H274" s="6">
        <v>1.1654843344935675</v>
      </c>
      <c r="I274" s="6">
        <v>0.89780995165846611</v>
      </c>
      <c r="J274" s="6">
        <v>1.3439497497177479</v>
      </c>
      <c r="K274" s="6">
        <v>-1.0804790015834054</v>
      </c>
      <c r="L274" s="6">
        <v>0.84416041753347004</v>
      </c>
      <c r="N274" s="8">
        <f t="shared" si="12"/>
        <v>5.8424439430112045</v>
      </c>
      <c r="O274" s="8">
        <f t="shared" si="13"/>
        <v>1.5749857265305096</v>
      </c>
      <c r="P274" s="12">
        <f t="shared" si="14"/>
        <v>1</v>
      </c>
      <c r="Q274" s="11">
        <f>IF(P274=Sheet1!M274, 1, 0)</f>
        <v>0</v>
      </c>
    </row>
    <row r="275" spans="1:17" x14ac:dyDescent="0.35">
      <c r="A275" s="6" t="s">
        <v>301</v>
      </c>
      <c r="B275" s="6" t="s">
        <v>302</v>
      </c>
      <c r="C275" s="6">
        <v>-0.96802066156128086</v>
      </c>
      <c r="D275" s="6">
        <v>-5.3162215731022769E-2</v>
      </c>
      <c r="E275" s="6">
        <v>0.49740732376784375</v>
      </c>
      <c r="F275" s="6">
        <v>0.43496467739305439</v>
      </c>
      <c r="G275" s="6">
        <v>0.81390884112495754</v>
      </c>
      <c r="H275" s="6">
        <v>1.0254393899551149</v>
      </c>
      <c r="I275" s="6">
        <v>0.44455040792728123</v>
      </c>
      <c r="J275" s="6">
        <v>-0.36042094045139028</v>
      </c>
      <c r="K275" s="6">
        <v>1.8458861625719505</v>
      </c>
      <c r="L275" s="6">
        <v>-0.27312455994665846</v>
      </c>
      <c r="N275" s="8">
        <f t="shared" si="12"/>
        <v>4.0990883641584341</v>
      </c>
      <c r="O275" s="8">
        <f t="shared" si="13"/>
        <v>5.2182331547095355</v>
      </c>
      <c r="P275" s="12">
        <f t="shared" si="14"/>
        <v>0</v>
      </c>
      <c r="Q275" s="11">
        <f>IF(P275=Sheet1!M275, 1, 0)</f>
        <v>1</v>
      </c>
    </row>
    <row r="276" spans="1:17" x14ac:dyDescent="0.35">
      <c r="A276" s="6" t="s">
        <v>301</v>
      </c>
      <c r="B276" s="6" t="s">
        <v>303</v>
      </c>
      <c r="C276" s="6">
        <v>-0.95996853099493795</v>
      </c>
      <c r="D276" s="6">
        <v>0.43172209064227285</v>
      </c>
      <c r="E276" s="6">
        <v>1.4740145191624234</v>
      </c>
      <c r="F276" s="6">
        <v>1.0050101750473823</v>
      </c>
      <c r="G276" s="6">
        <v>1.1884614605666131</v>
      </c>
      <c r="H276" s="6">
        <v>1.1385526143900191</v>
      </c>
      <c r="I276" s="6">
        <v>0.82959789655405469</v>
      </c>
      <c r="J276" s="6">
        <v>-0.42495167927739341</v>
      </c>
      <c r="K276" s="6">
        <v>0.86312823578608755</v>
      </c>
      <c r="L276" s="6">
        <v>-0.15561563720137889</v>
      </c>
      <c r="N276" s="8">
        <f t="shared" si="12"/>
        <v>4.7292018377288008</v>
      </c>
      <c r="O276" s="8">
        <f t="shared" si="13"/>
        <v>3.9647059371652427</v>
      </c>
      <c r="P276" s="12">
        <f t="shared" si="14"/>
        <v>1</v>
      </c>
      <c r="Q276" s="11">
        <f>IF(P276=Sheet1!M276, 1, 0)</f>
        <v>0</v>
      </c>
    </row>
    <row r="277" spans="1:17" x14ac:dyDescent="0.35">
      <c r="A277" s="6" t="s">
        <v>301</v>
      </c>
      <c r="B277" s="6" t="s">
        <v>304</v>
      </c>
      <c r="C277" s="6">
        <v>-1.2954739712592209</v>
      </c>
      <c r="D277" s="6">
        <v>1.3401129430884449</v>
      </c>
      <c r="E277" s="6">
        <v>2.5795589150051748</v>
      </c>
      <c r="F277" s="6">
        <v>1.8338871419069174</v>
      </c>
      <c r="G277" s="6">
        <v>1.6036632014980607</v>
      </c>
      <c r="H277" s="6">
        <v>1.2058819146488902</v>
      </c>
      <c r="I277" s="6">
        <v>0.94753462734205607</v>
      </c>
      <c r="J277" s="6">
        <v>0.71003013889760069</v>
      </c>
      <c r="K277" s="6">
        <v>0.47816255108971334</v>
      </c>
      <c r="L277" s="6">
        <v>0.14805042943510158</v>
      </c>
      <c r="N277" s="8">
        <f t="shared" si="12"/>
        <v>6.0651346263787316</v>
      </c>
      <c r="O277" s="8">
        <f t="shared" si="13"/>
        <v>2.5855363690096018</v>
      </c>
      <c r="P277" s="12">
        <f t="shared" si="14"/>
        <v>1</v>
      </c>
      <c r="Q277" s="11">
        <f>IF(P277=Sheet1!M277, 1, 0)</f>
        <v>0</v>
      </c>
    </row>
    <row r="278" spans="1:17" x14ac:dyDescent="0.35">
      <c r="A278" s="6" t="s">
        <v>301</v>
      </c>
      <c r="B278" s="6" t="s">
        <v>305</v>
      </c>
      <c r="C278" s="6">
        <v>-0.99620311854348065</v>
      </c>
      <c r="D278" s="6">
        <v>0.52378873109289759</v>
      </c>
      <c r="E278" s="6">
        <v>1.4979599992456551</v>
      </c>
      <c r="F278" s="6">
        <v>1.1975931134441147</v>
      </c>
      <c r="G278" s="6">
        <v>1.1971719866001402</v>
      </c>
      <c r="H278" s="6">
        <v>0.8767762949835276</v>
      </c>
      <c r="I278" s="6">
        <v>0.86529766371150318</v>
      </c>
      <c r="J278" s="6">
        <v>0.69864236145771796</v>
      </c>
      <c r="K278" s="6">
        <v>6.5028645561898399E-2</v>
      </c>
      <c r="L278" s="6">
        <v>-9.8404325160059633E-2</v>
      </c>
      <c r="N278" s="8">
        <f t="shared" si="12"/>
        <v>4.7015686036523361</v>
      </c>
      <c r="O278" s="8">
        <f t="shared" si="13"/>
        <v>3.0888039197950587</v>
      </c>
      <c r="P278" s="12">
        <f t="shared" si="14"/>
        <v>1</v>
      </c>
      <c r="Q278" s="11">
        <f>IF(P278=Sheet1!M278, 1, 0)</f>
        <v>0</v>
      </c>
    </row>
    <row r="279" spans="1:17" x14ac:dyDescent="0.35">
      <c r="A279" s="6" t="s">
        <v>301</v>
      </c>
      <c r="B279" s="6" t="s">
        <v>306</v>
      </c>
      <c r="C279" s="6">
        <v>-0.89018339941996716</v>
      </c>
      <c r="D279" s="6">
        <v>-0.1820555123618981</v>
      </c>
      <c r="E279" s="6">
        <v>0.35447122727101354</v>
      </c>
      <c r="F279" s="6">
        <v>0.28089832667566861</v>
      </c>
      <c r="G279" s="6">
        <v>0.50904042995151932</v>
      </c>
      <c r="H279" s="6">
        <v>1.007664454686773</v>
      </c>
      <c r="I279" s="6">
        <v>0.94498464397366644</v>
      </c>
      <c r="J279" s="6">
        <v>0.11027386039710205</v>
      </c>
      <c r="K279" s="6">
        <v>0.52667448696608588</v>
      </c>
      <c r="L279" s="6">
        <v>-0.3420137215473979</v>
      </c>
      <c r="N279" s="8">
        <f t="shared" si="12"/>
        <v>3.5358127820674872</v>
      </c>
      <c r="O279" s="8">
        <f t="shared" si="13"/>
        <v>4.6430772413512686</v>
      </c>
      <c r="P279" s="12">
        <f t="shared" si="14"/>
        <v>0</v>
      </c>
      <c r="Q279" s="11">
        <f>IF(P279=Sheet1!M279, 1, 0)</f>
        <v>1</v>
      </c>
    </row>
    <row r="280" spans="1:17" x14ac:dyDescent="0.35">
      <c r="A280" s="6" t="s">
        <v>301</v>
      </c>
      <c r="B280" s="6" t="s">
        <v>307</v>
      </c>
      <c r="C280" s="6">
        <v>-0.96399459627810935</v>
      </c>
      <c r="D280" s="6">
        <v>-0.77128201124590268</v>
      </c>
      <c r="E280" s="6">
        <v>0.32278951516089138</v>
      </c>
      <c r="F280" s="6">
        <v>-8.5779588031708959E-2</v>
      </c>
      <c r="G280" s="6">
        <v>0.2796632444019817</v>
      </c>
      <c r="H280" s="6">
        <v>0.52827983684361013</v>
      </c>
      <c r="I280" s="6">
        <v>0.38398830292803693</v>
      </c>
      <c r="J280" s="6">
        <v>-1.2372798033223726</v>
      </c>
      <c r="K280" s="6">
        <v>1.9757729586280435</v>
      </c>
      <c r="L280" s="6">
        <v>-0.36732139147607279</v>
      </c>
      <c r="N280" s="8">
        <f t="shared" si="12"/>
        <v>4.0242324556400568</v>
      </c>
      <c r="O280" s="8">
        <f t="shared" si="13"/>
        <v>6.3259916960829967</v>
      </c>
      <c r="P280" s="12">
        <f t="shared" si="14"/>
        <v>0</v>
      </c>
      <c r="Q280" s="11">
        <f>IF(P280=Sheet1!M280, 1, 0)</f>
        <v>1</v>
      </c>
    </row>
    <row r="281" spans="1:17" x14ac:dyDescent="0.35">
      <c r="A281" s="6" t="s">
        <v>301</v>
      </c>
      <c r="B281" s="6" t="s">
        <v>308</v>
      </c>
      <c r="C281" s="6">
        <v>-0.73719291865945402</v>
      </c>
      <c r="D281" s="6">
        <v>-1.2929929737994477</v>
      </c>
      <c r="E281" s="6">
        <v>-5.5180678152891585E-2</v>
      </c>
      <c r="F281" s="6">
        <v>-0.39545295297365524</v>
      </c>
      <c r="G281" s="6">
        <v>0.2622421923349274</v>
      </c>
      <c r="H281" s="6">
        <v>0.5471320409160938</v>
      </c>
      <c r="I281" s="6">
        <v>0.84872277181697375</v>
      </c>
      <c r="J281" s="6">
        <v>-1.0398916610310691</v>
      </c>
      <c r="K281" s="6">
        <v>1.8286722498416248</v>
      </c>
      <c r="L281" s="6">
        <v>-0.23806685662736335</v>
      </c>
      <c r="N281" s="8">
        <f t="shared" si="12"/>
        <v>3.9229377909142382</v>
      </c>
      <c r="O281" s="8">
        <f t="shared" si="13"/>
        <v>6.706049595096971</v>
      </c>
      <c r="P281" s="12">
        <f t="shared" si="14"/>
        <v>0</v>
      </c>
      <c r="Q281" s="11">
        <f>IF(P281=Sheet1!M281, 1, 0)</f>
        <v>1</v>
      </c>
    </row>
    <row r="282" spans="1:17" x14ac:dyDescent="0.35">
      <c r="A282" s="6" t="s">
        <v>301</v>
      </c>
      <c r="B282" s="6" t="s">
        <v>309</v>
      </c>
      <c r="C282" s="6">
        <v>-0.82576635488922479</v>
      </c>
      <c r="D282" s="6">
        <v>-0.72831757903561056</v>
      </c>
      <c r="E282" s="6">
        <v>1.1188846299280308</v>
      </c>
      <c r="F282" s="6">
        <v>0.40569207075675146</v>
      </c>
      <c r="G282" s="6">
        <v>0.66582989855500407</v>
      </c>
      <c r="H282" s="6">
        <v>0.91286479992228275</v>
      </c>
      <c r="I282" s="6">
        <v>0.52551237987363886</v>
      </c>
      <c r="J282" s="6">
        <v>0.12166163783698503</v>
      </c>
      <c r="K282" s="6">
        <v>0.56579701589864417</v>
      </c>
      <c r="L282" s="6">
        <v>-3.4757709884394076E-3</v>
      </c>
      <c r="N282" s="8">
        <f t="shared" si="12"/>
        <v>4.0802309470804836</v>
      </c>
      <c r="O282" s="8">
        <f t="shared" si="13"/>
        <v>4.7067101205465391</v>
      </c>
      <c r="P282" s="12">
        <f t="shared" si="14"/>
        <v>0</v>
      </c>
      <c r="Q282" s="11">
        <f>IF(P282=Sheet1!M282, 1, 0)</f>
        <v>1</v>
      </c>
    </row>
    <row r="283" spans="1:17" x14ac:dyDescent="0.35">
      <c r="A283" s="6" t="s">
        <v>301</v>
      </c>
      <c r="B283" s="6" t="s">
        <v>310</v>
      </c>
      <c r="C283" s="6">
        <v>-1.2498452313832784</v>
      </c>
      <c r="D283" s="6">
        <v>1.8679616816720328</v>
      </c>
      <c r="E283" s="6">
        <v>3.4161771499131679</v>
      </c>
      <c r="F283" s="6">
        <v>2.1728331134851668</v>
      </c>
      <c r="G283" s="6">
        <v>1.5310754845520038</v>
      </c>
      <c r="H283" s="6">
        <v>1.2263500219275869</v>
      </c>
      <c r="I283" s="6">
        <v>0.94753462734205607</v>
      </c>
      <c r="J283" s="6">
        <v>0.74419347121724921</v>
      </c>
      <c r="K283" s="6">
        <v>-0.12432439447168243</v>
      </c>
      <c r="L283" s="6">
        <v>0.21904202687170493</v>
      </c>
      <c r="N283" s="8">
        <f t="shared" si="12"/>
        <v>6.7954808399199633</v>
      </c>
      <c r="O283" s="8">
        <f t="shared" si="13"/>
        <v>2.1363405421974626</v>
      </c>
      <c r="P283" s="12">
        <f t="shared" si="14"/>
        <v>1</v>
      </c>
      <c r="Q283" s="11">
        <f>IF(P283=Sheet1!M283, 1, 0)</f>
        <v>0</v>
      </c>
    </row>
    <row r="284" spans="1:17" x14ac:dyDescent="0.35">
      <c r="A284" s="6" t="s">
        <v>311</v>
      </c>
      <c r="B284" s="6" t="s">
        <v>312</v>
      </c>
      <c r="C284" s="6">
        <v>0.29482181559348081</v>
      </c>
      <c r="D284" s="6">
        <v>-1.2377529895290724</v>
      </c>
      <c r="E284" s="6">
        <v>0.37178565133119662</v>
      </c>
      <c r="F284" s="6">
        <v>-0.20287001457692297</v>
      </c>
      <c r="G284" s="6">
        <v>-0.71624023209792131</v>
      </c>
      <c r="H284" s="6">
        <v>-0.16709717623001263</v>
      </c>
      <c r="I284" s="6">
        <v>0.42223805345387583</v>
      </c>
      <c r="J284" s="6">
        <v>-0.6602990797016397</v>
      </c>
      <c r="K284" s="6">
        <v>0.15892271500003949</v>
      </c>
      <c r="L284" s="6">
        <v>-0.24011906083948406</v>
      </c>
      <c r="N284" s="8">
        <f t="shared" si="12"/>
        <v>2.767046209836824</v>
      </c>
      <c r="O284" s="8">
        <f t="shared" si="13"/>
        <v>6.0937828238630534</v>
      </c>
      <c r="P284" s="12">
        <f t="shared" si="14"/>
        <v>0</v>
      </c>
      <c r="Q284" s="11">
        <f>IF(P284=Sheet1!M284, 1, 0)</f>
        <v>1</v>
      </c>
    </row>
    <row r="285" spans="1:17" x14ac:dyDescent="0.35">
      <c r="A285" s="6" t="s">
        <v>311</v>
      </c>
      <c r="B285" s="6" t="s">
        <v>313</v>
      </c>
      <c r="C285" s="6">
        <v>0.15659357420459602</v>
      </c>
      <c r="D285" s="6">
        <v>-1.3175440779196146</v>
      </c>
      <c r="E285" s="6">
        <v>-0.13364817442563601</v>
      </c>
      <c r="F285" s="6">
        <v>-0.49405541743278225</v>
      </c>
      <c r="G285" s="6">
        <v>-0.95142443500314633</v>
      </c>
      <c r="H285" s="6">
        <v>0.10437456241375656</v>
      </c>
      <c r="I285" s="6">
        <v>0.47068773745327058</v>
      </c>
      <c r="J285" s="6">
        <v>-1.0360957352177749</v>
      </c>
      <c r="K285" s="6">
        <v>0.87408254388720275</v>
      </c>
      <c r="L285" s="6">
        <v>-0.20741256944269451</v>
      </c>
      <c r="N285" s="8">
        <f t="shared" si="12"/>
        <v>2.8110839125037574</v>
      </c>
      <c r="O285" s="8">
        <f t="shared" si="13"/>
        <v>6.7322560906710809</v>
      </c>
      <c r="P285" s="12">
        <f t="shared" si="14"/>
        <v>0</v>
      </c>
      <c r="Q285" s="11">
        <f>IF(P285=Sheet1!M285, 1, 0)</f>
        <v>1</v>
      </c>
    </row>
    <row r="286" spans="1:17" x14ac:dyDescent="0.35">
      <c r="A286" s="6" t="s">
        <v>311</v>
      </c>
      <c r="B286" s="6" t="s">
        <v>314</v>
      </c>
      <c r="C286" s="6">
        <v>0.41694579584967983</v>
      </c>
      <c r="D286" s="6">
        <v>-1.0597574846578628</v>
      </c>
      <c r="E286" s="6">
        <v>-0.32226487908124701</v>
      </c>
      <c r="F286" s="6">
        <v>-0.50329939847582572</v>
      </c>
      <c r="G286" s="6">
        <v>-1.0153016259156762</v>
      </c>
      <c r="H286" s="6">
        <v>0.39523713953208062</v>
      </c>
      <c r="I286" s="6">
        <v>0.62878670629340283</v>
      </c>
      <c r="J286" s="6">
        <v>-0.86148314780623725</v>
      </c>
      <c r="K286" s="6">
        <v>2.4325992698065704E-3</v>
      </c>
      <c r="L286" s="6">
        <v>-0.15782578685604323</v>
      </c>
      <c r="N286" s="8">
        <f t="shared" si="12"/>
        <v>2.4491551881556437</v>
      </c>
      <c r="O286" s="8">
        <f t="shared" si="13"/>
        <v>6.4020669827601084</v>
      </c>
      <c r="P286" s="12">
        <f t="shared" si="14"/>
        <v>0</v>
      </c>
      <c r="Q286" s="11">
        <f>IF(P286=Sheet1!M286, 1, 0)</f>
        <v>1</v>
      </c>
    </row>
    <row r="287" spans="1:17" x14ac:dyDescent="0.35">
      <c r="A287" s="6" t="s">
        <v>311</v>
      </c>
      <c r="B287" s="6" t="s">
        <v>315</v>
      </c>
      <c r="C287" s="6">
        <v>0.21966859697428132</v>
      </c>
      <c r="D287" s="6">
        <v>-0.17591773633185653</v>
      </c>
      <c r="E287" s="6">
        <v>-0.42651981544362572</v>
      </c>
      <c r="F287" s="6">
        <v>-0.29530982500735359</v>
      </c>
      <c r="G287" s="6">
        <v>-0.55945076349443645</v>
      </c>
      <c r="H287" s="6">
        <v>0.58214327705070712</v>
      </c>
      <c r="I287" s="6">
        <v>0.74863592460769612</v>
      </c>
      <c r="J287" s="6">
        <v>-0.63372759900857956</v>
      </c>
      <c r="K287" s="6">
        <v>-0.40757150394340436</v>
      </c>
      <c r="L287" s="6">
        <v>-0.24537169230363243</v>
      </c>
      <c r="N287" s="8">
        <f t="shared" si="12"/>
        <v>2.1573530429114842</v>
      </c>
      <c r="O287" s="8">
        <f t="shared" si="13"/>
        <v>5.5640903313300942</v>
      </c>
      <c r="P287" s="12">
        <f t="shared" si="14"/>
        <v>0</v>
      </c>
      <c r="Q287" s="11">
        <f>IF(P287=Sheet1!M287, 1, 0)</f>
        <v>1</v>
      </c>
    </row>
    <row r="288" spans="1:17" x14ac:dyDescent="0.35">
      <c r="A288" s="6" t="s">
        <v>311</v>
      </c>
      <c r="B288" s="6" t="s">
        <v>316</v>
      </c>
      <c r="C288" s="6">
        <v>4.3863746275796929E-2</v>
      </c>
      <c r="D288" s="6">
        <v>0.17393549738052108</v>
      </c>
      <c r="E288" s="6">
        <v>-0.52524887178679713</v>
      </c>
      <c r="F288" s="6">
        <v>-0.22752063069170417</v>
      </c>
      <c r="G288" s="6">
        <v>-0.77431040565476761</v>
      </c>
      <c r="H288" s="6">
        <v>0.3510691185622607</v>
      </c>
      <c r="I288" s="6">
        <v>0.72887355350267946</v>
      </c>
      <c r="J288" s="6">
        <v>-0.77417685410046855</v>
      </c>
      <c r="K288" s="6">
        <v>-0.29802842293224086</v>
      </c>
      <c r="L288" s="6">
        <v>-0.35489938673862004</v>
      </c>
      <c r="N288" s="8">
        <f t="shared" si="12"/>
        <v>1.9601571166189171</v>
      </c>
      <c r="O288" s="8">
        <f t="shared" si="13"/>
        <v>5.5387809343075274</v>
      </c>
      <c r="P288" s="12">
        <f t="shared" si="14"/>
        <v>0</v>
      </c>
      <c r="Q288" s="11">
        <f>IF(P288=Sheet1!M288, 1, 0)</f>
        <v>1</v>
      </c>
    </row>
    <row r="289" spans="1:17" x14ac:dyDescent="0.35">
      <c r="A289" s="6" t="s">
        <v>311</v>
      </c>
      <c r="B289" s="6" t="s">
        <v>317</v>
      </c>
      <c r="C289" s="6">
        <v>0.34984470779682325</v>
      </c>
      <c r="D289" s="6">
        <v>-0.32322436105285768</v>
      </c>
      <c r="E289" s="6">
        <v>-0.67407924030411515</v>
      </c>
      <c r="F289" s="6">
        <v>-0.50329939847582572</v>
      </c>
      <c r="G289" s="6">
        <v>-0.91658233086903773</v>
      </c>
      <c r="H289" s="6">
        <v>0.20671509880724115</v>
      </c>
      <c r="I289" s="6">
        <v>0.71803612418702611</v>
      </c>
      <c r="J289" s="6">
        <v>-1.3207901712148469</v>
      </c>
      <c r="K289" s="6">
        <v>0.34201615040441224</v>
      </c>
      <c r="L289" s="6">
        <v>-0.28999252307578455</v>
      </c>
      <c r="N289" s="8">
        <f t="shared" si="12"/>
        <v>2.16165775400798</v>
      </c>
      <c r="O289" s="8">
        <f t="shared" si="13"/>
        <v>6.4111840148351407</v>
      </c>
      <c r="P289" s="12">
        <f t="shared" si="14"/>
        <v>0</v>
      </c>
      <c r="Q289" s="11">
        <f>IF(P289=Sheet1!M289, 1, 0)</f>
        <v>1</v>
      </c>
    </row>
    <row r="290" spans="1:17" x14ac:dyDescent="0.35">
      <c r="A290" s="6" t="s">
        <v>311</v>
      </c>
      <c r="B290" s="6" t="s">
        <v>318</v>
      </c>
      <c r="C290" s="6">
        <v>0.17001379181516729</v>
      </c>
      <c r="D290" s="6">
        <v>0.17393549738052108</v>
      </c>
      <c r="E290" s="6">
        <v>0.4506215396052215</v>
      </c>
      <c r="F290" s="6">
        <v>0.29630496174740628</v>
      </c>
      <c r="G290" s="6">
        <v>-0.39104726017958491</v>
      </c>
      <c r="H290" s="6">
        <v>0.84715140286962443</v>
      </c>
      <c r="I290" s="6">
        <v>0.65492403581939218</v>
      </c>
      <c r="J290" s="6">
        <v>0.17480459922310504</v>
      </c>
      <c r="K290" s="6">
        <v>0.24342737749436399</v>
      </c>
      <c r="L290" s="6">
        <v>-0.11592692920926659</v>
      </c>
      <c r="N290" s="8">
        <f t="shared" si="12"/>
        <v>2.5568905878462687</v>
      </c>
      <c r="O290" s="8">
        <f t="shared" si="13"/>
        <v>4.4457222119514492</v>
      </c>
      <c r="P290" s="12">
        <f t="shared" si="14"/>
        <v>0</v>
      </c>
      <c r="Q290" s="11">
        <f>IF(P290=Sheet1!M290, 1, 0)</f>
        <v>1</v>
      </c>
    </row>
    <row r="291" spans="1:17" x14ac:dyDescent="0.35">
      <c r="A291" s="6" t="s">
        <v>311</v>
      </c>
      <c r="B291" s="6" t="s">
        <v>319</v>
      </c>
      <c r="C291" s="6">
        <v>1.981743169242296</v>
      </c>
      <c r="D291" s="6">
        <v>-1.4709884786706573</v>
      </c>
      <c r="E291" s="6">
        <v>-0.46704293558447968</v>
      </c>
      <c r="F291" s="6">
        <v>-0.79448480133168509</v>
      </c>
      <c r="G291" s="6">
        <v>-0.66688058457460209</v>
      </c>
      <c r="H291" s="6">
        <v>0.10922227203239547</v>
      </c>
      <c r="I291" s="6">
        <v>0.20485197129869362</v>
      </c>
      <c r="J291" s="6">
        <v>-1.2562594323888439</v>
      </c>
      <c r="K291" s="6">
        <v>0.62056855640422703</v>
      </c>
      <c r="L291" s="6">
        <v>-0.39077477480497946</v>
      </c>
      <c r="N291" s="8">
        <f t="shared" si="12"/>
        <v>3.0187957681897144</v>
      </c>
      <c r="O291" s="8">
        <f t="shared" si="13"/>
        <v>7.5014807186872048</v>
      </c>
      <c r="P291" s="12">
        <f t="shared" si="14"/>
        <v>0</v>
      </c>
      <c r="Q291" s="11">
        <f>IF(P291=Sheet1!M291, 1, 0)</f>
        <v>0</v>
      </c>
    </row>
    <row r="292" spans="1:17" x14ac:dyDescent="0.35">
      <c r="A292" s="6" t="s">
        <v>311</v>
      </c>
      <c r="B292" s="6" t="s">
        <v>320</v>
      </c>
      <c r="C292" s="6">
        <v>-0.48623484934177025</v>
      </c>
      <c r="D292" s="6">
        <v>0.67723313184394029</v>
      </c>
      <c r="E292" s="6">
        <v>1.7219423360241932</v>
      </c>
      <c r="F292" s="6">
        <v>1.41944865847715</v>
      </c>
      <c r="G292" s="6">
        <v>0.64550533781010599</v>
      </c>
      <c r="H292" s="6">
        <v>0.77712893060039778</v>
      </c>
      <c r="I292" s="6">
        <v>0.83023539239615152</v>
      </c>
      <c r="J292" s="6">
        <v>4.953904738439361E-2</v>
      </c>
      <c r="K292" s="6">
        <v>-0.60318414860619551</v>
      </c>
      <c r="L292" s="6">
        <v>-0.17735583798839505</v>
      </c>
      <c r="N292" s="8">
        <f t="shared" si="12"/>
        <v>4.5048392300589457</v>
      </c>
      <c r="O292" s="8">
        <f t="shared" si="13"/>
        <v>2.8313779922430582</v>
      </c>
      <c r="P292" s="12">
        <f t="shared" si="14"/>
        <v>1</v>
      </c>
      <c r="Q292" s="11">
        <f>IF(P292=Sheet1!M292, 1, 0)</f>
        <v>0</v>
      </c>
    </row>
    <row r="293" spans="1:17" x14ac:dyDescent="0.35">
      <c r="A293" s="6" t="s">
        <v>311</v>
      </c>
      <c r="B293" s="6" t="s">
        <v>321</v>
      </c>
      <c r="C293" s="6">
        <v>-0.45536834883745614</v>
      </c>
      <c r="D293" s="6">
        <v>1.3585262711785708</v>
      </c>
      <c r="E293" s="6">
        <v>0.29847564307637903</v>
      </c>
      <c r="F293" s="6">
        <v>0.95262761580347066</v>
      </c>
      <c r="G293" s="6">
        <v>0.24482114026787305</v>
      </c>
      <c r="H293" s="6">
        <v>0.72595866240365625</v>
      </c>
      <c r="I293" s="6">
        <v>0.94307215644737541</v>
      </c>
      <c r="J293" s="6">
        <v>-0.56919686018257654</v>
      </c>
      <c r="K293" s="6">
        <v>0.93824349133659779</v>
      </c>
      <c r="L293" s="6">
        <v>-0.39752656113963664</v>
      </c>
      <c r="N293" s="8">
        <f t="shared" si="12"/>
        <v>3.4432588498875507</v>
      </c>
      <c r="O293" s="8">
        <f t="shared" si="13"/>
        <v>4.1083857865309472</v>
      </c>
      <c r="P293" s="12">
        <f t="shared" si="14"/>
        <v>0</v>
      </c>
      <c r="Q293" s="11">
        <f>IF(P293=Sheet1!M293, 1, 0)</f>
        <v>1</v>
      </c>
    </row>
    <row r="294" spans="1:17" x14ac:dyDescent="0.35">
      <c r="A294" s="6" t="s">
        <v>322</v>
      </c>
      <c r="B294" s="6" t="s">
        <v>323</v>
      </c>
      <c r="C294" s="6">
        <v>2.1629161069850089</v>
      </c>
      <c r="D294" s="6">
        <v>-0.97996639626732074</v>
      </c>
      <c r="E294" s="6">
        <v>-1.1117289378253377</v>
      </c>
      <c r="F294" s="6">
        <v>-0.93930717100602734</v>
      </c>
      <c r="G294" s="6">
        <v>-0.73656479284281529</v>
      </c>
      <c r="H294" s="6">
        <v>-1.23197738912432</v>
      </c>
      <c r="I294" s="6">
        <v>9.9665157352638603E-2</v>
      </c>
      <c r="J294" s="6">
        <v>-1.2600553582021381</v>
      </c>
      <c r="K294" s="6">
        <v>0.73167653857269133</v>
      </c>
      <c r="L294" s="6">
        <v>-0.42859555175044162</v>
      </c>
      <c r="N294" s="8">
        <f t="shared" si="12"/>
        <v>2.8320965864547585</v>
      </c>
      <c r="O294" s="8">
        <f t="shared" si="13"/>
        <v>8.0013321535883595</v>
      </c>
      <c r="P294" s="12">
        <f t="shared" si="14"/>
        <v>0</v>
      </c>
      <c r="Q294" s="11">
        <f>IF(P294=Sheet1!M294, 1, 0)</f>
        <v>0</v>
      </c>
    </row>
    <row r="295" spans="1:17" x14ac:dyDescent="0.35">
      <c r="A295" s="6" t="s">
        <v>322</v>
      </c>
      <c r="B295" s="6" t="s">
        <v>324</v>
      </c>
      <c r="C295" s="6">
        <v>2.336036914161379</v>
      </c>
      <c r="D295" s="6">
        <v>-0.68535314682531845</v>
      </c>
      <c r="E295" s="6">
        <v>-0.35763051120417405</v>
      </c>
      <c r="F295" s="6">
        <v>-0.64504044113582093</v>
      </c>
      <c r="G295" s="6">
        <v>-1.3056524936999039</v>
      </c>
      <c r="H295" s="6">
        <v>-0.43856891487378108</v>
      </c>
      <c r="I295" s="6">
        <v>-0.3510444030101576</v>
      </c>
      <c r="J295" s="6">
        <v>-0.64891130226175675</v>
      </c>
      <c r="K295" s="6">
        <v>0.45781883604478379</v>
      </c>
      <c r="L295" s="6">
        <v>-0.37515930085655835</v>
      </c>
      <c r="N295" s="8">
        <f t="shared" si="12"/>
        <v>2.3666871743739777</v>
      </c>
      <c r="O295" s="8">
        <f t="shared" si="13"/>
        <v>7.2009591272074553</v>
      </c>
      <c r="P295" s="12">
        <f t="shared" si="14"/>
        <v>0</v>
      </c>
      <c r="Q295" s="11">
        <f>IF(P295=Sheet1!M295, 1, 0)</f>
        <v>0</v>
      </c>
    </row>
    <row r="296" spans="1:17" x14ac:dyDescent="0.35">
      <c r="A296" s="6" t="s">
        <v>322</v>
      </c>
      <c r="B296" s="6" t="s">
        <v>325</v>
      </c>
      <c r="C296" s="6">
        <v>1.4368823342531003</v>
      </c>
      <c r="D296" s="6">
        <v>-0.64238871461502689</v>
      </c>
      <c r="E296" s="6">
        <v>-1.0494706896089347</v>
      </c>
      <c r="F296" s="6">
        <v>-0.8499486875899438</v>
      </c>
      <c r="G296" s="6">
        <v>-1.3782402106459608</v>
      </c>
      <c r="H296" s="6">
        <v>-0.1229291552601927</v>
      </c>
      <c r="I296" s="6">
        <v>-3.357147364569868E-2</v>
      </c>
      <c r="J296" s="6">
        <v>-0.40597205021092181</v>
      </c>
      <c r="K296" s="6">
        <v>0.67221029459520354</v>
      </c>
      <c r="L296" s="6">
        <v>-0.35686516915548205</v>
      </c>
      <c r="N296" s="8">
        <f t="shared" si="12"/>
        <v>1.6486425411789982</v>
      </c>
      <c r="O296" s="8">
        <f t="shared" si="13"/>
        <v>7.1409415457373679</v>
      </c>
      <c r="P296" s="12">
        <f t="shared" si="14"/>
        <v>0</v>
      </c>
      <c r="Q296" s="11">
        <f>IF(P296=Sheet1!M296, 1, 0)</f>
        <v>0</v>
      </c>
    </row>
    <row r="297" spans="1:17" x14ac:dyDescent="0.35">
      <c r="A297" s="6" t="s">
        <v>322</v>
      </c>
      <c r="B297" s="6" t="s">
        <v>326</v>
      </c>
      <c r="C297" s="6">
        <v>1.9280622988000107</v>
      </c>
      <c r="D297" s="6">
        <v>-1.0413441565677377</v>
      </c>
      <c r="E297" s="6">
        <v>-1.2841363944246069</v>
      </c>
      <c r="F297" s="6">
        <v>-1.196597976704062</v>
      </c>
      <c r="G297" s="6">
        <v>-0.92819636558040863</v>
      </c>
      <c r="H297" s="6">
        <v>-1.4571265691899855</v>
      </c>
      <c r="I297" s="6">
        <v>-1.5010869021536981</v>
      </c>
      <c r="J297" s="6">
        <v>-0.94499351569871182</v>
      </c>
      <c r="K297" s="6">
        <v>1.4280575535722282</v>
      </c>
      <c r="L297" s="6">
        <v>-0.35689011780720808</v>
      </c>
      <c r="N297" s="8">
        <f t="shared" si="12"/>
        <v>3.3574706124905251</v>
      </c>
      <c r="O297" s="8">
        <f t="shared" si="13"/>
        <v>8.6228196947703228</v>
      </c>
      <c r="P297" s="12">
        <f t="shared" si="14"/>
        <v>0</v>
      </c>
      <c r="Q297" s="11">
        <f>IF(P297=Sheet1!M297, 1, 0)</f>
        <v>0</v>
      </c>
    </row>
    <row r="298" spans="1:17" x14ac:dyDescent="0.35">
      <c r="A298" s="6" t="s">
        <v>322</v>
      </c>
      <c r="B298" s="6" t="s">
        <v>327</v>
      </c>
      <c r="C298" s="6">
        <v>1.3885695508550437</v>
      </c>
      <c r="D298" s="6">
        <v>-0.29253548090264925</v>
      </c>
      <c r="E298" s="6">
        <v>-1.4738582750840594</v>
      </c>
      <c r="F298" s="6">
        <v>-0.96087646010646144</v>
      </c>
      <c r="G298" s="6">
        <v>-0.74527531887634235</v>
      </c>
      <c r="H298" s="6">
        <v>-0.38632137787289705</v>
      </c>
      <c r="I298" s="6">
        <v>0.14110238708896297</v>
      </c>
      <c r="J298" s="6">
        <v>-0.4477272341571592</v>
      </c>
      <c r="K298" s="6">
        <v>1.3998893327407853</v>
      </c>
      <c r="L298" s="6">
        <v>-0.39731579309109355</v>
      </c>
      <c r="N298" s="8">
        <f t="shared" si="12"/>
        <v>1.8530607586646826</v>
      </c>
      <c r="O298" s="8">
        <f t="shared" si="13"/>
        <v>7.3522269262215607</v>
      </c>
      <c r="P298" s="12">
        <f t="shared" si="14"/>
        <v>0</v>
      </c>
      <c r="Q298" s="11">
        <f>IF(P298=Sheet1!M298, 1, 0)</f>
        <v>0</v>
      </c>
    </row>
    <row r="299" spans="1:17" x14ac:dyDescent="0.35">
      <c r="A299" s="6" t="s">
        <v>322</v>
      </c>
      <c r="B299" s="6" t="s">
        <v>328</v>
      </c>
      <c r="C299" s="6">
        <v>0.45720644868139365</v>
      </c>
      <c r="D299" s="6">
        <v>-0.66080204270515153</v>
      </c>
      <c r="E299" s="6">
        <v>-1.0660483296665568</v>
      </c>
      <c r="F299" s="6">
        <v>-1.1026175027664555</v>
      </c>
      <c r="G299" s="6">
        <v>-1.3840472280016443</v>
      </c>
      <c r="H299" s="6">
        <v>-0.29098308870633555</v>
      </c>
      <c r="I299" s="6">
        <v>0.20038950040401293</v>
      </c>
      <c r="J299" s="6">
        <v>0.11027386039710205</v>
      </c>
      <c r="K299" s="6">
        <v>0.21056445319101608</v>
      </c>
      <c r="L299" s="6">
        <v>-0.39583270648957741</v>
      </c>
      <c r="N299" s="8">
        <f t="shared" si="12"/>
        <v>1.5009193267375578</v>
      </c>
      <c r="O299" s="8">
        <f t="shared" si="13"/>
        <v>6.8551118674212761</v>
      </c>
      <c r="P299" s="12">
        <f t="shared" si="14"/>
        <v>0</v>
      </c>
      <c r="Q299" s="11">
        <f>IF(P299=Sheet1!M299, 1, 0)</f>
        <v>1</v>
      </c>
    </row>
    <row r="300" spans="1:17" x14ac:dyDescent="0.35">
      <c r="A300" s="6" t="s">
        <v>322</v>
      </c>
      <c r="B300" s="6" t="s">
        <v>329</v>
      </c>
      <c r="C300" s="6">
        <v>1.1832402214133022</v>
      </c>
      <c r="D300" s="6">
        <v>-1.0197783520730632E-2</v>
      </c>
      <c r="E300" s="6">
        <v>-1.3165548905372901</v>
      </c>
      <c r="F300" s="6">
        <v>-1.3183103937707965</v>
      </c>
      <c r="G300" s="6">
        <v>-2.3276875483003843</v>
      </c>
      <c r="H300" s="6">
        <v>0.32090559204628627</v>
      </c>
      <c r="I300" s="6">
        <v>-0.68254224090075621</v>
      </c>
      <c r="J300" s="6">
        <v>-0.93740166407212322</v>
      </c>
      <c r="K300" s="6">
        <v>0.45938373720208692</v>
      </c>
      <c r="L300" s="6">
        <v>-0.41618871679619918</v>
      </c>
      <c r="N300" s="8">
        <f t="shared" si="12"/>
        <v>2.1829080024952412</v>
      </c>
      <c r="O300" s="8">
        <f t="shared" si="13"/>
        <v>7.6312529957713062</v>
      </c>
      <c r="P300" s="12">
        <f t="shared" si="14"/>
        <v>0</v>
      </c>
      <c r="Q300" s="11">
        <f>IF(P300=Sheet1!M300, 1, 0)</f>
        <v>0</v>
      </c>
    </row>
    <row r="301" spans="1:17" x14ac:dyDescent="0.35">
      <c r="A301" s="6" t="s">
        <v>322</v>
      </c>
      <c r="B301" s="6" t="s">
        <v>330</v>
      </c>
      <c r="C301" s="6">
        <v>1.8703553630745542</v>
      </c>
      <c r="D301" s="6">
        <v>-0.1268155280915228</v>
      </c>
      <c r="E301" s="6">
        <v>-1.1301485378893621</v>
      </c>
      <c r="F301" s="6">
        <v>-0.79756612834603213</v>
      </c>
      <c r="G301" s="6">
        <v>-0.71333672342007748</v>
      </c>
      <c r="H301" s="6">
        <v>0.79059479065217197</v>
      </c>
      <c r="I301" s="6">
        <v>0.49555007529506556</v>
      </c>
      <c r="J301" s="6">
        <v>-4.5359097947963757E-2</v>
      </c>
      <c r="K301" s="6">
        <v>-0.19161514423568365</v>
      </c>
      <c r="L301" s="6">
        <v>-0.43427609229222597</v>
      </c>
      <c r="N301" s="8">
        <f t="shared" si="12"/>
        <v>1.8761324944301903</v>
      </c>
      <c r="O301" s="8">
        <f t="shared" si="13"/>
        <v>6.4978181227916307</v>
      </c>
      <c r="P301" s="12">
        <f t="shared" si="14"/>
        <v>0</v>
      </c>
      <c r="Q301" s="11">
        <f>IF(P301=Sheet1!M301, 1, 0)</f>
        <v>0</v>
      </c>
    </row>
    <row r="302" spans="1:17" x14ac:dyDescent="0.35">
      <c r="A302" s="6" t="s">
        <v>322</v>
      </c>
      <c r="B302" s="6" t="s">
        <v>331</v>
      </c>
      <c r="C302" s="6">
        <v>-0.15207143083854427</v>
      </c>
      <c r="D302" s="6">
        <v>-0.43984210562365039</v>
      </c>
      <c r="E302" s="6">
        <v>-1.0118947054783247</v>
      </c>
      <c r="F302" s="6">
        <v>-0.87922129422624684</v>
      </c>
      <c r="G302" s="6">
        <v>-1.262099863532268</v>
      </c>
      <c r="H302" s="6">
        <v>0.85415365009654687</v>
      </c>
      <c r="I302" s="6">
        <v>0.88633502650071505</v>
      </c>
      <c r="J302" s="6">
        <v>-0.47429871485021918</v>
      </c>
      <c r="K302" s="6">
        <v>0.36548966776394587</v>
      </c>
      <c r="L302" s="6">
        <v>-0.3854336947288074</v>
      </c>
      <c r="N302" s="8">
        <f t="shared" si="12"/>
        <v>2.1981857066512913</v>
      </c>
      <c r="O302" s="8">
        <f t="shared" si="13"/>
        <v>6.4754295040291163</v>
      </c>
      <c r="P302" s="12">
        <f t="shared" si="14"/>
        <v>0</v>
      </c>
      <c r="Q302" s="11">
        <f>IF(P302=Sheet1!M302, 1, 0)</f>
        <v>1</v>
      </c>
    </row>
    <row r="303" spans="1:17" x14ac:dyDescent="0.35">
      <c r="A303" s="6" t="s">
        <v>322</v>
      </c>
      <c r="B303" s="6" t="s">
        <v>332</v>
      </c>
      <c r="C303" s="6">
        <v>0.14451537835508185</v>
      </c>
      <c r="D303" s="6">
        <v>-0.9124508599368617</v>
      </c>
      <c r="E303" s="6">
        <v>-0.84869704891106756</v>
      </c>
      <c r="F303" s="6">
        <v>-0.69588233687255807</v>
      </c>
      <c r="G303" s="6">
        <v>-0.64074900647402055</v>
      </c>
      <c r="H303" s="6">
        <v>0.31982832324214455</v>
      </c>
      <c r="I303" s="6">
        <v>0.44455040792728123</v>
      </c>
      <c r="J303" s="6">
        <v>-0.19719613047973569</v>
      </c>
      <c r="K303" s="6">
        <v>0.69724871311204029</v>
      </c>
      <c r="L303" s="6">
        <v>-0.38849611038565041</v>
      </c>
      <c r="N303" s="8">
        <f t="shared" si="12"/>
        <v>2.0904845532223679</v>
      </c>
      <c r="O303" s="8">
        <f t="shared" si="13"/>
        <v>6.501895626652213</v>
      </c>
      <c r="P303" s="12">
        <f t="shared" si="14"/>
        <v>0</v>
      </c>
      <c r="Q303" s="11">
        <f>IF(P303=Sheet1!M303, 1, 0)</f>
        <v>1</v>
      </c>
    </row>
    <row r="304" spans="1:17" x14ac:dyDescent="0.35">
      <c r="A304" s="6" t="s">
        <v>322</v>
      </c>
      <c r="B304" s="6" t="s">
        <v>333</v>
      </c>
      <c r="C304" s="6">
        <v>1.5912148367746703</v>
      </c>
      <c r="D304" s="6">
        <v>-0.24957104869235763</v>
      </c>
      <c r="E304" s="6">
        <v>-0.47809469562289436</v>
      </c>
      <c r="F304" s="6">
        <v>-0.40469693401669876</v>
      </c>
      <c r="G304" s="6">
        <v>-1.2272577593981593</v>
      </c>
      <c r="H304" s="6">
        <v>0.50781172956491283</v>
      </c>
      <c r="I304" s="6">
        <v>0.82003545892259477</v>
      </c>
      <c r="J304" s="6">
        <v>-0.92980981244553462</v>
      </c>
      <c r="K304" s="6">
        <v>1.2684376355273892</v>
      </c>
      <c r="L304" s="6">
        <v>-0.37195417222543659</v>
      </c>
      <c r="N304" s="8">
        <f t="shared" si="12"/>
        <v>2.2973116067760371</v>
      </c>
      <c r="O304" s="8">
        <f t="shared" si="13"/>
        <v>6.6861174023597467</v>
      </c>
      <c r="P304" s="12">
        <f t="shared" si="14"/>
        <v>0</v>
      </c>
      <c r="Q304" s="11">
        <f>IF(P304=Sheet1!M304, 1, 0)</f>
        <v>0</v>
      </c>
    </row>
    <row r="305" spans="1:17" x14ac:dyDescent="0.35">
      <c r="A305" s="6" t="s">
        <v>322</v>
      </c>
      <c r="B305" s="6" t="s">
        <v>334</v>
      </c>
      <c r="C305" s="6">
        <v>4.1179702753682719E-2</v>
      </c>
      <c r="D305" s="6">
        <v>5.7317752809727819E-2</v>
      </c>
      <c r="E305" s="6">
        <v>-0.55472023188923636</v>
      </c>
      <c r="F305" s="6">
        <v>-0.31533845060061522</v>
      </c>
      <c r="G305" s="6">
        <v>-0.44621392505858753</v>
      </c>
      <c r="H305" s="6">
        <v>0.76474033935276597</v>
      </c>
      <c r="I305" s="6">
        <v>0.60009939339902385</v>
      </c>
      <c r="J305" s="6">
        <v>-0.78556463154035128</v>
      </c>
      <c r="K305" s="6">
        <v>0.47346784761780619</v>
      </c>
      <c r="L305" s="6">
        <v>-0.41013171071157739</v>
      </c>
      <c r="N305" s="8">
        <f t="shared" si="12"/>
        <v>2.1552226493242141</v>
      </c>
      <c r="O305" s="8">
        <f t="shared" si="13"/>
        <v>5.6972408017268865</v>
      </c>
      <c r="P305" s="12">
        <f t="shared" si="14"/>
        <v>0</v>
      </c>
      <c r="Q305" s="11">
        <f>IF(P305=Sheet1!M305, 1, 0)</f>
        <v>1</v>
      </c>
    </row>
    <row r="306" spans="1:17" x14ac:dyDescent="0.35">
      <c r="A306" s="6" t="s">
        <v>322</v>
      </c>
      <c r="B306" s="6" t="s">
        <v>335</v>
      </c>
      <c r="C306" s="6">
        <v>1.1013768939888173</v>
      </c>
      <c r="D306" s="6">
        <v>-0.50735764195410882</v>
      </c>
      <c r="E306" s="6">
        <v>-1.1758291460481429</v>
      </c>
      <c r="F306" s="6">
        <v>-0.7575088771595111</v>
      </c>
      <c r="G306" s="6">
        <v>-0.73946830152065901</v>
      </c>
      <c r="H306" s="6">
        <v>-0.23496511089095434</v>
      </c>
      <c r="I306" s="6">
        <v>0.41713808671709751</v>
      </c>
      <c r="J306" s="6">
        <v>-0.51605389879645636</v>
      </c>
      <c r="K306" s="6">
        <v>1.2731323389992963</v>
      </c>
      <c r="L306" s="6">
        <v>-0.39571398099618771</v>
      </c>
      <c r="N306" s="8">
        <f t="shared" si="12"/>
        <v>1.8346697977751363</v>
      </c>
      <c r="O306" s="8">
        <f t="shared" si="13"/>
        <v>7.0417717621631217</v>
      </c>
      <c r="P306" s="12">
        <f t="shared" si="14"/>
        <v>0</v>
      </c>
      <c r="Q306" s="11">
        <f>IF(P306=Sheet1!M306, 1, 0)</f>
        <v>0</v>
      </c>
    </row>
    <row r="307" spans="1:17" x14ac:dyDescent="0.35">
      <c r="A307" s="6" t="s">
        <v>322</v>
      </c>
      <c r="B307" s="6" t="s">
        <v>336</v>
      </c>
      <c r="C307" s="6">
        <v>2.1213134323922374</v>
      </c>
      <c r="D307" s="6">
        <v>-0.44597988165369196</v>
      </c>
      <c r="E307" s="6">
        <v>-1.4079161068548518</v>
      </c>
      <c r="F307" s="6">
        <v>-1.1288087823884114</v>
      </c>
      <c r="G307" s="6">
        <v>-1.386950736679488</v>
      </c>
      <c r="H307" s="6">
        <v>0.55628882575130034</v>
      </c>
      <c r="I307" s="6">
        <v>0.4573003247692275</v>
      </c>
      <c r="J307" s="6">
        <v>-0.52744167623633942</v>
      </c>
      <c r="K307" s="6">
        <v>0.73480634088729546</v>
      </c>
      <c r="L307" s="6">
        <v>-0.41774111217307142</v>
      </c>
      <c r="N307" s="8">
        <f t="shared" si="12"/>
        <v>2.1779969841962181</v>
      </c>
      <c r="O307" s="8">
        <f t="shared" si="13"/>
        <v>7.4991470580976127</v>
      </c>
      <c r="P307" s="12">
        <f t="shared" si="14"/>
        <v>0</v>
      </c>
      <c r="Q307" s="11">
        <f>IF(P307=Sheet1!M307, 1, 0)</f>
        <v>0</v>
      </c>
    </row>
    <row r="308" spans="1:17" x14ac:dyDescent="0.35">
      <c r="A308" s="6" t="s">
        <v>322</v>
      </c>
      <c r="B308" s="6" t="s">
        <v>337</v>
      </c>
      <c r="C308" s="6">
        <v>0.75781932315819156</v>
      </c>
      <c r="D308" s="6">
        <v>-0.5380465221043178</v>
      </c>
      <c r="E308" s="6">
        <v>-1.0737845616934472</v>
      </c>
      <c r="F308" s="6">
        <v>-0.88692461176211568</v>
      </c>
      <c r="G308" s="6">
        <v>-0.63784549779618094</v>
      </c>
      <c r="H308" s="6">
        <v>-0.23658101409716734</v>
      </c>
      <c r="I308" s="6">
        <v>0.35020102329687958</v>
      </c>
      <c r="J308" s="6">
        <v>-4.5359097947963757E-2</v>
      </c>
      <c r="K308" s="6">
        <v>0.58144602747166874</v>
      </c>
      <c r="L308" s="6">
        <v>-0.41094878950311398</v>
      </c>
      <c r="N308" s="8">
        <f t="shared" si="12"/>
        <v>1.4731634693352629</v>
      </c>
      <c r="O308" s="8">
        <f t="shared" si="13"/>
        <v>6.6583964037559662</v>
      </c>
      <c r="P308" s="12">
        <f t="shared" si="14"/>
        <v>0</v>
      </c>
      <c r="Q308" s="11">
        <f>IF(P308=Sheet1!M308, 1, 0)</f>
        <v>1</v>
      </c>
    </row>
    <row r="309" spans="1:17" x14ac:dyDescent="0.35">
      <c r="A309" s="6" t="s">
        <v>322</v>
      </c>
      <c r="B309" s="6" t="s">
        <v>338</v>
      </c>
      <c r="C309" s="6">
        <v>2.952024902486603</v>
      </c>
      <c r="D309" s="6">
        <v>-1.2070641093788641</v>
      </c>
      <c r="E309" s="6">
        <v>-1.5707453714208284</v>
      </c>
      <c r="F309" s="6">
        <v>-1.2520618629623208</v>
      </c>
      <c r="G309" s="6">
        <v>-0.35910866472332004</v>
      </c>
      <c r="H309" s="6">
        <v>-1.4361198275092175</v>
      </c>
      <c r="I309" s="6">
        <v>-1.5590990237845532</v>
      </c>
      <c r="J309" s="6">
        <v>-1.3701372067876727</v>
      </c>
      <c r="K309" s="6">
        <v>-5.3903842393077189E-2</v>
      </c>
      <c r="L309" s="6">
        <v>-0.44290788699405059</v>
      </c>
      <c r="N309" s="8">
        <f t="shared" si="12"/>
        <v>4.0037619020060777</v>
      </c>
      <c r="O309" s="8">
        <f t="shared" si="13"/>
        <v>8.9765296246390029</v>
      </c>
      <c r="P309" s="12">
        <f t="shared" si="14"/>
        <v>0</v>
      </c>
      <c r="Q309" s="11">
        <f>IF(P309=Sheet1!M309, 1, 0)</f>
        <v>0</v>
      </c>
    </row>
    <row r="310" spans="1:17" x14ac:dyDescent="0.35">
      <c r="A310" s="6" t="s">
        <v>322</v>
      </c>
      <c r="B310" s="6" t="s">
        <v>339</v>
      </c>
      <c r="C310" s="6">
        <v>2.1347336500028091</v>
      </c>
      <c r="D310" s="6">
        <v>-1.2807174217393646</v>
      </c>
      <c r="E310" s="6">
        <v>-1.4624381230443642</v>
      </c>
      <c r="F310" s="6">
        <v>-1.1765693511108013</v>
      </c>
      <c r="G310" s="6">
        <v>-0.31555603455568837</v>
      </c>
      <c r="H310" s="6">
        <v>-1.8880340908467614</v>
      </c>
      <c r="I310" s="6">
        <v>-0.15214570027579766</v>
      </c>
      <c r="J310" s="6">
        <v>-1.1461775838033095</v>
      </c>
      <c r="K310" s="6">
        <v>2.1698207021335314</v>
      </c>
      <c r="L310" s="6">
        <v>-0.40972860402054001</v>
      </c>
      <c r="N310" s="8">
        <f t="shared" si="12"/>
        <v>3.8456565494384418</v>
      </c>
      <c r="O310" s="8">
        <f t="shared" si="13"/>
        <v>8.950188249849063</v>
      </c>
      <c r="P310" s="12">
        <f t="shared" si="14"/>
        <v>0</v>
      </c>
      <c r="Q310" s="11">
        <f>IF(P310=Sheet1!M310, 1, 0)</f>
        <v>0</v>
      </c>
    </row>
    <row r="311" spans="1:17" x14ac:dyDescent="0.35">
      <c r="A311" s="6" t="s">
        <v>322</v>
      </c>
      <c r="B311" s="6" t="s">
        <v>340</v>
      </c>
      <c r="C311" s="6">
        <v>8.5466420868568094E-2</v>
      </c>
      <c r="D311" s="6">
        <v>-0.32936213708289924</v>
      </c>
      <c r="E311" s="6">
        <v>-0.76286171261271329</v>
      </c>
      <c r="F311" s="6">
        <v>-0.63271513307843041</v>
      </c>
      <c r="G311" s="6">
        <v>-0.69881918003086696</v>
      </c>
      <c r="H311" s="6">
        <v>0.63923852367022937</v>
      </c>
      <c r="I311" s="6">
        <v>0.58352450150449442</v>
      </c>
      <c r="J311" s="6">
        <v>-1.552341645825799</v>
      </c>
      <c r="K311" s="6">
        <v>-0.35592976575242774</v>
      </c>
      <c r="L311" s="6">
        <v>-0.42955388086498325</v>
      </c>
      <c r="N311" s="8">
        <f t="shared" si="12"/>
        <v>2.608940617912455</v>
      </c>
      <c r="O311" s="8">
        <f t="shared" si="13"/>
        <v>6.389543806250229</v>
      </c>
      <c r="P311" s="12">
        <f t="shared" si="14"/>
        <v>0</v>
      </c>
      <c r="Q311" s="11">
        <f>IF(P311=Sheet1!M311, 1, 0)</f>
        <v>1</v>
      </c>
    </row>
    <row r="312" spans="1:17" x14ac:dyDescent="0.35">
      <c r="A312" s="6" t="s">
        <v>322</v>
      </c>
      <c r="B312" s="6" t="s">
        <v>341</v>
      </c>
      <c r="C312" s="6">
        <v>1.9092739941452108</v>
      </c>
      <c r="D312" s="6">
        <v>-0.6669398187351937</v>
      </c>
      <c r="E312" s="6">
        <v>-1.6742635237806462</v>
      </c>
      <c r="F312" s="6">
        <v>-1.3183103937707965</v>
      </c>
      <c r="G312" s="6">
        <v>-0.46073146844780222</v>
      </c>
      <c r="H312" s="6">
        <v>-1.627873674646483</v>
      </c>
      <c r="I312" s="6">
        <v>-0.60604273984908019</v>
      </c>
      <c r="J312" s="6">
        <v>-1.1765449903096639</v>
      </c>
      <c r="K312" s="6">
        <v>1.9538643424258106</v>
      </c>
      <c r="L312" s="6">
        <v>-0.41533519709292871</v>
      </c>
      <c r="N312" s="8">
        <f t="shared" si="12"/>
        <v>3.3829322868824661</v>
      </c>
      <c r="O312" s="8">
        <f t="shared" si="13"/>
        <v>8.7098489763255955</v>
      </c>
      <c r="P312" s="12">
        <f t="shared" si="14"/>
        <v>0</v>
      </c>
      <c r="Q312" s="11">
        <f>IF(P312=Sheet1!M312, 1, 0)</f>
        <v>0</v>
      </c>
    </row>
    <row r="313" spans="1:17" x14ac:dyDescent="0.35">
      <c r="A313" s="6" t="s">
        <v>322</v>
      </c>
      <c r="B313" s="6" t="s">
        <v>342</v>
      </c>
      <c r="C313" s="6">
        <v>2.3964278934089496</v>
      </c>
      <c r="D313" s="6">
        <v>-1.0904463648080713</v>
      </c>
      <c r="E313" s="6">
        <v>-1.867300932451623</v>
      </c>
      <c r="F313" s="6">
        <v>-1.9869583558842505</v>
      </c>
      <c r="G313" s="6">
        <v>-2.6122313987289285</v>
      </c>
      <c r="H313" s="6">
        <v>0.21964232445694415</v>
      </c>
      <c r="I313" s="6">
        <v>-2.2412195748286714</v>
      </c>
      <c r="J313" s="6">
        <v>-1.4460557230535587</v>
      </c>
      <c r="K313" s="6">
        <v>-0.10085087711214884</v>
      </c>
      <c r="L313" s="6">
        <v>-0.44253432585874242</v>
      </c>
      <c r="N313" s="8">
        <f t="shared" si="12"/>
        <v>4.3113833022967336</v>
      </c>
      <c r="O313" s="8">
        <f t="shared" si="13"/>
        <v>9.5747538046489549</v>
      </c>
      <c r="P313" s="12">
        <f t="shared" si="14"/>
        <v>0</v>
      </c>
      <c r="Q313" s="11">
        <f>IF(P313=Sheet1!M313, 1, 0)</f>
        <v>0</v>
      </c>
    </row>
    <row r="314" spans="1:17" x14ac:dyDescent="0.35">
      <c r="A314" s="6" t="s">
        <v>322</v>
      </c>
      <c r="B314" s="6" t="s">
        <v>343</v>
      </c>
      <c r="C314" s="6">
        <v>0.54443786315010712</v>
      </c>
      <c r="D314" s="6">
        <v>-0.82038421948623641</v>
      </c>
      <c r="E314" s="6">
        <v>-1.6444237716769265</v>
      </c>
      <c r="F314" s="6">
        <v>-1.4646734269523125</v>
      </c>
      <c r="G314" s="6">
        <v>-1.3492051238675355</v>
      </c>
      <c r="H314" s="6">
        <v>-0.32976476565544532</v>
      </c>
      <c r="I314" s="6">
        <v>5.6315440090021318E-2</v>
      </c>
      <c r="J314" s="6">
        <v>-0.61854389575540236</v>
      </c>
      <c r="K314" s="6">
        <v>9.9456471022549467E-2</v>
      </c>
      <c r="L314" s="6">
        <v>-0.41891455549994094</v>
      </c>
      <c r="N314" s="8">
        <f t="shared" si="12"/>
        <v>2.0317573099600552</v>
      </c>
      <c r="O314" s="8">
        <f t="shared" si="13"/>
        <v>7.6041701955502594</v>
      </c>
      <c r="P314" s="12">
        <f t="shared" si="14"/>
        <v>0</v>
      </c>
      <c r="Q314" s="11">
        <f>IF(P314=Sheet1!M314, 1, 0)</f>
        <v>1</v>
      </c>
    </row>
    <row r="315" spans="1:17" x14ac:dyDescent="0.35">
      <c r="A315" s="6" t="s">
        <v>322</v>
      </c>
      <c r="B315" s="6" t="s">
        <v>344</v>
      </c>
      <c r="C315" s="6">
        <v>-0.4164497177667994</v>
      </c>
      <c r="D315" s="6">
        <v>1.9416149940325327</v>
      </c>
      <c r="E315" s="6">
        <v>1.0658361817436401</v>
      </c>
      <c r="F315" s="6">
        <v>1.5118884689075804</v>
      </c>
      <c r="G315" s="6">
        <v>2.1250972074018888E-2</v>
      </c>
      <c r="H315" s="6">
        <v>0.68179064143383628</v>
      </c>
      <c r="I315" s="6">
        <v>0.73014854518687478</v>
      </c>
      <c r="J315" s="6">
        <v>1.7842771440598861</v>
      </c>
      <c r="K315" s="6">
        <v>-1.1149068270440565</v>
      </c>
      <c r="L315" s="6">
        <v>-0.11353933906008178</v>
      </c>
      <c r="N315" s="8">
        <f t="shared" si="12"/>
        <v>4.4705513730448381</v>
      </c>
      <c r="O315" s="8">
        <f t="shared" si="13"/>
        <v>1.997880239256945</v>
      </c>
      <c r="P315" s="12">
        <f t="shared" si="14"/>
        <v>1</v>
      </c>
      <c r="Q315" s="11">
        <f>IF(P315=Sheet1!M315, 1, 0)</f>
        <v>0</v>
      </c>
    </row>
    <row r="316" spans="1:17" x14ac:dyDescent="0.35">
      <c r="A316" s="6" t="s">
        <v>345</v>
      </c>
      <c r="B316" s="6" t="s">
        <v>346</v>
      </c>
      <c r="C316" s="6">
        <v>-0.61909500368642634</v>
      </c>
      <c r="D316" s="6">
        <v>-1.0536197086278214</v>
      </c>
      <c r="E316" s="6">
        <v>-0.18301270259722169</v>
      </c>
      <c r="F316" s="6">
        <v>-0.43551020416017633</v>
      </c>
      <c r="G316" s="6">
        <v>-0.16747709198573077</v>
      </c>
      <c r="H316" s="6">
        <v>0.83260827401370774</v>
      </c>
      <c r="I316" s="6">
        <v>0.66703645681924084</v>
      </c>
      <c r="J316" s="6">
        <v>-0.41356390183751041</v>
      </c>
      <c r="K316" s="6">
        <v>0.528239388123389</v>
      </c>
      <c r="L316" s="6">
        <v>-0.16749357745504403</v>
      </c>
      <c r="N316" s="8">
        <f t="shared" si="12"/>
        <v>3.0846147031158906</v>
      </c>
      <c r="O316" s="8">
        <f t="shared" si="13"/>
        <v>5.9746963427880999</v>
      </c>
      <c r="P316" s="12">
        <f t="shared" si="14"/>
        <v>0</v>
      </c>
      <c r="Q316" s="11">
        <f>IF(P316=Sheet1!M316, 1, 0)</f>
        <v>1</v>
      </c>
    </row>
    <row r="317" spans="1:17" x14ac:dyDescent="0.35">
      <c r="A317" s="6" t="s">
        <v>345</v>
      </c>
      <c r="B317" s="6" t="s">
        <v>347</v>
      </c>
      <c r="C317" s="6">
        <v>-0.77745357149116789</v>
      </c>
      <c r="D317" s="6">
        <v>-1.0045175003874875</v>
      </c>
      <c r="E317" s="6">
        <v>-0.41694162341033297</v>
      </c>
      <c r="F317" s="6">
        <v>-0.29068783448583185</v>
      </c>
      <c r="G317" s="6">
        <v>1.2145930386671946</v>
      </c>
      <c r="H317" s="6">
        <v>0.26758078624126053</v>
      </c>
      <c r="I317" s="6">
        <v>-0.67744227416397784</v>
      </c>
      <c r="J317" s="6">
        <v>-0.24274724023926728</v>
      </c>
      <c r="K317" s="6">
        <v>0.10884587796636379</v>
      </c>
      <c r="L317" s="6">
        <v>-0.33685166998712923</v>
      </c>
      <c r="N317" s="8">
        <f t="shared" si="12"/>
        <v>3.6886693752416049</v>
      </c>
      <c r="O317" s="8">
        <f t="shared" si="13"/>
        <v>6.1065031835074723</v>
      </c>
      <c r="P317" s="12">
        <f t="shared" si="14"/>
        <v>0</v>
      </c>
      <c r="Q317" s="11">
        <f>IF(P317=Sheet1!M317, 1, 0)</f>
        <v>1</v>
      </c>
    </row>
    <row r="318" spans="1:17" x14ac:dyDescent="0.35">
      <c r="A318" s="6" t="s">
        <v>345</v>
      </c>
      <c r="B318" s="6" t="s">
        <v>348</v>
      </c>
      <c r="C318" s="6">
        <v>-0.17220175725440129</v>
      </c>
      <c r="D318" s="6">
        <v>-0.80810866742615273</v>
      </c>
      <c r="E318" s="6">
        <v>-1.0660483296665568</v>
      </c>
      <c r="F318" s="6">
        <v>-0.5726292562986498</v>
      </c>
      <c r="G318" s="6">
        <v>0.98231234443981319</v>
      </c>
      <c r="H318" s="6">
        <v>-0.77306087855985339</v>
      </c>
      <c r="I318" s="6">
        <v>-1.2492760445252618</v>
      </c>
      <c r="J318" s="6">
        <v>-0.69825833783458258</v>
      </c>
      <c r="K318" s="6">
        <v>0.11354058143827095</v>
      </c>
      <c r="L318" s="6">
        <v>-0.30614159310387706</v>
      </c>
      <c r="N318" s="8">
        <f t="shared" si="12"/>
        <v>3.3819118524393943</v>
      </c>
      <c r="O318" s="8">
        <f t="shared" si="13"/>
        <v>6.9636865414078146</v>
      </c>
      <c r="P318" s="12">
        <f t="shared" si="14"/>
        <v>0</v>
      </c>
      <c r="Q318" s="11">
        <f>IF(P318=Sheet1!M318, 1, 0)</f>
        <v>1</v>
      </c>
    </row>
    <row r="319" spans="1:17" x14ac:dyDescent="0.35">
      <c r="A319" s="6" t="s">
        <v>345</v>
      </c>
      <c r="B319" s="6" t="s">
        <v>349</v>
      </c>
      <c r="C319" s="6">
        <v>-0.95191640042859527</v>
      </c>
      <c r="D319" s="6">
        <v>-0.85721087566648646</v>
      </c>
      <c r="E319" s="6">
        <v>-0.94558414524783652</v>
      </c>
      <c r="F319" s="6">
        <v>-0.6003611994277781</v>
      </c>
      <c r="G319" s="6">
        <v>0.44225973036114985</v>
      </c>
      <c r="H319" s="6">
        <v>0.36345770980989323</v>
      </c>
      <c r="I319" s="6">
        <v>0.2373642592456566</v>
      </c>
      <c r="J319" s="6">
        <v>1.0061123523345556</v>
      </c>
      <c r="K319" s="6">
        <v>-1.3465121983248018</v>
      </c>
      <c r="L319" s="6">
        <v>-0.34472088010487245</v>
      </c>
      <c r="N319" s="8">
        <f t="shared" si="12"/>
        <v>3.5057751702540134</v>
      </c>
      <c r="O319" s="8">
        <f t="shared" si="13"/>
        <v>5.9006310914267299</v>
      </c>
      <c r="P319" s="12">
        <f t="shared" si="14"/>
        <v>0</v>
      </c>
      <c r="Q319" s="11">
        <f>IF(P319=Sheet1!M319, 1, 0)</f>
        <v>1</v>
      </c>
    </row>
    <row r="320" spans="1:17" x14ac:dyDescent="0.35">
      <c r="A320" s="6" t="s">
        <v>345</v>
      </c>
      <c r="B320" s="6" t="s">
        <v>350</v>
      </c>
      <c r="C320" s="6">
        <v>-1.0364637713751945</v>
      </c>
      <c r="D320" s="6">
        <v>-0.64238871461502689</v>
      </c>
      <c r="E320" s="6">
        <v>-0.735600704517957</v>
      </c>
      <c r="F320" s="6">
        <v>-0.57416991980582233</v>
      </c>
      <c r="G320" s="6">
        <v>0.51194393862936305</v>
      </c>
      <c r="H320" s="6">
        <v>-0.36962371140869682</v>
      </c>
      <c r="I320" s="6">
        <v>-0.22035775538020902</v>
      </c>
      <c r="J320" s="6">
        <v>-0.61095204412881376</v>
      </c>
      <c r="K320" s="6">
        <v>-8.5217088313108893E-3</v>
      </c>
      <c r="L320" s="6">
        <v>-0.17078811586902648</v>
      </c>
      <c r="N320" s="8">
        <f t="shared" si="12"/>
        <v>3.1269887909909069</v>
      </c>
      <c r="O320" s="8">
        <f t="shared" si="13"/>
        <v>6.2815620499108658</v>
      </c>
      <c r="P320" s="12">
        <f t="shared" si="14"/>
        <v>0</v>
      </c>
      <c r="Q320" s="11">
        <f>IF(P320=Sheet1!M320, 1, 0)</f>
        <v>1</v>
      </c>
    </row>
    <row r="321" spans="1:17" x14ac:dyDescent="0.35">
      <c r="A321" s="6" t="s">
        <v>345</v>
      </c>
      <c r="B321" s="6" t="s">
        <v>351</v>
      </c>
      <c r="C321" s="6">
        <v>-0.2876156287053146</v>
      </c>
      <c r="D321" s="6">
        <v>-0.59942428240473467</v>
      </c>
      <c r="E321" s="6">
        <v>-0.41104735138984516</v>
      </c>
      <c r="F321" s="6">
        <v>-0.38466830842343708</v>
      </c>
      <c r="G321" s="6">
        <v>0.42193516961625177</v>
      </c>
      <c r="H321" s="6">
        <v>-9.384289754836074E-2</v>
      </c>
      <c r="I321" s="6">
        <v>-1.7777600976239292</v>
      </c>
      <c r="J321" s="6">
        <v>0.71382606471089516</v>
      </c>
      <c r="K321" s="6">
        <v>-0.78627758401056824</v>
      </c>
      <c r="L321" s="6">
        <v>-6.5095806499006745E-2</v>
      </c>
      <c r="N321" s="8">
        <f t="shared" si="12"/>
        <v>3.408045811280771</v>
      </c>
      <c r="O321" s="8">
        <f t="shared" si="13"/>
        <v>6.0419258093055142</v>
      </c>
      <c r="P321" s="12">
        <f t="shared" si="14"/>
        <v>0</v>
      </c>
      <c r="Q321" s="11">
        <f>IF(P321=Sheet1!M321, 1, 0)</f>
        <v>1</v>
      </c>
    </row>
    <row r="322" spans="1:17" x14ac:dyDescent="0.35">
      <c r="A322" s="6" t="s">
        <v>345</v>
      </c>
      <c r="B322" s="6" t="s">
        <v>352</v>
      </c>
      <c r="C322" s="6">
        <v>-0.40168747839517105</v>
      </c>
      <c r="D322" s="6">
        <v>-0.83265977154631954</v>
      </c>
      <c r="E322" s="6">
        <v>-0.59561174403137074</v>
      </c>
      <c r="F322" s="6">
        <v>-0.46170148378213</v>
      </c>
      <c r="G322" s="6">
        <v>0.6338913030987392</v>
      </c>
      <c r="H322" s="6">
        <v>-0.63947954684625308</v>
      </c>
      <c r="I322" s="6">
        <v>-2.1041579687777499</v>
      </c>
      <c r="J322" s="6">
        <v>-0.421155753464099</v>
      </c>
      <c r="K322" s="6">
        <v>1.3013005598307392</v>
      </c>
      <c r="L322" s="6">
        <v>-0.25558998305202518</v>
      </c>
      <c r="N322" s="8">
        <f t="shared" si="12"/>
        <v>3.8161348799477883</v>
      </c>
      <c r="O322" s="8">
        <f t="shared" si="13"/>
        <v>7.17340255763812</v>
      </c>
      <c r="P322" s="12">
        <f t="shared" si="14"/>
        <v>0</v>
      </c>
      <c r="Q322" s="11">
        <f>IF(P322=Sheet1!M322, 1, 0)</f>
        <v>1</v>
      </c>
    </row>
    <row r="323" spans="1:17" x14ac:dyDescent="0.35">
      <c r="A323" s="6" t="s">
        <v>345</v>
      </c>
      <c r="B323" s="6" t="s">
        <v>353</v>
      </c>
      <c r="C323" s="6">
        <v>-0.44865824003217064</v>
      </c>
      <c r="D323" s="6">
        <v>-0.55645985019444255</v>
      </c>
      <c r="E323" s="6">
        <v>-1.1629354260033258</v>
      </c>
      <c r="F323" s="6">
        <v>-0.6434997776286463</v>
      </c>
      <c r="G323" s="6">
        <v>0.83423340186985562</v>
      </c>
      <c r="H323" s="6">
        <v>-0.40409631314123895</v>
      </c>
      <c r="I323" s="6">
        <v>-0.51870580948174894</v>
      </c>
      <c r="J323" s="6">
        <v>-0.33384945975833041</v>
      </c>
      <c r="K323" s="6">
        <v>0.45155923141557353</v>
      </c>
      <c r="L323" s="6">
        <v>-0.32289509332332544</v>
      </c>
      <c r="N323" s="8">
        <f t="shared" ref="N323:N386" si="15">SQRT((C323-$C$520)^2+(D323-$D$520)^2+(E323-$E$520)^2+(F323-$F$520)^2+(G323-$G$520)^2+(H323-$H$520)^2+(I323-$I$520)^2+(J323-$J$520)^2+(K323-$K$520)^2+(L323-$L$520)^2)</f>
        <v>2.920598767329134</v>
      </c>
      <c r="O323" s="8">
        <f t="shared" ref="O323:O386" si="16">SQRT((C323-$C$521)^2+(D323-$D$521)^2+(E323-$E$521)^2+(F323-$F$521)^2+(G323-$G$521)^2+(H323-$H$521)^2+(I323-$I$521)^2+(J323-$J$521)^2+(K323-$K$521)^2+(L323-$L$521)^2)</f>
        <v>6.5652749365434575</v>
      </c>
      <c r="P323" s="12">
        <f t="shared" ref="P323:P386" si="17">IF(N323&lt;=O323, 0, 1)</f>
        <v>0</v>
      </c>
      <c r="Q323" s="11">
        <f>IF(P323=Sheet1!M323, 1, 0)</f>
        <v>1</v>
      </c>
    </row>
    <row r="324" spans="1:17" x14ac:dyDescent="0.35">
      <c r="A324" s="6" t="s">
        <v>345</v>
      </c>
      <c r="B324" s="6" t="s">
        <v>354</v>
      </c>
      <c r="C324" s="6">
        <v>-0.80697805023442493</v>
      </c>
      <c r="D324" s="6">
        <v>-0.97382862023727912</v>
      </c>
      <c r="E324" s="6">
        <v>-1.0546281776268616</v>
      </c>
      <c r="F324" s="6">
        <v>-0.76983418521690161</v>
      </c>
      <c r="G324" s="6">
        <v>0.69486498533342511</v>
      </c>
      <c r="H324" s="6">
        <v>-0.40786675395573613</v>
      </c>
      <c r="I324" s="6">
        <v>-2.3132566049856664</v>
      </c>
      <c r="J324" s="6">
        <v>-0.81213611223341153</v>
      </c>
      <c r="K324" s="6">
        <v>0.39365788859538886</v>
      </c>
      <c r="L324" s="6">
        <v>-0.36626368565499096</v>
      </c>
      <c r="N324" s="8">
        <f t="shared" si="15"/>
        <v>4.0812901215634341</v>
      </c>
      <c r="O324" s="8">
        <f t="shared" si="16"/>
        <v>7.4913655880059409</v>
      </c>
      <c r="P324" s="12">
        <f t="shared" si="17"/>
        <v>0</v>
      </c>
      <c r="Q324" s="11">
        <f>IF(P324=Sheet1!M324, 1, 0)</f>
        <v>1</v>
      </c>
    </row>
    <row r="325" spans="1:17" x14ac:dyDescent="0.35">
      <c r="A325" s="6" t="s">
        <v>345</v>
      </c>
      <c r="B325" s="6" t="s">
        <v>355</v>
      </c>
      <c r="C325" s="6">
        <v>-3.5315537626573863E-2</v>
      </c>
      <c r="D325" s="6">
        <v>-0.93700196405702862</v>
      </c>
      <c r="E325" s="6">
        <v>-0.70355060040655437</v>
      </c>
      <c r="F325" s="6">
        <v>-0.62501181554255936</v>
      </c>
      <c r="G325" s="6">
        <v>0.96489129237275895</v>
      </c>
      <c r="H325" s="6">
        <v>-0.30067850794361262</v>
      </c>
      <c r="I325" s="6">
        <v>-1.2167637565782996</v>
      </c>
      <c r="J325" s="6">
        <v>-0.91083018337906307</v>
      </c>
      <c r="K325" s="6">
        <v>0.44529962678636542</v>
      </c>
      <c r="L325" s="6">
        <v>-0.38580439324662275</v>
      </c>
      <c r="N325" s="8">
        <f t="shared" si="15"/>
        <v>3.4383612997356203</v>
      </c>
      <c r="O325" s="8">
        <f t="shared" si="16"/>
        <v>6.8935539487697861</v>
      </c>
      <c r="P325" s="12">
        <f t="shared" si="17"/>
        <v>0</v>
      </c>
      <c r="Q325" s="11">
        <f>IF(P325=Sheet1!M325, 1, 0)</f>
        <v>1</v>
      </c>
    </row>
    <row r="326" spans="1:17" x14ac:dyDescent="0.35">
      <c r="A326" s="6" t="s">
        <v>345</v>
      </c>
      <c r="B326" s="6" t="s">
        <v>356</v>
      </c>
      <c r="C326" s="6">
        <v>-0.39497736958988527</v>
      </c>
      <c r="D326" s="6">
        <v>-1.483264030730741</v>
      </c>
      <c r="E326" s="6">
        <v>-0.88590464104039701</v>
      </c>
      <c r="F326" s="6">
        <v>-1.0825888771731962</v>
      </c>
      <c r="G326" s="6">
        <v>-0.34168761265626574</v>
      </c>
      <c r="H326" s="6">
        <v>-0.31576027120159983</v>
      </c>
      <c r="I326" s="6">
        <v>0.87358510965876879</v>
      </c>
      <c r="J326" s="6">
        <v>-0.48568649229010219</v>
      </c>
      <c r="K326" s="6">
        <v>-0.61570335786461383</v>
      </c>
      <c r="L326" s="6">
        <v>-0.40392344559023469</v>
      </c>
      <c r="N326" s="8">
        <f t="shared" si="15"/>
        <v>3.0433066022746158</v>
      </c>
      <c r="O326" s="8">
        <f t="shared" si="16"/>
        <v>6.9285379124124331</v>
      </c>
      <c r="P326" s="12">
        <f t="shared" si="17"/>
        <v>0</v>
      </c>
      <c r="Q326" s="11">
        <f>IF(P326=Sheet1!M326, 1, 0)</f>
        <v>1</v>
      </c>
    </row>
    <row r="327" spans="1:17" x14ac:dyDescent="0.35">
      <c r="A327" s="6" t="s">
        <v>345</v>
      </c>
      <c r="B327" s="6" t="s">
        <v>357</v>
      </c>
      <c r="C327" s="6">
        <v>-1.0646462283573943</v>
      </c>
      <c r="D327" s="6">
        <v>-0.88176197978665327</v>
      </c>
      <c r="E327" s="6">
        <v>-0.62434632013124902</v>
      </c>
      <c r="F327" s="6">
        <v>-0.27219987239974702</v>
      </c>
      <c r="G327" s="6">
        <v>0.29998780514687567</v>
      </c>
      <c r="H327" s="6">
        <v>-7.8761134290373527E-2</v>
      </c>
      <c r="I327" s="6">
        <v>0.74098597450252912</v>
      </c>
      <c r="J327" s="6">
        <v>0.74419347121724921</v>
      </c>
      <c r="K327" s="6">
        <v>-0.31211253334796235</v>
      </c>
      <c r="L327" s="6">
        <v>-6.7054275659500187E-2</v>
      </c>
      <c r="N327" s="8">
        <f t="shared" si="15"/>
        <v>3.1819678711169814</v>
      </c>
      <c r="O327" s="8">
        <f t="shared" si="16"/>
        <v>5.6895648312936018</v>
      </c>
      <c r="P327" s="12">
        <f t="shared" si="17"/>
        <v>0</v>
      </c>
      <c r="Q327" s="11">
        <f>IF(P327=Sheet1!M327, 1, 0)</f>
        <v>1</v>
      </c>
    </row>
    <row r="328" spans="1:17" x14ac:dyDescent="0.35">
      <c r="A328" s="6" t="s">
        <v>345</v>
      </c>
      <c r="B328" s="6" t="s">
        <v>358</v>
      </c>
      <c r="C328" s="6">
        <v>-1.0324377060920231</v>
      </c>
      <c r="D328" s="6">
        <v>1.2234951985176528</v>
      </c>
      <c r="E328" s="6">
        <v>1.5786378475260825</v>
      </c>
      <c r="F328" s="6">
        <v>1.5411610755438856</v>
      </c>
      <c r="G328" s="6">
        <v>1.005540413862551</v>
      </c>
      <c r="H328" s="6">
        <v>1.0383666156048186</v>
      </c>
      <c r="I328" s="6">
        <v>0.71166116576605254</v>
      </c>
      <c r="J328" s="6">
        <v>2.7788097071429916</v>
      </c>
      <c r="K328" s="6">
        <v>-1.1775028733361506</v>
      </c>
      <c r="L328" s="6">
        <v>6.1751872993741137E-2</v>
      </c>
      <c r="N328" s="8">
        <f t="shared" si="15"/>
        <v>5.6564998244677653</v>
      </c>
      <c r="O328" s="8">
        <f t="shared" si="16"/>
        <v>2.4277102101578634</v>
      </c>
      <c r="P328" s="12">
        <f t="shared" si="17"/>
        <v>1</v>
      </c>
      <c r="Q328" s="11">
        <f>IF(P328=Sheet1!M328, 1, 0)</f>
        <v>0</v>
      </c>
    </row>
    <row r="329" spans="1:17" x14ac:dyDescent="0.35">
      <c r="A329" s="6" t="s">
        <v>345</v>
      </c>
      <c r="B329" s="6" t="s">
        <v>359</v>
      </c>
      <c r="C329" s="6">
        <v>-0.9988871620655948</v>
      </c>
      <c r="D329" s="6">
        <v>-0.32936213708289924</v>
      </c>
      <c r="E329" s="6">
        <v>0.5312993878856489</v>
      </c>
      <c r="F329" s="6">
        <v>0.33636221293392737</v>
      </c>
      <c r="G329" s="6">
        <v>0.73261059814537755</v>
      </c>
      <c r="H329" s="6">
        <v>0.80836972592051393</v>
      </c>
      <c r="I329" s="6">
        <v>0.30748880187635996</v>
      </c>
      <c r="J329" s="6">
        <v>1.5565215952622287</v>
      </c>
      <c r="K329" s="6">
        <v>-0.80662129905549784</v>
      </c>
      <c r="L329" s="6">
        <v>-0.31313908395750112</v>
      </c>
      <c r="N329" s="8">
        <f t="shared" si="15"/>
        <v>4.0450954571861999</v>
      </c>
      <c r="O329" s="8">
        <f t="shared" si="16"/>
        <v>4.2304273076841747</v>
      </c>
      <c r="P329" s="12">
        <f t="shared" si="17"/>
        <v>0</v>
      </c>
      <c r="Q329" s="11">
        <f>IF(P329=Sheet1!M329, 1, 0)</f>
        <v>1</v>
      </c>
    </row>
    <row r="330" spans="1:17" x14ac:dyDescent="0.35">
      <c r="A330" s="6" t="s">
        <v>360</v>
      </c>
      <c r="B330" s="6" t="s">
        <v>361</v>
      </c>
      <c r="C330" s="6">
        <v>-1.1169850770386225</v>
      </c>
      <c r="D330" s="6">
        <v>5.7317752809727819E-2</v>
      </c>
      <c r="E330" s="6">
        <v>1.0286285896143106</v>
      </c>
      <c r="F330" s="6">
        <v>0.48426590962261684</v>
      </c>
      <c r="G330" s="6">
        <v>0.297084296469036</v>
      </c>
      <c r="H330" s="6">
        <v>0.72865183441401093</v>
      </c>
      <c r="I330" s="6">
        <v>9.4565190615860259E-2</v>
      </c>
      <c r="J330" s="6">
        <v>-0.13646131746702692</v>
      </c>
      <c r="K330" s="6">
        <v>8.5372360606830192E-2</v>
      </c>
      <c r="L330" s="6">
        <v>-0.17196795307146395</v>
      </c>
      <c r="N330" s="8">
        <f t="shared" si="15"/>
        <v>3.7505370798393058</v>
      </c>
      <c r="O330" s="8">
        <f t="shared" si="16"/>
        <v>4.2059871500555142</v>
      </c>
      <c r="P330" s="12">
        <f t="shared" si="17"/>
        <v>0</v>
      </c>
      <c r="Q330" s="11">
        <f>IF(P330=Sheet1!M330, 1, 0)</f>
        <v>1</v>
      </c>
    </row>
    <row r="331" spans="1:17" x14ac:dyDescent="0.35">
      <c r="A331" s="6" t="s">
        <v>360</v>
      </c>
      <c r="B331" s="6" t="s">
        <v>362</v>
      </c>
      <c r="C331" s="6">
        <v>-0.85394881187142446</v>
      </c>
      <c r="D331" s="6">
        <v>-0.17591773633185653</v>
      </c>
      <c r="E331" s="6">
        <v>0.56777019601241741</v>
      </c>
      <c r="F331" s="6">
        <v>0.22389377691023513</v>
      </c>
      <c r="G331" s="6">
        <v>7.0610619597338095E-2</v>
      </c>
      <c r="H331" s="6">
        <v>-0.24681506773651563</v>
      </c>
      <c r="I331" s="6">
        <v>1.4878210353696941E-2</v>
      </c>
      <c r="J331" s="6">
        <v>3.4355344131216416E-2</v>
      </c>
      <c r="K331" s="6">
        <v>-0.45295363750517287</v>
      </c>
      <c r="L331" s="6">
        <v>-7.7193374288930097E-2</v>
      </c>
      <c r="N331" s="8">
        <f t="shared" si="15"/>
        <v>3.1384627502513447</v>
      </c>
      <c r="O331" s="8">
        <f t="shared" si="16"/>
        <v>4.70779345650379</v>
      </c>
      <c r="P331" s="12">
        <f t="shared" si="17"/>
        <v>0</v>
      </c>
      <c r="Q331" s="11">
        <f>IF(P331=Sheet1!M331, 1, 0)</f>
        <v>1</v>
      </c>
    </row>
    <row r="332" spans="1:17" x14ac:dyDescent="0.35">
      <c r="A332" s="6" t="s">
        <v>360</v>
      </c>
      <c r="B332" s="6" t="s">
        <v>363</v>
      </c>
      <c r="C332" s="6">
        <v>-0.92910203049062401</v>
      </c>
      <c r="D332" s="6">
        <v>-0.51349541798415099</v>
      </c>
      <c r="E332" s="6">
        <v>0.30326473909302543</v>
      </c>
      <c r="F332" s="6">
        <v>-4.5722336845190045E-2</v>
      </c>
      <c r="G332" s="6">
        <v>-0.25458235232099824</v>
      </c>
      <c r="H332" s="6">
        <v>-1.5066809341805147</v>
      </c>
      <c r="I332" s="6">
        <v>-0.89419086047706242</v>
      </c>
      <c r="J332" s="6">
        <v>-5.6746875387846736E-2</v>
      </c>
      <c r="K332" s="6">
        <v>0.11980018606748125</v>
      </c>
      <c r="L332" s="6">
        <v>-0.22270005429049292</v>
      </c>
      <c r="N332" s="8">
        <f t="shared" si="15"/>
        <v>3.2883132300657723</v>
      </c>
      <c r="O332" s="8">
        <f t="shared" si="16"/>
        <v>5.9966078879316091</v>
      </c>
      <c r="P332" s="12">
        <f t="shared" si="17"/>
        <v>0</v>
      </c>
      <c r="Q332" s="11">
        <f>IF(P332=Sheet1!M332, 1, 0)</f>
        <v>1</v>
      </c>
    </row>
    <row r="333" spans="1:17" x14ac:dyDescent="0.35">
      <c r="A333" s="6" t="s">
        <v>360</v>
      </c>
      <c r="B333" s="6" t="s">
        <v>364</v>
      </c>
      <c r="C333" s="6">
        <v>-1.0270696190477946</v>
      </c>
      <c r="D333" s="6">
        <v>0.31510434607147958</v>
      </c>
      <c r="E333" s="6">
        <v>0.42999158753351407</v>
      </c>
      <c r="F333" s="6">
        <v>9.4478042307632709E-2</v>
      </c>
      <c r="G333" s="6">
        <v>-0.71624023209792131</v>
      </c>
      <c r="H333" s="6">
        <v>-0.72943149199210511</v>
      </c>
      <c r="I333" s="6">
        <v>-1.9588089167795646</v>
      </c>
      <c r="J333" s="6">
        <v>-0.34144131138491884</v>
      </c>
      <c r="K333" s="6">
        <v>-0.93650809511159194</v>
      </c>
      <c r="L333" s="6">
        <v>-0.3685332816364229</v>
      </c>
      <c r="N333" s="8">
        <f t="shared" si="15"/>
        <v>3.6743100911233659</v>
      </c>
      <c r="O333" s="8">
        <f t="shared" si="16"/>
        <v>5.6748910679942357</v>
      </c>
      <c r="P333" s="12">
        <f t="shared" si="17"/>
        <v>0</v>
      </c>
      <c r="Q333" s="11">
        <f>IF(P333=Sheet1!M333, 1, 0)</f>
        <v>1</v>
      </c>
    </row>
    <row r="334" spans="1:17" x14ac:dyDescent="0.35">
      <c r="A334" s="6" t="s">
        <v>360</v>
      </c>
      <c r="B334" s="6" t="s">
        <v>365</v>
      </c>
      <c r="C334" s="6">
        <v>-0.89420946470313845</v>
      </c>
      <c r="D334" s="6">
        <v>0.25372658577106266</v>
      </c>
      <c r="E334" s="6">
        <v>-0.13770048643972138</v>
      </c>
      <c r="F334" s="6">
        <v>0.13299462998697917</v>
      </c>
      <c r="G334" s="6">
        <v>0.4771018344952544</v>
      </c>
      <c r="H334" s="6">
        <v>-0.26782180941728351</v>
      </c>
      <c r="I334" s="6">
        <v>-1.6024487410471699</v>
      </c>
      <c r="J334" s="6">
        <v>3.0559418317921867E-2</v>
      </c>
      <c r="K334" s="6">
        <v>0.15422801152813231</v>
      </c>
      <c r="L334" s="6">
        <v>-0.30950326721132332</v>
      </c>
      <c r="N334" s="8">
        <f t="shared" si="15"/>
        <v>3.3288723995560496</v>
      </c>
      <c r="O334" s="8">
        <f t="shared" si="16"/>
        <v>5.4636177432752602</v>
      </c>
      <c r="P334" s="12">
        <f t="shared" si="17"/>
        <v>0</v>
      </c>
      <c r="Q334" s="11">
        <f>IF(P334=Sheet1!M334, 1, 0)</f>
        <v>1</v>
      </c>
    </row>
    <row r="335" spans="1:17" x14ac:dyDescent="0.35">
      <c r="A335" s="6" t="s">
        <v>360</v>
      </c>
      <c r="B335" s="6" t="s">
        <v>366</v>
      </c>
      <c r="C335" s="6">
        <v>-1.1559037081092793</v>
      </c>
      <c r="D335" s="6">
        <v>-0.21274439251210708</v>
      </c>
      <c r="E335" s="6">
        <v>-0.57166626394813891</v>
      </c>
      <c r="F335" s="6">
        <v>-0.25525257382083466</v>
      </c>
      <c r="G335" s="6">
        <v>0.5525930601191551</v>
      </c>
      <c r="H335" s="6">
        <v>0.22449003407558307</v>
      </c>
      <c r="I335" s="6">
        <v>6.1415406826799662E-2</v>
      </c>
      <c r="J335" s="6">
        <v>-0.15544094653349833</v>
      </c>
      <c r="K335" s="6">
        <v>0.36861947007854989</v>
      </c>
      <c r="L335" s="6">
        <v>-0.39534953008881302</v>
      </c>
      <c r="N335" s="8">
        <f t="shared" si="15"/>
        <v>3.0299424096821146</v>
      </c>
      <c r="O335" s="8">
        <f t="shared" si="16"/>
        <v>5.5894815966440863</v>
      </c>
      <c r="P335" s="12">
        <f t="shared" si="17"/>
        <v>0</v>
      </c>
      <c r="Q335" s="11">
        <f>IF(P335=Sheet1!M335, 1, 0)</f>
        <v>1</v>
      </c>
    </row>
    <row r="336" spans="1:17" x14ac:dyDescent="0.35">
      <c r="A336" s="6" t="s">
        <v>360</v>
      </c>
      <c r="B336" s="6" t="s">
        <v>367</v>
      </c>
      <c r="C336" s="6">
        <v>-1.1693239257198504</v>
      </c>
      <c r="D336" s="6">
        <v>-4.0600074906890537E-3</v>
      </c>
      <c r="E336" s="6">
        <v>0.33494645120314759</v>
      </c>
      <c r="F336" s="6">
        <v>0.10064069633632691</v>
      </c>
      <c r="G336" s="6">
        <v>-7.7468322972619519E-2</v>
      </c>
      <c r="H336" s="6">
        <v>0.25249902298327331</v>
      </c>
      <c r="I336" s="6">
        <v>-1.1396267596845251</v>
      </c>
      <c r="J336" s="6">
        <v>-1.0474835126576578</v>
      </c>
      <c r="K336" s="6">
        <v>0.15266311037082919</v>
      </c>
      <c r="L336" s="6">
        <v>-0.37601248623953765</v>
      </c>
      <c r="N336" s="8">
        <f t="shared" si="15"/>
        <v>3.5294134878093599</v>
      </c>
      <c r="O336" s="8">
        <f t="shared" si="16"/>
        <v>5.5356276346910365</v>
      </c>
      <c r="P336" s="12">
        <f t="shared" si="17"/>
        <v>0</v>
      </c>
      <c r="Q336" s="11">
        <f>IF(P336=Sheet1!M336, 1, 0)</f>
        <v>1</v>
      </c>
    </row>
    <row r="337" spans="1:17" x14ac:dyDescent="0.35">
      <c r="A337" s="6" t="s">
        <v>360</v>
      </c>
      <c r="B337" s="6" t="s">
        <v>368</v>
      </c>
      <c r="C337" s="6">
        <v>-0.67814396117294018</v>
      </c>
      <c r="D337" s="6">
        <v>-0.29253548090264925</v>
      </c>
      <c r="E337" s="6">
        <v>-0.3333166391196617</v>
      </c>
      <c r="F337" s="6">
        <v>-0.34769238425126531</v>
      </c>
      <c r="G337" s="6">
        <v>-0.1152139357845678</v>
      </c>
      <c r="H337" s="6">
        <v>-8.3608843909011674E-2</v>
      </c>
      <c r="I337" s="6">
        <v>-1.5361491734690502</v>
      </c>
      <c r="J337" s="6">
        <v>-0.30727797906527027</v>
      </c>
      <c r="K337" s="6">
        <v>0.31228302841566613</v>
      </c>
      <c r="L337" s="6">
        <v>-0.33286853624849744</v>
      </c>
      <c r="N337" s="8">
        <f t="shared" si="15"/>
        <v>2.9386748405319181</v>
      </c>
      <c r="O337" s="8">
        <f t="shared" si="16"/>
        <v>6.1076010394094906</v>
      </c>
      <c r="P337" s="12">
        <f t="shared" si="17"/>
        <v>0</v>
      </c>
      <c r="Q337" s="11">
        <f>IF(P337=Sheet1!M337, 1, 0)</f>
        <v>1</v>
      </c>
    </row>
    <row r="338" spans="1:17" x14ac:dyDescent="0.35">
      <c r="A338" s="6" t="s">
        <v>360</v>
      </c>
      <c r="B338" s="6" t="s">
        <v>369</v>
      </c>
      <c r="C338" s="6">
        <v>-0.94252224810119523</v>
      </c>
      <c r="D338" s="6">
        <v>0.14938439326035369</v>
      </c>
      <c r="E338" s="6">
        <v>8.9597378350341081E-2</v>
      </c>
      <c r="F338" s="6">
        <v>-0.15973143637605478</v>
      </c>
      <c r="G338" s="6">
        <v>-1.0995033775730998</v>
      </c>
      <c r="H338" s="6">
        <v>-0.19133572432320567</v>
      </c>
      <c r="I338" s="6">
        <v>-0.11389594974995963</v>
      </c>
      <c r="J338" s="6">
        <v>0.16721274759651661</v>
      </c>
      <c r="K338" s="6">
        <v>-0.79566699095438254</v>
      </c>
      <c r="L338" s="6">
        <v>-0.35263683237832011</v>
      </c>
      <c r="N338" s="8">
        <f t="shared" si="15"/>
        <v>2.5717433356671724</v>
      </c>
      <c r="O338" s="8">
        <f t="shared" si="16"/>
        <v>5.1243090659869468</v>
      </c>
      <c r="P338" s="12">
        <f t="shared" si="17"/>
        <v>0</v>
      </c>
      <c r="Q338" s="11">
        <f>IF(P338=Sheet1!M338, 1, 0)</f>
        <v>1</v>
      </c>
    </row>
    <row r="339" spans="1:17" x14ac:dyDescent="0.35">
      <c r="A339" s="6" t="s">
        <v>360</v>
      </c>
      <c r="B339" s="6" t="s">
        <v>370</v>
      </c>
      <c r="C339" s="6">
        <v>-1.0780664459679656</v>
      </c>
      <c r="D339" s="6">
        <v>-0.15136663221169019</v>
      </c>
      <c r="E339" s="6">
        <v>-8.9441134271977168E-2</v>
      </c>
      <c r="F339" s="6">
        <v>-0.21519532263431357</v>
      </c>
      <c r="G339" s="6">
        <v>-0.45202094241427504</v>
      </c>
      <c r="H339" s="6">
        <v>-0.7595950185080792</v>
      </c>
      <c r="I339" s="6">
        <v>0.15066482472042295</v>
      </c>
      <c r="J339" s="6">
        <v>-0.93360573825882887</v>
      </c>
      <c r="K339" s="6">
        <v>0.62369835871883106</v>
      </c>
      <c r="L339" s="6">
        <v>-0.38378409572728733</v>
      </c>
      <c r="N339" s="8">
        <f t="shared" si="15"/>
        <v>2.8666749609792852</v>
      </c>
      <c r="O339" s="8">
        <f t="shared" si="16"/>
        <v>5.9685801484673622</v>
      </c>
      <c r="P339" s="12">
        <f t="shared" si="17"/>
        <v>0</v>
      </c>
      <c r="Q339" s="11">
        <f>IF(P339=Sheet1!M339, 1, 0)</f>
        <v>1</v>
      </c>
    </row>
    <row r="340" spans="1:17" x14ac:dyDescent="0.35">
      <c r="A340" s="6" t="s">
        <v>360</v>
      </c>
      <c r="B340" s="6" t="s">
        <v>371</v>
      </c>
      <c r="C340" s="6">
        <v>-0.92910203049062401</v>
      </c>
      <c r="D340" s="6">
        <v>0.45627319476243916</v>
      </c>
      <c r="E340" s="6">
        <v>0.17837985065893922</v>
      </c>
      <c r="F340" s="6">
        <v>0.16997055415915097</v>
      </c>
      <c r="G340" s="6">
        <v>0.23320710555650215</v>
      </c>
      <c r="H340" s="6">
        <v>0.41355070920249304</v>
      </c>
      <c r="I340" s="6">
        <v>-1.4182124426810483</v>
      </c>
      <c r="J340" s="6">
        <v>-0.74001352178081992</v>
      </c>
      <c r="K340" s="6">
        <v>3.6860424730457635E-2</v>
      </c>
      <c r="L340" s="6">
        <v>-0.37944033486961065</v>
      </c>
      <c r="N340" s="8">
        <f t="shared" si="15"/>
        <v>3.4584894670317174</v>
      </c>
      <c r="O340" s="8">
        <f t="shared" si="16"/>
        <v>5.2400528922645462</v>
      </c>
      <c r="P340" s="12">
        <f t="shared" si="17"/>
        <v>0</v>
      </c>
      <c r="Q340" s="11">
        <f>IF(P340=Sheet1!M340, 1, 0)</f>
        <v>1</v>
      </c>
    </row>
    <row r="341" spans="1:17" x14ac:dyDescent="0.35">
      <c r="A341" s="6" t="s">
        <v>360</v>
      </c>
      <c r="B341" s="6" t="s">
        <v>372</v>
      </c>
      <c r="C341" s="6">
        <v>-0.79087378910173933</v>
      </c>
      <c r="D341" s="6">
        <v>0.48696207491264815</v>
      </c>
      <c r="E341" s="6">
        <v>0.36736494731583069</v>
      </c>
      <c r="F341" s="6">
        <v>0.23775974847480039</v>
      </c>
      <c r="G341" s="6">
        <v>-0.39104726017958491</v>
      </c>
      <c r="H341" s="6">
        <v>3.8661165361098287E-2</v>
      </c>
      <c r="I341" s="6">
        <v>-1.1428142388950124</v>
      </c>
      <c r="J341" s="6">
        <v>-0.69825833783458258</v>
      </c>
      <c r="K341" s="6">
        <v>1.3983244315834844</v>
      </c>
      <c r="L341" s="6">
        <v>-0.34743689815006207</v>
      </c>
      <c r="N341" s="8">
        <f t="shared" si="15"/>
        <v>3.25541504075917</v>
      </c>
      <c r="O341" s="8">
        <f t="shared" si="16"/>
        <v>5.5650484113721044</v>
      </c>
      <c r="P341" s="12">
        <f t="shared" si="17"/>
        <v>0</v>
      </c>
      <c r="Q341" s="11">
        <f>IF(P341=Sheet1!M341, 1, 0)</f>
        <v>1</v>
      </c>
    </row>
    <row r="342" spans="1:17" x14ac:dyDescent="0.35">
      <c r="A342" s="6" t="s">
        <v>360</v>
      </c>
      <c r="B342" s="6" t="s">
        <v>373</v>
      </c>
      <c r="C342" s="6">
        <v>-0.82174028960605328</v>
      </c>
      <c r="D342" s="6">
        <v>-0.50735764195410882</v>
      </c>
      <c r="E342" s="6">
        <v>4.5758730197962741E-2</v>
      </c>
      <c r="F342" s="6">
        <v>-0.27836252642844123</v>
      </c>
      <c r="G342" s="6">
        <v>-3.6819201482827475E-2</v>
      </c>
      <c r="H342" s="6">
        <v>-0.97073970411989952</v>
      </c>
      <c r="I342" s="6">
        <v>-1.5355116776269531</v>
      </c>
      <c r="J342" s="6">
        <v>-0.7703809282871743</v>
      </c>
      <c r="K342" s="6">
        <v>-0.28863901598842656</v>
      </c>
      <c r="L342" s="6">
        <v>-0.33407129528589591</v>
      </c>
      <c r="N342" s="8">
        <f t="shared" si="15"/>
        <v>3.4609707422487341</v>
      </c>
      <c r="O342" s="8">
        <f t="shared" si="16"/>
        <v>6.3231259410588851</v>
      </c>
      <c r="P342" s="12">
        <f t="shared" si="17"/>
        <v>0</v>
      </c>
      <c r="Q342" s="11">
        <f>IF(P342=Sheet1!M342, 1, 0)</f>
        <v>1</v>
      </c>
    </row>
    <row r="343" spans="1:17" x14ac:dyDescent="0.35">
      <c r="A343" s="6" t="s">
        <v>360</v>
      </c>
      <c r="B343" s="6" t="s">
        <v>374</v>
      </c>
      <c r="C343" s="6">
        <v>-1.1438255122597651</v>
      </c>
      <c r="D343" s="6">
        <v>1.8986505618222407</v>
      </c>
      <c r="E343" s="6">
        <v>1.3797061668346178</v>
      </c>
      <c r="F343" s="6">
        <v>1.6782801276823569</v>
      </c>
      <c r="G343" s="6">
        <v>1.0403825179966555</v>
      </c>
      <c r="H343" s="6">
        <v>0.81752651075572047</v>
      </c>
      <c r="I343" s="6">
        <v>0.9424346606052777</v>
      </c>
      <c r="J343" s="6">
        <v>0.30386607687511136</v>
      </c>
      <c r="K343" s="6">
        <v>-0.96467631594303382</v>
      </c>
      <c r="L343" s="6">
        <v>-0.22843705317144289</v>
      </c>
      <c r="N343" s="8">
        <f t="shared" si="15"/>
        <v>5.096472695669525</v>
      </c>
      <c r="O343" s="8">
        <f t="shared" si="16"/>
        <v>2.0842449263735681</v>
      </c>
      <c r="P343" s="12">
        <f t="shared" si="17"/>
        <v>1</v>
      </c>
      <c r="Q343" s="11">
        <f>IF(P343=Sheet1!M343, 1, 0)</f>
        <v>0</v>
      </c>
    </row>
    <row r="344" spans="1:17" x14ac:dyDescent="0.35">
      <c r="A344" s="6" t="s">
        <v>375</v>
      </c>
      <c r="B344" s="6" t="s">
        <v>376</v>
      </c>
      <c r="C344" s="6">
        <v>-1.0337797278530803</v>
      </c>
      <c r="D344" s="6">
        <v>-0.33549991311294136</v>
      </c>
      <c r="E344" s="6">
        <v>0.36294424330046482</v>
      </c>
      <c r="F344" s="6">
        <v>-8.7464126730160494E-3</v>
      </c>
      <c r="G344" s="6">
        <v>-1.9398149415773152E-2</v>
      </c>
      <c r="H344" s="6">
        <v>-0.58076839702051719</v>
      </c>
      <c r="I344" s="6">
        <v>-1.3780502046289178</v>
      </c>
      <c r="J344" s="6">
        <v>-0.58438056343575373</v>
      </c>
      <c r="K344" s="6">
        <v>0.43904002215715515</v>
      </c>
      <c r="L344" s="6">
        <v>-0.23919945019365965</v>
      </c>
      <c r="N344" s="8">
        <f t="shared" si="15"/>
        <v>3.4717775840658129</v>
      </c>
      <c r="O344" s="8">
        <f t="shared" si="16"/>
        <v>5.8886206865652024</v>
      </c>
      <c r="P344" s="12">
        <f t="shared" si="17"/>
        <v>0</v>
      </c>
      <c r="Q344" s="11">
        <f>IF(P344=Sheet1!M344, 1, 0)</f>
        <v>1</v>
      </c>
    </row>
    <row r="345" spans="1:17" x14ac:dyDescent="0.35">
      <c r="A345" s="6" t="s">
        <v>375</v>
      </c>
      <c r="B345" s="6" t="s">
        <v>377</v>
      </c>
      <c r="C345" s="6">
        <v>-0.9948610967824234</v>
      </c>
      <c r="D345" s="6">
        <v>-0.59942428240473467</v>
      </c>
      <c r="E345" s="6">
        <v>0.51398496382546588</v>
      </c>
      <c r="F345" s="6">
        <v>-0.12275551220388296</v>
      </c>
      <c r="G345" s="6">
        <v>-9.7792883717517598E-2</v>
      </c>
      <c r="H345" s="6">
        <v>-0.33622837848029724</v>
      </c>
      <c r="I345" s="6">
        <v>-1.342350437471469</v>
      </c>
      <c r="J345" s="6">
        <v>0.19378422828957678</v>
      </c>
      <c r="K345" s="6">
        <v>-0.3074178298760552</v>
      </c>
      <c r="L345" s="6">
        <v>-8.5186032174175308E-2</v>
      </c>
      <c r="N345" s="8">
        <f t="shared" si="15"/>
        <v>3.4901596852142007</v>
      </c>
      <c r="O345" s="8">
        <f t="shared" si="16"/>
        <v>5.5842957014614054</v>
      </c>
      <c r="P345" s="12">
        <f t="shared" si="17"/>
        <v>0</v>
      </c>
      <c r="Q345" s="11">
        <f>IF(P345=Sheet1!M345, 1, 0)</f>
        <v>1</v>
      </c>
    </row>
    <row r="346" spans="1:17" x14ac:dyDescent="0.35">
      <c r="A346" s="6" t="s">
        <v>375</v>
      </c>
      <c r="B346" s="6" t="s">
        <v>378</v>
      </c>
      <c r="C346" s="6">
        <v>-1.2391090572948216</v>
      </c>
      <c r="D346" s="6">
        <v>-0.56259762622448473</v>
      </c>
      <c r="E346" s="6">
        <v>0.87758786908930964</v>
      </c>
      <c r="F346" s="6">
        <v>-5.6650856586689469E-3</v>
      </c>
      <c r="G346" s="6">
        <v>-0.65236304118539146</v>
      </c>
      <c r="H346" s="6">
        <v>-6.5914599008273019E-4</v>
      </c>
      <c r="I346" s="6">
        <v>-1.2378011193675107</v>
      </c>
      <c r="J346" s="6">
        <v>-0.40976797602421622</v>
      </c>
      <c r="K346" s="6">
        <v>0.21525915666292322</v>
      </c>
      <c r="L346" s="6">
        <v>-0.20592405013644743</v>
      </c>
      <c r="N346" s="8">
        <f t="shared" si="15"/>
        <v>3.6577931551975995</v>
      </c>
      <c r="O346" s="8">
        <f t="shared" si="16"/>
        <v>5.6470434678142372</v>
      </c>
      <c r="P346" s="12">
        <f t="shared" si="17"/>
        <v>0</v>
      </c>
      <c r="Q346" s="11">
        <f>IF(P346=Sheet1!M346, 1, 0)</f>
        <v>1</v>
      </c>
    </row>
    <row r="347" spans="1:17" x14ac:dyDescent="0.35">
      <c r="A347" s="6" t="s">
        <v>375</v>
      </c>
      <c r="B347" s="6" t="s">
        <v>379</v>
      </c>
      <c r="C347" s="6">
        <v>-0.96131055275599508</v>
      </c>
      <c r="D347" s="6">
        <v>-0.54418429813435942</v>
      </c>
      <c r="E347" s="6">
        <v>-0.16827702254600208</v>
      </c>
      <c r="F347" s="6">
        <v>-0.50638072549017288</v>
      </c>
      <c r="G347" s="6">
        <v>-0.9833630304594112</v>
      </c>
      <c r="H347" s="6">
        <v>-1.1802684865255069</v>
      </c>
      <c r="I347" s="6">
        <v>-1.2741383823670567</v>
      </c>
      <c r="J347" s="6">
        <v>-0.69825833783458258</v>
      </c>
      <c r="K347" s="6">
        <v>0.94137329365120404</v>
      </c>
      <c r="L347" s="6">
        <v>-0.33476421587931188</v>
      </c>
      <c r="N347" s="8">
        <f t="shared" si="15"/>
        <v>3.1789169497092549</v>
      </c>
      <c r="O347" s="8">
        <f t="shared" si="16"/>
        <v>6.8818614104162412</v>
      </c>
      <c r="P347" s="12">
        <f t="shared" si="17"/>
        <v>0</v>
      </c>
      <c r="Q347" s="11">
        <f>IF(P347=Sheet1!M347, 1, 0)</f>
        <v>1</v>
      </c>
    </row>
    <row r="348" spans="1:17" x14ac:dyDescent="0.35">
      <c r="A348" s="6" t="s">
        <v>375</v>
      </c>
      <c r="B348" s="6" t="s">
        <v>380</v>
      </c>
      <c r="C348" s="6">
        <v>-1.1639558386756221</v>
      </c>
      <c r="D348" s="6">
        <v>-0.40915322547344196</v>
      </c>
      <c r="E348" s="6">
        <v>0.59945190812253957</v>
      </c>
      <c r="F348" s="6">
        <v>5.9042781642633359E-2</v>
      </c>
      <c r="G348" s="6">
        <v>0.26514570101276702</v>
      </c>
      <c r="H348" s="6">
        <v>0.11191544404275017</v>
      </c>
      <c r="I348" s="6">
        <v>-0.41734397058827694</v>
      </c>
      <c r="J348" s="6">
        <v>-3.7767246321375333E-2</v>
      </c>
      <c r="K348" s="6">
        <v>0.13231939532589962</v>
      </c>
      <c r="L348" s="6">
        <v>-0.32154416771189909</v>
      </c>
      <c r="N348" s="8">
        <f t="shared" si="15"/>
        <v>3.4372785880919605</v>
      </c>
      <c r="O348" s="8">
        <f t="shared" si="16"/>
        <v>5.0559427501033687</v>
      </c>
      <c r="P348" s="12">
        <f t="shared" si="17"/>
        <v>0</v>
      </c>
      <c r="Q348" s="11">
        <f>IF(P348=Sheet1!M348, 1, 0)</f>
        <v>1</v>
      </c>
    </row>
    <row r="349" spans="1:17" x14ac:dyDescent="0.35">
      <c r="A349" s="6" t="s">
        <v>375</v>
      </c>
      <c r="B349" s="6" t="s">
        <v>381</v>
      </c>
      <c r="C349" s="6">
        <v>-0.99754514030453767</v>
      </c>
      <c r="D349" s="6">
        <v>-0.41529100150348353</v>
      </c>
      <c r="E349" s="6">
        <v>0.88827123712644385</v>
      </c>
      <c r="F349" s="6">
        <v>-0.11043020414649235</v>
      </c>
      <c r="G349" s="6">
        <v>-1.0269156606270429</v>
      </c>
      <c r="H349" s="6">
        <v>0.34945321535604773</v>
      </c>
      <c r="I349" s="6">
        <v>-0.8170538635832888</v>
      </c>
      <c r="J349" s="6">
        <v>-0.99434055127153764</v>
      </c>
      <c r="K349" s="6">
        <v>-3.3560127348147624E-2</v>
      </c>
      <c r="L349" s="6">
        <v>-0.35771321436398518</v>
      </c>
      <c r="N349" s="8">
        <f t="shared" si="15"/>
        <v>3.4913576356848242</v>
      </c>
      <c r="O349" s="8">
        <f t="shared" si="16"/>
        <v>5.6491590974414843</v>
      </c>
      <c r="P349" s="12">
        <f t="shared" si="17"/>
        <v>0</v>
      </c>
      <c r="Q349" s="11">
        <f>IF(P349=Sheet1!M349, 1, 0)</f>
        <v>1</v>
      </c>
    </row>
    <row r="350" spans="1:17" x14ac:dyDescent="0.35">
      <c r="A350" s="6" t="s">
        <v>375</v>
      </c>
      <c r="B350" s="6" t="s">
        <v>382</v>
      </c>
      <c r="C350" s="6">
        <v>-0.81771422432288199</v>
      </c>
      <c r="D350" s="6">
        <v>-0.26184660075244082</v>
      </c>
      <c r="E350" s="6">
        <v>0.72028448454254035</v>
      </c>
      <c r="F350" s="6">
        <v>-0.13508082026127355</v>
      </c>
      <c r="G350" s="6">
        <v>-1.0036875912043053</v>
      </c>
      <c r="H350" s="6">
        <v>0.56113653536993924</v>
      </c>
      <c r="I350" s="6">
        <v>0.35848846924414518</v>
      </c>
      <c r="J350" s="6">
        <v>-0.49327834391669079</v>
      </c>
      <c r="K350" s="6">
        <v>0.11510548259557409</v>
      </c>
      <c r="L350" s="6">
        <v>-0.35492036533688881</v>
      </c>
      <c r="N350" s="8">
        <f t="shared" si="15"/>
        <v>2.9905927523929918</v>
      </c>
      <c r="O350" s="8">
        <f t="shared" si="16"/>
        <v>5.1545805846300103</v>
      </c>
      <c r="P350" s="12">
        <f t="shared" si="17"/>
        <v>0</v>
      </c>
      <c r="Q350" s="11">
        <f>IF(P350=Sheet1!M350, 1, 0)</f>
        <v>1</v>
      </c>
    </row>
    <row r="351" spans="1:17" x14ac:dyDescent="0.35">
      <c r="A351" s="6" t="s">
        <v>375</v>
      </c>
      <c r="B351" s="6" t="s">
        <v>383</v>
      </c>
      <c r="C351" s="6">
        <v>-0.73048280985416836</v>
      </c>
      <c r="D351" s="6">
        <v>-0.42142877753352509</v>
      </c>
      <c r="E351" s="6">
        <v>-0.25079683083283189</v>
      </c>
      <c r="F351" s="6">
        <v>-0.58649522786321284</v>
      </c>
      <c r="G351" s="6">
        <v>-1.6134244135511859</v>
      </c>
      <c r="H351" s="6">
        <v>0.58645235226727477</v>
      </c>
      <c r="I351" s="6">
        <v>0.1831771126673859</v>
      </c>
      <c r="J351" s="6">
        <v>-9.8502059334084097E-2</v>
      </c>
      <c r="K351" s="6">
        <v>0.3044585226291549</v>
      </c>
      <c r="L351" s="6">
        <v>-0.38769150591997681</v>
      </c>
      <c r="N351" s="8">
        <f t="shared" si="15"/>
        <v>2.3806371316249182</v>
      </c>
      <c r="O351" s="8">
        <f t="shared" si="16"/>
        <v>5.9836334377321547</v>
      </c>
      <c r="P351" s="12">
        <f t="shared" si="17"/>
        <v>0</v>
      </c>
      <c r="Q351" s="11">
        <f>IF(P351=Sheet1!M351, 1, 0)</f>
        <v>1</v>
      </c>
    </row>
    <row r="352" spans="1:17" x14ac:dyDescent="0.35">
      <c r="A352" s="6" t="s">
        <v>375</v>
      </c>
      <c r="B352" s="6" t="s">
        <v>384</v>
      </c>
      <c r="C352" s="6">
        <v>-0.80563602847336779</v>
      </c>
      <c r="D352" s="6">
        <v>0.41330876255214699</v>
      </c>
      <c r="E352" s="6">
        <v>0.42188696350534327</v>
      </c>
      <c r="F352" s="6">
        <v>0.41185472478544566</v>
      </c>
      <c r="G352" s="6">
        <v>0.26514570101276702</v>
      </c>
      <c r="H352" s="6">
        <v>1.0415984220172445</v>
      </c>
      <c r="I352" s="6">
        <v>-0.80557893842553685</v>
      </c>
      <c r="J352" s="6">
        <v>-0.61854389575540236</v>
      </c>
      <c r="K352" s="6">
        <v>0.31697773188757328</v>
      </c>
      <c r="L352" s="6">
        <v>-0.14640772505785399</v>
      </c>
      <c r="N352" s="8">
        <f t="shared" si="15"/>
        <v>3.5089393742660802</v>
      </c>
      <c r="O352" s="8">
        <f t="shared" si="16"/>
        <v>4.742992507386794</v>
      </c>
      <c r="P352" s="12">
        <f t="shared" si="17"/>
        <v>0</v>
      </c>
      <c r="Q352" s="11">
        <f>IF(P352=Sheet1!M352, 1, 0)</f>
        <v>1</v>
      </c>
    </row>
    <row r="353" spans="1:17" x14ac:dyDescent="0.35">
      <c r="A353" s="6" t="s">
        <v>375</v>
      </c>
      <c r="B353" s="6" t="s">
        <v>385</v>
      </c>
      <c r="C353" s="6">
        <v>-1.0002291838266519</v>
      </c>
      <c r="D353" s="6">
        <v>-0.28639770487260768</v>
      </c>
      <c r="E353" s="6">
        <v>0.5596655719842466</v>
      </c>
      <c r="F353" s="6">
        <v>0.16534856363762923</v>
      </c>
      <c r="G353" s="6">
        <v>0.2303035968786625</v>
      </c>
      <c r="H353" s="6">
        <v>0.51158217037941001</v>
      </c>
      <c r="I353" s="6">
        <v>-1.4488122431017194</v>
      </c>
      <c r="J353" s="6">
        <v>0.67207088076465782</v>
      </c>
      <c r="K353" s="6">
        <v>-0.18379063844917023</v>
      </c>
      <c r="L353" s="6">
        <v>-0.12363739987377473</v>
      </c>
      <c r="N353" s="8">
        <f t="shared" si="15"/>
        <v>3.7284153402035529</v>
      </c>
      <c r="O353" s="8">
        <f t="shared" si="16"/>
        <v>5.0110284388395092</v>
      </c>
      <c r="P353" s="12">
        <f t="shared" si="17"/>
        <v>0</v>
      </c>
      <c r="Q353" s="11">
        <f>IF(P353=Sheet1!M353, 1, 0)</f>
        <v>1</v>
      </c>
    </row>
    <row r="354" spans="1:17" x14ac:dyDescent="0.35">
      <c r="A354" s="6" t="s">
        <v>375</v>
      </c>
      <c r="B354" s="6" t="s">
        <v>386</v>
      </c>
      <c r="C354" s="6">
        <v>-0.83247646369451034</v>
      </c>
      <c r="D354" s="6">
        <v>-0.45825543371377514</v>
      </c>
      <c r="E354" s="6">
        <v>0.43293872354375795</v>
      </c>
      <c r="F354" s="6">
        <v>-0.12583683921823005</v>
      </c>
      <c r="G354" s="6">
        <v>-0.52460865936033196</v>
      </c>
      <c r="H354" s="6">
        <v>0.65809072774271371</v>
      </c>
      <c r="I354" s="6">
        <v>-0.57735542695470121</v>
      </c>
      <c r="J354" s="6">
        <v>-0.99434055127153764</v>
      </c>
      <c r="K354" s="6">
        <v>0.92572428207817936</v>
      </c>
      <c r="L354" s="6">
        <v>-0.26091169344632958</v>
      </c>
      <c r="N354" s="8">
        <f t="shared" si="15"/>
        <v>3.3114266716331544</v>
      </c>
      <c r="O354" s="8">
        <f t="shared" si="16"/>
        <v>5.8304941544395676</v>
      </c>
      <c r="P354" s="12">
        <f t="shared" si="17"/>
        <v>0</v>
      </c>
      <c r="Q354" s="11">
        <f>IF(P354=Sheet1!M354, 1, 0)</f>
        <v>1</v>
      </c>
    </row>
    <row r="355" spans="1:17" x14ac:dyDescent="0.35">
      <c r="A355" s="6" t="s">
        <v>375</v>
      </c>
      <c r="B355" s="6" t="s">
        <v>387</v>
      </c>
      <c r="C355" s="6">
        <v>-0.99083503149925212</v>
      </c>
      <c r="D355" s="6">
        <v>1.0823263498266933</v>
      </c>
      <c r="E355" s="6">
        <v>1.5130640712981553</v>
      </c>
      <c r="F355" s="6">
        <v>1.1775644878508531</v>
      </c>
      <c r="G355" s="6">
        <v>0.47419832581741478</v>
      </c>
      <c r="H355" s="6">
        <v>0.76904941456933362</v>
      </c>
      <c r="I355" s="6">
        <v>0.92649726455284509</v>
      </c>
      <c r="J355" s="6">
        <v>1.2946027141449223</v>
      </c>
      <c r="K355" s="6">
        <v>-0.9818902286733594</v>
      </c>
      <c r="L355" s="6">
        <v>1.4802334233680535E-2</v>
      </c>
      <c r="N355" s="8">
        <f t="shared" si="15"/>
        <v>4.6446758108760395</v>
      </c>
      <c r="O355" s="8">
        <f t="shared" si="16"/>
        <v>2.3232262585593473</v>
      </c>
      <c r="P355" s="12">
        <f t="shared" si="17"/>
        <v>1</v>
      </c>
      <c r="Q355" s="11">
        <f>IF(P355=Sheet1!M355, 1, 0)</f>
        <v>0</v>
      </c>
    </row>
    <row r="356" spans="1:17" x14ac:dyDescent="0.35">
      <c r="A356" s="6" t="s">
        <v>375</v>
      </c>
      <c r="B356" s="6" t="s">
        <v>388</v>
      </c>
      <c r="C356" s="6">
        <v>-1.0565940977910515</v>
      </c>
      <c r="D356" s="6">
        <v>1.5487973281098641</v>
      </c>
      <c r="E356" s="6">
        <v>1.2761880144748001</v>
      </c>
      <c r="F356" s="6">
        <v>1.4379366205632369</v>
      </c>
      <c r="G356" s="6">
        <v>0.70938252872263574</v>
      </c>
      <c r="H356" s="6">
        <v>0.64139306127851359</v>
      </c>
      <c r="I356" s="6">
        <v>-2.2734044330044362E-2</v>
      </c>
      <c r="J356" s="6">
        <v>0.24313126386240255</v>
      </c>
      <c r="K356" s="6">
        <v>-0.54997750925791578</v>
      </c>
      <c r="L356" s="6">
        <v>-0.32685476195652313</v>
      </c>
      <c r="N356" s="8">
        <f t="shared" si="15"/>
        <v>4.4803943158184749</v>
      </c>
      <c r="O356" s="8">
        <f t="shared" si="16"/>
        <v>2.6054640271761174</v>
      </c>
      <c r="P356" s="12">
        <f t="shared" si="17"/>
        <v>1</v>
      </c>
      <c r="Q356" s="11">
        <f>IF(P356=Sheet1!M356, 1, 0)</f>
        <v>0</v>
      </c>
    </row>
    <row r="357" spans="1:17" x14ac:dyDescent="0.35">
      <c r="A357" s="6" t="s">
        <v>389</v>
      </c>
      <c r="B357" s="6" t="s">
        <v>390</v>
      </c>
      <c r="C357" s="6">
        <v>-0.34129649914759991</v>
      </c>
      <c r="D357" s="6">
        <v>0.21689992959081214</v>
      </c>
      <c r="E357" s="6">
        <v>0.12827853848479256</v>
      </c>
      <c r="F357" s="6">
        <v>0.46269662052218491</v>
      </c>
      <c r="G357" s="6">
        <v>0.93585620559433369</v>
      </c>
      <c r="H357" s="6">
        <v>0.22125822766315714</v>
      </c>
      <c r="I357" s="6">
        <v>-1.4245874011020214</v>
      </c>
      <c r="J357" s="6">
        <v>0.24313126386240255</v>
      </c>
      <c r="K357" s="6">
        <v>-0.64543647985335773</v>
      </c>
      <c r="L357" s="6">
        <v>0.30558743705803298</v>
      </c>
      <c r="N357" s="8">
        <f t="shared" si="15"/>
        <v>3.6595067257680722</v>
      </c>
      <c r="O357" s="8">
        <f t="shared" si="16"/>
        <v>4.877478744855491</v>
      </c>
      <c r="P357" s="12">
        <f t="shared" si="17"/>
        <v>0</v>
      </c>
      <c r="Q357" s="11">
        <f>IF(P357=Sheet1!M357, 1, 0)</f>
        <v>1</v>
      </c>
    </row>
    <row r="358" spans="1:17" x14ac:dyDescent="0.35">
      <c r="A358" s="6" t="s">
        <v>389</v>
      </c>
      <c r="B358" s="6" t="s">
        <v>391</v>
      </c>
      <c r="C358" s="6">
        <v>-0.27285338933368619</v>
      </c>
      <c r="D358" s="6">
        <v>0.16165994532043684</v>
      </c>
      <c r="E358" s="6">
        <v>-9.6808974297586975E-2</v>
      </c>
      <c r="F358" s="6">
        <v>0.33019955890523101</v>
      </c>
      <c r="G358" s="6">
        <v>0.99973339650686344</v>
      </c>
      <c r="H358" s="6">
        <v>0.57137058900928761</v>
      </c>
      <c r="I358" s="6">
        <v>-1.151101684842277</v>
      </c>
      <c r="J358" s="6">
        <v>3.0559418317921867E-2</v>
      </c>
      <c r="K358" s="6">
        <v>0.47972745224701652</v>
      </c>
      <c r="L358" s="6">
        <v>-9.50427626824186E-3</v>
      </c>
      <c r="N358" s="8">
        <f t="shared" si="15"/>
        <v>3.3750890831067704</v>
      </c>
      <c r="O358" s="8">
        <f t="shared" si="16"/>
        <v>5.1465223032300456</v>
      </c>
      <c r="P358" s="12">
        <f t="shared" si="17"/>
        <v>0</v>
      </c>
      <c r="Q358" s="11">
        <f>IF(P358=Sheet1!M358, 1, 0)</f>
        <v>1</v>
      </c>
    </row>
    <row r="359" spans="1:17" x14ac:dyDescent="0.35">
      <c r="A359" s="6" t="s">
        <v>389</v>
      </c>
      <c r="B359" s="6" t="s">
        <v>392</v>
      </c>
      <c r="C359" s="6">
        <v>-0.57480828557154096</v>
      </c>
      <c r="D359" s="6">
        <v>0.48696207491264815</v>
      </c>
      <c r="E359" s="6">
        <v>0.26642553896497639</v>
      </c>
      <c r="F359" s="6">
        <v>0.63679159683283015</v>
      </c>
      <c r="G359" s="6">
        <v>0.86617199732612049</v>
      </c>
      <c r="H359" s="6">
        <v>0.37800083866580919</v>
      </c>
      <c r="I359" s="6">
        <v>-0.5314557263236952</v>
      </c>
      <c r="J359" s="6">
        <v>0.22794756060922539</v>
      </c>
      <c r="K359" s="6">
        <v>-0.78314778169596422</v>
      </c>
      <c r="L359" s="6">
        <v>2.1357723228726941</v>
      </c>
      <c r="N359" s="8">
        <f t="shared" si="15"/>
        <v>4.3354563860361468</v>
      </c>
      <c r="O359" s="8">
        <f t="shared" si="16"/>
        <v>4.731882935415638</v>
      </c>
      <c r="P359" s="12">
        <f t="shared" si="17"/>
        <v>0</v>
      </c>
      <c r="Q359" s="11">
        <f>IF(P359=Sheet1!M359, 1, 0)</f>
        <v>1</v>
      </c>
    </row>
    <row r="360" spans="1:17" x14ac:dyDescent="0.35">
      <c r="A360" s="6" t="s">
        <v>389</v>
      </c>
      <c r="B360" s="6" t="s">
        <v>393</v>
      </c>
      <c r="C360" s="6">
        <v>-0.33056032505914285</v>
      </c>
      <c r="D360" s="6">
        <v>0.60971759551348181</v>
      </c>
      <c r="E360" s="6">
        <v>0.20011497873448814</v>
      </c>
      <c r="F360" s="6">
        <v>0.59827500915348375</v>
      </c>
      <c r="G360" s="6">
        <v>1.1042597089091852</v>
      </c>
      <c r="H360" s="6">
        <v>0.5018867511421321</v>
      </c>
      <c r="I360" s="6">
        <v>-0.39311912858857961</v>
      </c>
      <c r="J360" s="6">
        <v>0.11027386039710205</v>
      </c>
      <c r="K360" s="6">
        <v>-0.23386747548284592</v>
      </c>
      <c r="L360" s="6">
        <v>1.4614403555442765</v>
      </c>
      <c r="N360" s="8">
        <f t="shared" si="15"/>
        <v>3.8857260178489641</v>
      </c>
      <c r="O360" s="8">
        <f t="shared" si="16"/>
        <v>4.5018703599252108</v>
      </c>
      <c r="P360" s="12">
        <f t="shared" si="17"/>
        <v>0</v>
      </c>
      <c r="Q360" s="11">
        <f>IF(P360=Sheet1!M360, 1, 0)</f>
        <v>1</v>
      </c>
    </row>
    <row r="361" spans="1:17" x14ac:dyDescent="0.35">
      <c r="A361" s="6" t="s">
        <v>389</v>
      </c>
      <c r="B361" s="6" t="s">
        <v>394</v>
      </c>
      <c r="C361" s="6">
        <v>-0.85797487715459597</v>
      </c>
      <c r="D361" s="6">
        <v>0.67109535581389879</v>
      </c>
      <c r="E361" s="6">
        <v>0.77738524474101633</v>
      </c>
      <c r="F361" s="6">
        <v>0.81242723665065009</v>
      </c>
      <c r="G361" s="6">
        <v>0.77325971963516549</v>
      </c>
      <c r="H361" s="6">
        <v>0.603150018731475</v>
      </c>
      <c r="I361" s="6">
        <v>0.14046489124686626</v>
      </c>
      <c r="J361" s="6">
        <v>0.28868237362193416</v>
      </c>
      <c r="K361" s="6">
        <v>-0.61257355555000981</v>
      </c>
      <c r="L361" s="6">
        <v>0.14289389415963666</v>
      </c>
      <c r="N361" s="8">
        <f t="shared" si="15"/>
        <v>3.8486145929103781</v>
      </c>
      <c r="O361" s="8">
        <f t="shared" si="16"/>
        <v>3.4838451533962078</v>
      </c>
      <c r="P361" s="12">
        <f t="shared" si="17"/>
        <v>1</v>
      </c>
      <c r="Q361" s="11">
        <f>IF(P361=Sheet1!M361, 1, 0)</f>
        <v>0</v>
      </c>
    </row>
    <row r="362" spans="1:17" x14ac:dyDescent="0.35">
      <c r="A362" s="6" t="s">
        <v>389</v>
      </c>
      <c r="B362" s="6" t="s">
        <v>395</v>
      </c>
      <c r="C362" s="6">
        <v>-0.625805112491712</v>
      </c>
      <c r="D362" s="6">
        <v>-4.7024439700981191E-2</v>
      </c>
      <c r="E362" s="6">
        <v>0.488565915737112</v>
      </c>
      <c r="F362" s="6">
        <v>0.3209555778621897</v>
      </c>
      <c r="G362" s="6">
        <v>0.5874351642532637</v>
      </c>
      <c r="H362" s="6">
        <v>0.39469850513000937</v>
      </c>
      <c r="I362" s="6">
        <v>-0.40650654127262265</v>
      </c>
      <c r="J362" s="6">
        <v>-0.80074833479352847</v>
      </c>
      <c r="K362" s="6">
        <v>-0.40913640510070748</v>
      </c>
      <c r="L362" s="6">
        <v>-0.32328217353540645</v>
      </c>
      <c r="N362" s="8">
        <f t="shared" si="15"/>
        <v>3.4793378712128313</v>
      </c>
      <c r="O362" s="8">
        <f t="shared" si="16"/>
        <v>4.8671121525679206</v>
      </c>
      <c r="P362" s="12">
        <f t="shared" si="17"/>
        <v>0</v>
      </c>
      <c r="Q362" s="11">
        <f>IF(P362=Sheet1!M362, 1, 0)</f>
        <v>1</v>
      </c>
    </row>
    <row r="363" spans="1:17" x14ac:dyDescent="0.35">
      <c r="A363" s="6" t="s">
        <v>389</v>
      </c>
      <c r="B363" s="6" t="s">
        <v>396</v>
      </c>
      <c r="C363" s="6">
        <v>-5.0077776998202241E-2</v>
      </c>
      <c r="D363" s="6">
        <v>-0.15750440824173179</v>
      </c>
      <c r="E363" s="6">
        <v>-0.92937489719149491</v>
      </c>
      <c r="F363" s="6">
        <v>-0.30455380605039711</v>
      </c>
      <c r="G363" s="6">
        <v>0.77616322831300921</v>
      </c>
      <c r="H363" s="6">
        <v>0.779283468208682</v>
      </c>
      <c r="I363" s="6">
        <v>-2.2750068544598281</v>
      </c>
      <c r="J363" s="6">
        <v>-0.72862574434093696</v>
      </c>
      <c r="K363" s="6">
        <v>0.8396547184265517</v>
      </c>
      <c r="L363" s="6">
        <v>-0.42161918576021373</v>
      </c>
      <c r="N363" s="8">
        <f t="shared" si="15"/>
        <v>3.764170898143953</v>
      </c>
      <c r="O363" s="8">
        <f t="shared" si="16"/>
        <v>6.7756672629766026</v>
      </c>
      <c r="P363" s="12">
        <f t="shared" si="17"/>
        <v>0</v>
      </c>
      <c r="Q363" s="11">
        <f>IF(P363=Sheet1!M363, 1, 0)</f>
        <v>1</v>
      </c>
    </row>
    <row r="364" spans="1:17" x14ac:dyDescent="0.35">
      <c r="A364" s="6" t="s">
        <v>389</v>
      </c>
      <c r="B364" s="6" t="s">
        <v>397</v>
      </c>
      <c r="C364" s="6">
        <v>-1.2592393837106783</v>
      </c>
      <c r="D364" s="6">
        <v>1.5181084479596552</v>
      </c>
      <c r="E364" s="6">
        <v>1.671472631848766</v>
      </c>
      <c r="F364" s="6">
        <v>1.6613328291034446</v>
      </c>
      <c r="G364" s="6">
        <v>1.4817158370286845</v>
      </c>
      <c r="H364" s="6">
        <v>0.86438770373589513</v>
      </c>
      <c r="I364" s="6">
        <v>0.92968474376333143</v>
      </c>
      <c r="J364" s="6">
        <v>1.4730112273697538</v>
      </c>
      <c r="K364" s="6">
        <v>-0.80975110137010187</v>
      </c>
      <c r="L364" s="6">
        <v>1.354684907648444</v>
      </c>
      <c r="N364" s="8">
        <f t="shared" si="15"/>
        <v>5.8083524838570106</v>
      </c>
      <c r="O364" s="8">
        <f t="shared" si="16"/>
        <v>2.4936074636934324</v>
      </c>
      <c r="P364" s="12">
        <f t="shared" si="17"/>
        <v>1</v>
      </c>
      <c r="Q364" s="11">
        <f>IF(P364=Sheet1!M364, 1, 0)</f>
        <v>0</v>
      </c>
    </row>
    <row r="365" spans="1:17" x14ac:dyDescent="0.35">
      <c r="A365" s="6" t="s">
        <v>389</v>
      </c>
      <c r="B365" s="6" t="s">
        <v>398</v>
      </c>
      <c r="C365" s="6">
        <v>-0.97741481388868068</v>
      </c>
      <c r="D365" s="6">
        <v>1.2603218546979034</v>
      </c>
      <c r="E365" s="6">
        <v>1.5683228714902289</v>
      </c>
      <c r="F365" s="6">
        <v>1.6690361466393155</v>
      </c>
      <c r="G365" s="6">
        <v>1.4178386461161547</v>
      </c>
      <c r="H365" s="6">
        <v>1.0755323893477153</v>
      </c>
      <c r="I365" s="6">
        <v>0.72632357013429083</v>
      </c>
      <c r="J365" s="6">
        <v>1.176929013932799</v>
      </c>
      <c r="K365" s="6">
        <v>-0.80975110137010187</v>
      </c>
      <c r="L365" s="6">
        <v>0.50812591999959322</v>
      </c>
      <c r="N365" s="8">
        <f t="shared" si="15"/>
        <v>5.3526728461313153</v>
      </c>
      <c r="O365" s="8">
        <f t="shared" si="16"/>
        <v>2.2040588642297334</v>
      </c>
      <c r="P365" s="12">
        <f t="shared" si="17"/>
        <v>1</v>
      </c>
      <c r="Q365" s="11">
        <f>IF(P365=Sheet1!M365, 1, 0)</f>
        <v>0</v>
      </c>
    </row>
    <row r="366" spans="1:17" x14ac:dyDescent="0.35">
      <c r="A366" s="6" t="s">
        <v>389</v>
      </c>
      <c r="B366" s="6" t="s">
        <v>399</v>
      </c>
      <c r="C366" s="6">
        <v>-1.0270696190477946</v>
      </c>
      <c r="D366" s="6">
        <v>1.4505929116291967</v>
      </c>
      <c r="E366" s="6">
        <v>2.372522610285539</v>
      </c>
      <c r="F366" s="6">
        <v>1.6428448670173597</v>
      </c>
      <c r="G366" s="6">
        <v>1.4207421547939945</v>
      </c>
      <c r="H366" s="6">
        <v>0.90209211188086313</v>
      </c>
      <c r="I366" s="6">
        <v>0.93797218971059615</v>
      </c>
      <c r="J366" s="6">
        <v>1.8450119570725949</v>
      </c>
      <c r="K366" s="6">
        <v>-0.44356423056135857</v>
      </c>
      <c r="L366" s="6">
        <v>0.37580435169501947</v>
      </c>
      <c r="N366" s="8">
        <f t="shared" si="15"/>
        <v>5.8917832759170121</v>
      </c>
      <c r="O366" s="8">
        <f t="shared" si="16"/>
        <v>1.9843952775547746</v>
      </c>
      <c r="P366" s="12">
        <f t="shared" si="17"/>
        <v>1</v>
      </c>
      <c r="Q366" s="11">
        <f>IF(P366=Sheet1!M366, 1, 0)</f>
        <v>0</v>
      </c>
    </row>
    <row r="367" spans="1:17" x14ac:dyDescent="0.35">
      <c r="A367" s="6" t="s">
        <v>400</v>
      </c>
      <c r="B367" s="6" t="s">
        <v>401</v>
      </c>
      <c r="C367" s="6">
        <v>-0.66740778708448312</v>
      </c>
      <c r="D367" s="6">
        <v>0.59130426742335718</v>
      </c>
      <c r="E367" s="6">
        <v>-0.14617350246917266</v>
      </c>
      <c r="F367" s="6">
        <v>0.36871614658457746</v>
      </c>
      <c r="G367" s="6">
        <v>0.53226849937425702</v>
      </c>
      <c r="H367" s="6">
        <v>-0.50212777431815592</v>
      </c>
      <c r="I367" s="6">
        <v>-0.91076575237159274</v>
      </c>
      <c r="J367" s="6">
        <v>-0.34903316301150761</v>
      </c>
      <c r="K367" s="6">
        <v>0.31697773188757328</v>
      </c>
      <c r="L367" s="6">
        <v>-0.2878060892667727</v>
      </c>
      <c r="N367" s="8">
        <f t="shared" si="15"/>
        <v>3.0206402188772161</v>
      </c>
      <c r="O367" s="8">
        <f t="shared" si="16"/>
        <v>5.162758026986598</v>
      </c>
      <c r="P367" s="12">
        <f t="shared" si="17"/>
        <v>0</v>
      </c>
      <c r="Q367" s="11">
        <f>IF(P367=Sheet1!M367, 1, 0)</f>
        <v>1</v>
      </c>
    </row>
    <row r="368" spans="1:17" x14ac:dyDescent="0.35">
      <c r="A368" s="6" t="s">
        <v>400</v>
      </c>
      <c r="B368" s="6" t="s">
        <v>402</v>
      </c>
      <c r="C368" s="6">
        <v>-0.30103584631588609</v>
      </c>
      <c r="D368" s="6">
        <v>0.46241097079248072</v>
      </c>
      <c r="E368" s="6">
        <v>-0.33221146311582023</v>
      </c>
      <c r="F368" s="6">
        <v>0.28860164421153744</v>
      </c>
      <c r="G368" s="6">
        <v>0.89520708410454164</v>
      </c>
      <c r="H368" s="6">
        <v>0.85307638129240515</v>
      </c>
      <c r="I368" s="6">
        <v>-0.61815516084892885</v>
      </c>
      <c r="J368" s="6">
        <v>-0.19719613047973569</v>
      </c>
      <c r="K368" s="6">
        <v>-0.13214890025819365</v>
      </c>
      <c r="L368" s="6">
        <v>-0.20789031313872799</v>
      </c>
      <c r="N368" s="8">
        <f t="shared" si="15"/>
        <v>3.1438352158119174</v>
      </c>
      <c r="O368" s="8">
        <f t="shared" si="16"/>
        <v>4.8389192246362871</v>
      </c>
      <c r="P368" s="12">
        <f t="shared" si="17"/>
        <v>0</v>
      </c>
      <c r="Q368" s="11">
        <f>IF(P368=Sheet1!M368, 1, 0)</f>
        <v>1</v>
      </c>
    </row>
    <row r="369" spans="1:17" x14ac:dyDescent="0.35">
      <c r="A369" s="6" t="s">
        <v>400</v>
      </c>
      <c r="B369" s="6" t="s">
        <v>403</v>
      </c>
      <c r="C369" s="6">
        <v>-0.95594246571176655</v>
      </c>
      <c r="D369" s="6">
        <v>0.22303770562085479</v>
      </c>
      <c r="E369" s="6">
        <v>-0.97579228935283668</v>
      </c>
      <c r="F369" s="6">
        <v>-0.33382641268670005</v>
      </c>
      <c r="G369" s="6">
        <v>0.53226849937425702</v>
      </c>
      <c r="H369" s="6">
        <v>0.32790783927320938</v>
      </c>
      <c r="I369" s="6">
        <v>4.7390498300658994E-2</v>
      </c>
      <c r="J369" s="6">
        <v>7.6110528077453443E-2</v>
      </c>
      <c r="K369" s="6">
        <v>-0.33089134723559105</v>
      </c>
      <c r="L369" s="6">
        <v>-0.37914579869311971</v>
      </c>
      <c r="N369" s="8">
        <f t="shared" si="15"/>
        <v>2.7830290445472379</v>
      </c>
      <c r="O369" s="8">
        <f t="shared" si="16"/>
        <v>5.4232325709067206</v>
      </c>
      <c r="P369" s="12">
        <f t="shared" si="17"/>
        <v>0</v>
      </c>
      <c r="Q369" s="11">
        <f>IF(P369=Sheet1!M369, 1, 0)</f>
        <v>1</v>
      </c>
    </row>
    <row r="370" spans="1:17" x14ac:dyDescent="0.35">
      <c r="A370" s="6" t="s">
        <v>400</v>
      </c>
      <c r="B370" s="6" t="s">
        <v>404</v>
      </c>
      <c r="C370" s="6">
        <v>-0.73585089689839689</v>
      </c>
      <c r="D370" s="6">
        <v>-0.16364218427177335</v>
      </c>
      <c r="E370" s="6">
        <v>-1.2012481941364967</v>
      </c>
      <c r="F370" s="6">
        <v>-0.5341126686193034</v>
      </c>
      <c r="G370" s="6">
        <v>0.5061369212736796</v>
      </c>
      <c r="H370" s="6">
        <v>6.9363326279143211E-2</v>
      </c>
      <c r="I370" s="6">
        <v>2.0615672932572011E-2</v>
      </c>
      <c r="J370" s="6">
        <v>-0.31107390487856446</v>
      </c>
      <c r="K370" s="6">
        <v>-0.52493909074107903</v>
      </c>
      <c r="L370" s="6">
        <v>-0.11723669163484682</v>
      </c>
      <c r="N370" s="8">
        <f t="shared" si="15"/>
        <v>2.7684960741179157</v>
      </c>
      <c r="O370" s="8">
        <f t="shared" si="16"/>
        <v>5.9690553699178137</v>
      </c>
      <c r="P370" s="12">
        <f t="shared" si="17"/>
        <v>0</v>
      </c>
      <c r="Q370" s="11">
        <f>IF(P370=Sheet1!M370, 1, 0)</f>
        <v>1</v>
      </c>
    </row>
    <row r="371" spans="1:17" x14ac:dyDescent="0.35">
      <c r="A371" s="6" t="s">
        <v>400</v>
      </c>
      <c r="B371" s="6" t="s">
        <v>405</v>
      </c>
      <c r="C371" s="6">
        <v>-0.74658707098685395</v>
      </c>
      <c r="D371" s="6">
        <v>0.94729527716577633</v>
      </c>
      <c r="E371" s="6">
        <v>0.3448930352377208</v>
      </c>
      <c r="F371" s="6">
        <v>0.97111557788955771</v>
      </c>
      <c r="G371" s="6">
        <v>1.2726632122240409</v>
      </c>
      <c r="H371" s="6">
        <v>2.0347595690685127E-2</v>
      </c>
      <c r="I371" s="6">
        <v>0.86657265539569839</v>
      </c>
      <c r="J371" s="6">
        <v>-4.5359097947963757E-2</v>
      </c>
      <c r="K371" s="6">
        <v>-0.95841671131382355</v>
      </c>
      <c r="L371" s="6">
        <v>2.0918661274960799E-2</v>
      </c>
      <c r="N371" s="8">
        <f t="shared" si="15"/>
        <v>4.032310473080936</v>
      </c>
      <c r="O371" s="8">
        <f t="shared" si="16"/>
        <v>3.7178088869260648</v>
      </c>
      <c r="P371" s="12">
        <f t="shared" si="17"/>
        <v>1</v>
      </c>
      <c r="Q371" s="11">
        <f>IF(P371=Sheet1!M371, 1, 0)</f>
        <v>0</v>
      </c>
    </row>
    <row r="372" spans="1:17" x14ac:dyDescent="0.35">
      <c r="A372" s="6" t="s">
        <v>406</v>
      </c>
      <c r="B372" s="6" t="s">
        <v>407</v>
      </c>
      <c r="C372" s="6">
        <v>-0.6298311777748834</v>
      </c>
      <c r="D372" s="6">
        <v>-0.24957104869235763</v>
      </c>
      <c r="E372" s="6">
        <v>-3.8603038095269521E-2</v>
      </c>
      <c r="F372" s="6">
        <v>-0.27219987239974702</v>
      </c>
      <c r="G372" s="6">
        <v>-6.0047270905565199E-2</v>
      </c>
      <c r="H372" s="6">
        <v>-0.18864255231285096</v>
      </c>
      <c r="I372" s="6">
        <v>0.19720202119352656</v>
      </c>
      <c r="J372" s="6">
        <v>-7.9522430267612701E-2</v>
      </c>
      <c r="K372" s="6">
        <v>-1.158724059448522</v>
      </c>
      <c r="L372" s="6">
        <v>-0.33929059919602167</v>
      </c>
      <c r="N372" s="8">
        <f t="shared" si="15"/>
        <v>2.8469521299389475</v>
      </c>
      <c r="O372" s="8">
        <f t="shared" si="16"/>
        <v>5.2304411771292063</v>
      </c>
      <c r="P372" s="12">
        <f t="shared" si="17"/>
        <v>0</v>
      </c>
      <c r="Q372" s="11">
        <f>IF(P372=Sheet1!M372, 1, 0)</f>
        <v>1</v>
      </c>
    </row>
    <row r="373" spans="1:17" x14ac:dyDescent="0.35">
      <c r="A373" s="6" t="s">
        <v>406</v>
      </c>
      <c r="B373" s="6" t="s">
        <v>408</v>
      </c>
      <c r="C373" s="6">
        <v>-0.6177529819253692</v>
      </c>
      <c r="D373" s="6">
        <v>0.79385087641473362</v>
      </c>
      <c r="E373" s="6">
        <v>0.79433127679991888</v>
      </c>
      <c r="F373" s="6">
        <v>0.89408240253086479</v>
      </c>
      <c r="G373" s="6">
        <v>0.43645271300546234</v>
      </c>
      <c r="H373" s="6">
        <v>0.59884094351490658</v>
      </c>
      <c r="I373" s="6">
        <v>0.1831771126673859</v>
      </c>
      <c r="J373" s="6">
        <v>0.41015199964735133</v>
      </c>
      <c r="K373" s="6">
        <v>-1.57342286613364</v>
      </c>
      <c r="L373" s="6">
        <v>-0.20619771218976055</v>
      </c>
      <c r="N373" s="8">
        <f t="shared" si="15"/>
        <v>3.9280400428565292</v>
      </c>
      <c r="O373" s="8">
        <f t="shared" si="16"/>
        <v>3.3162011145504162</v>
      </c>
      <c r="P373" s="12">
        <f t="shared" si="17"/>
        <v>1</v>
      </c>
      <c r="Q373" s="11">
        <f>IF(P373=Sheet1!M373, 1, 0)</f>
        <v>0</v>
      </c>
    </row>
    <row r="374" spans="1:17" x14ac:dyDescent="0.35">
      <c r="A374" s="6" t="s">
        <v>406</v>
      </c>
      <c r="B374" s="6" t="s">
        <v>409</v>
      </c>
      <c r="C374" s="6">
        <v>-0.16817569197122997</v>
      </c>
      <c r="D374" s="6">
        <v>-5.9299991761064347E-2</v>
      </c>
      <c r="E374" s="6">
        <v>0.44178013157448975</v>
      </c>
      <c r="F374" s="6">
        <v>0.17613320818784517</v>
      </c>
      <c r="G374" s="6">
        <v>0.15190886257692218</v>
      </c>
      <c r="H374" s="6">
        <v>0.40547119317142893</v>
      </c>
      <c r="I374" s="6">
        <v>0.53379982582090446</v>
      </c>
      <c r="J374" s="6">
        <v>-0.12886946584043849</v>
      </c>
      <c r="K374" s="6">
        <v>-0.91772928122396336</v>
      </c>
      <c r="L374" s="6">
        <v>-0.39197538165550377</v>
      </c>
      <c r="N374" s="8">
        <f t="shared" si="15"/>
        <v>2.993297717506143</v>
      </c>
      <c r="O374" s="8">
        <f t="shared" si="16"/>
        <v>4.5164111317246496</v>
      </c>
      <c r="P374" s="12">
        <f t="shared" si="17"/>
        <v>0</v>
      </c>
      <c r="Q374" s="11">
        <f>IF(P374=Sheet1!M374, 1, 0)</f>
        <v>1</v>
      </c>
    </row>
    <row r="375" spans="1:17" x14ac:dyDescent="0.35">
      <c r="A375" s="6" t="s">
        <v>406</v>
      </c>
      <c r="B375" s="6" t="s">
        <v>410</v>
      </c>
      <c r="C375" s="6">
        <v>-0.43926408770477066</v>
      </c>
      <c r="D375" s="6">
        <v>0.787713100384692</v>
      </c>
      <c r="E375" s="6">
        <v>-0.65087054422344426</v>
      </c>
      <c r="F375" s="6">
        <v>-1.4909066701712445E-2</v>
      </c>
      <c r="G375" s="6">
        <v>0.16932991464397237</v>
      </c>
      <c r="H375" s="6">
        <v>0.51858441760633234</v>
      </c>
      <c r="I375" s="6">
        <v>-3.357147364569868E-2</v>
      </c>
      <c r="J375" s="6">
        <v>-1.0474835126576578</v>
      </c>
      <c r="K375" s="6">
        <v>1.5219516230103671</v>
      </c>
      <c r="L375" s="6">
        <v>-0.42413709813788703</v>
      </c>
      <c r="N375" s="8">
        <f t="shared" si="15"/>
        <v>2.899097069725876</v>
      </c>
      <c r="O375" s="8">
        <f t="shared" si="16"/>
        <v>5.7845015384462766</v>
      </c>
      <c r="P375" s="12">
        <f t="shared" si="17"/>
        <v>0</v>
      </c>
      <c r="Q375" s="11">
        <f>IF(P375=Sheet1!M375, 1, 0)</f>
        <v>1</v>
      </c>
    </row>
    <row r="376" spans="1:17" x14ac:dyDescent="0.35">
      <c r="A376" s="6" t="s">
        <v>406</v>
      </c>
      <c r="B376" s="6" t="s">
        <v>411</v>
      </c>
      <c r="C376" s="6">
        <v>-0.38960928254565685</v>
      </c>
      <c r="D376" s="6">
        <v>0.40103321049206386</v>
      </c>
      <c r="E376" s="6">
        <v>0.45283189161290444</v>
      </c>
      <c r="F376" s="6">
        <v>0.36871614658457746</v>
      </c>
      <c r="G376" s="6">
        <v>0.10254921505360297</v>
      </c>
      <c r="H376" s="6">
        <v>0.56329107297822278</v>
      </c>
      <c r="I376" s="6">
        <v>0.35976346092833955</v>
      </c>
      <c r="J376" s="6">
        <v>-6.0542801201140951E-2</v>
      </c>
      <c r="K376" s="6">
        <v>-1.0053637460328941</v>
      </c>
      <c r="L376" s="6">
        <v>-0.32580999015170464</v>
      </c>
      <c r="N376" s="8">
        <f t="shared" si="15"/>
        <v>3.0955483567370536</v>
      </c>
      <c r="O376" s="8">
        <f t="shared" si="16"/>
        <v>4.0938687315623836</v>
      </c>
      <c r="P376" s="12">
        <f t="shared" si="17"/>
        <v>0</v>
      </c>
      <c r="Q376" s="11">
        <f>IF(P376=Sheet1!M376, 1, 0)</f>
        <v>1</v>
      </c>
    </row>
    <row r="377" spans="1:17" x14ac:dyDescent="0.35">
      <c r="A377" s="6" t="s">
        <v>406</v>
      </c>
      <c r="B377" s="6" t="s">
        <v>412</v>
      </c>
      <c r="C377" s="6">
        <v>-0.69290620054456864</v>
      </c>
      <c r="D377" s="6">
        <v>0.95957082922585946</v>
      </c>
      <c r="E377" s="6">
        <v>0.42593927551942867</v>
      </c>
      <c r="F377" s="6">
        <v>0.64449491436869899</v>
      </c>
      <c r="G377" s="6">
        <v>0.5061369212736796</v>
      </c>
      <c r="H377" s="6">
        <v>0.72972910321815265</v>
      </c>
      <c r="I377" s="6">
        <v>0.19528953366723459</v>
      </c>
      <c r="J377" s="6">
        <v>1.1617453106796216</v>
      </c>
      <c r="K377" s="6">
        <v>-1.1696783675496383</v>
      </c>
      <c r="L377" s="6">
        <v>-0.25240679419000928</v>
      </c>
      <c r="N377" s="8">
        <f t="shared" si="15"/>
        <v>3.7073304695458233</v>
      </c>
      <c r="O377" s="8">
        <f t="shared" si="16"/>
        <v>3.3276413233964086</v>
      </c>
      <c r="P377" s="12">
        <f t="shared" si="17"/>
        <v>1</v>
      </c>
      <c r="Q377" s="11">
        <f>IF(P377=Sheet1!M377, 1, 0)</f>
        <v>0</v>
      </c>
    </row>
    <row r="378" spans="1:17" x14ac:dyDescent="0.35">
      <c r="A378" s="6" t="s">
        <v>406</v>
      </c>
      <c r="B378" s="6" t="s">
        <v>413</v>
      </c>
      <c r="C378" s="6">
        <v>-0.56944019852731254</v>
      </c>
      <c r="D378" s="6">
        <v>-1.6335559550772212E-2</v>
      </c>
      <c r="E378" s="6">
        <v>-0.43536122347435752</v>
      </c>
      <c r="F378" s="6">
        <v>-0.3908309624521335</v>
      </c>
      <c r="G378" s="6">
        <v>-0.55945076349443645</v>
      </c>
      <c r="H378" s="6">
        <v>-0.20210841236462521</v>
      </c>
      <c r="I378" s="6">
        <v>-0.35168189885225432</v>
      </c>
      <c r="J378" s="6">
        <v>6.4722750637570811E-2</v>
      </c>
      <c r="K378" s="6">
        <v>-0.78784248516786914</v>
      </c>
      <c r="L378" s="6">
        <v>-0.42238264793505942</v>
      </c>
      <c r="N378" s="8">
        <f t="shared" si="15"/>
        <v>2.2490814661576848</v>
      </c>
      <c r="O378" s="8">
        <f t="shared" si="16"/>
        <v>5.5149517040353651</v>
      </c>
      <c r="P378" s="12">
        <f t="shared" si="17"/>
        <v>0</v>
      </c>
      <c r="Q378" s="11">
        <f>IF(P378=Sheet1!M378, 1, 0)</f>
        <v>1</v>
      </c>
    </row>
    <row r="379" spans="1:17" x14ac:dyDescent="0.35">
      <c r="A379" s="6" t="s">
        <v>406</v>
      </c>
      <c r="B379" s="6" t="s">
        <v>414</v>
      </c>
      <c r="C379" s="6">
        <v>-0.44731621827111351</v>
      </c>
      <c r="D379" s="6">
        <v>0.36420655431181326</v>
      </c>
      <c r="E379" s="6">
        <v>-0.80301644075228673</v>
      </c>
      <c r="F379" s="6">
        <v>-0.28914717097865938</v>
      </c>
      <c r="G379" s="6">
        <v>0.35225096134803863</v>
      </c>
      <c r="H379" s="6">
        <v>0.90155347747879189</v>
      </c>
      <c r="I379" s="6">
        <v>0.73779849529204189</v>
      </c>
      <c r="J379" s="6">
        <v>-0.63372759900857956</v>
      </c>
      <c r="K379" s="6">
        <v>-0.99753924024638174</v>
      </c>
      <c r="L379" s="6">
        <v>-0.42379686455660148</v>
      </c>
      <c r="N379" s="8">
        <f t="shared" si="15"/>
        <v>2.982095607859379</v>
      </c>
      <c r="O379" s="8">
        <f t="shared" si="16"/>
        <v>5.2861763599183114</v>
      </c>
      <c r="P379" s="12">
        <f t="shared" si="17"/>
        <v>0</v>
      </c>
      <c r="Q379" s="11">
        <f>IF(P379=Sheet1!M379, 1, 0)</f>
        <v>1</v>
      </c>
    </row>
    <row r="380" spans="1:17" x14ac:dyDescent="0.35">
      <c r="A380" s="6" t="s">
        <v>406</v>
      </c>
      <c r="B380" s="6" t="s">
        <v>415</v>
      </c>
      <c r="C380" s="6">
        <v>2.6417463382054338E-2</v>
      </c>
      <c r="D380" s="6">
        <v>0.41330876255214699</v>
      </c>
      <c r="E380" s="6">
        <v>5.6810490236377451E-2</v>
      </c>
      <c r="F380" s="6">
        <v>0.17459254468067273</v>
      </c>
      <c r="G380" s="6">
        <v>0.16061938861044522</v>
      </c>
      <c r="H380" s="6">
        <v>0.57675693302999698</v>
      </c>
      <c r="I380" s="6">
        <v>0.50001254618974711</v>
      </c>
      <c r="J380" s="6">
        <v>-0.63372759900857956</v>
      </c>
      <c r="K380" s="6">
        <v>-0.71898683424656706</v>
      </c>
      <c r="L380" s="6">
        <v>-0.38017627830549217</v>
      </c>
      <c r="N380" s="8">
        <f t="shared" si="15"/>
        <v>2.7433694138398348</v>
      </c>
      <c r="O380" s="8">
        <f t="shared" si="16"/>
        <v>4.6500081622550962</v>
      </c>
      <c r="P380" s="12">
        <f t="shared" si="17"/>
        <v>0</v>
      </c>
      <c r="Q380" s="11">
        <f>IF(P380=Sheet1!M380, 1, 0)</f>
        <v>1</v>
      </c>
    </row>
    <row r="381" spans="1:17" x14ac:dyDescent="0.35">
      <c r="A381" s="6" t="s">
        <v>406</v>
      </c>
      <c r="B381" s="6" t="s">
        <v>416</v>
      </c>
      <c r="C381" s="6">
        <v>7.7414290302225228E-2</v>
      </c>
      <c r="D381" s="6">
        <v>-0.17591773633185653</v>
      </c>
      <c r="E381" s="6">
        <v>-0.51051319173557752</v>
      </c>
      <c r="F381" s="6">
        <v>-0.69434167336538344</v>
      </c>
      <c r="G381" s="6">
        <v>-1.5001875751153368</v>
      </c>
      <c r="H381" s="6">
        <v>-0.37824186184183217</v>
      </c>
      <c r="I381" s="6">
        <v>6.1415406826799662E-2</v>
      </c>
      <c r="J381" s="6">
        <v>-0.17442057559997007</v>
      </c>
      <c r="K381" s="6">
        <v>-1.6297593077965238</v>
      </c>
      <c r="L381" s="6">
        <v>-0.42995920242794938</v>
      </c>
      <c r="N381" s="8">
        <f t="shared" si="15"/>
        <v>2.3728268907541885</v>
      </c>
      <c r="O381" s="8">
        <f t="shared" si="16"/>
        <v>6.1419031777889863</v>
      </c>
      <c r="P381" s="12">
        <f t="shared" si="17"/>
        <v>0</v>
      </c>
      <c r="Q381" s="11">
        <f>IF(P381=Sheet1!M381, 1, 0)</f>
        <v>1</v>
      </c>
    </row>
    <row r="382" spans="1:17" x14ac:dyDescent="0.35">
      <c r="A382" s="6" t="s">
        <v>406</v>
      </c>
      <c r="B382" s="6" t="s">
        <v>417</v>
      </c>
      <c r="C382" s="6">
        <v>-0.82845039841133905</v>
      </c>
      <c r="D382" s="6">
        <v>-0.31094880899277449</v>
      </c>
      <c r="E382" s="6">
        <v>-0.4456761995102112</v>
      </c>
      <c r="F382" s="6">
        <v>-0.52024669705473814</v>
      </c>
      <c r="G382" s="6">
        <v>-0.49847708125975049</v>
      </c>
      <c r="H382" s="6">
        <v>-0.76875180334328574</v>
      </c>
      <c r="I382" s="6">
        <v>0.41267561582241585</v>
      </c>
      <c r="J382" s="6">
        <v>0.35321311244793713</v>
      </c>
      <c r="K382" s="6">
        <v>-0.68768881110052227</v>
      </c>
      <c r="L382" s="6">
        <v>-0.41842855827172004</v>
      </c>
      <c r="N382" s="8">
        <f t="shared" si="15"/>
        <v>2.4935793204258583</v>
      </c>
      <c r="O382" s="8">
        <f t="shared" si="16"/>
        <v>5.7210952032246283</v>
      </c>
      <c r="P382" s="12">
        <f t="shared" si="17"/>
        <v>0</v>
      </c>
      <c r="Q382" s="11">
        <f>IF(P382=Sheet1!M382, 1, 0)</f>
        <v>1</v>
      </c>
    </row>
    <row r="383" spans="1:17" x14ac:dyDescent="0.35">
      <c r="A383" s="6" t="s">
        <v>406</v>
      </c>
      <c r="B383" s="6" t="s">
        <v>418</v>
      </c>
      <c r="C383" s="6">
        <v>-0.81637220256182474</v>
      </c>
      <c r="D383" s="6">
        <v>1.8311350254917822</v>
      </c>
      <c r="E383" s="6">
        <v>1.3506031987334592</v>
      </c>
      <c r="F383" s="6">
        <v>1.4286926395201933</v>
      </c>
      <c r="G383" s="6">
        <v>0.65131235516579344</v>
      </c>
      <c r="H383" s="6">
        <v>0.56867741699893293</v>
      </c>
      <c r="I383" s="6">
        <v>0.68552383624006319</v>
      </c>
      <c r="J383" s="6">
        <v>2.6990952650638111</v>
      </c>
      <c r="K383" s="6">
        <v>-1.6250646043246166</v>
      </c>
      <c r="L383" s="6">
        <v>8.5511598184419474E-2</v>
      </c>
      <c r="N383" s="8">
        <f t="shared" si="15"/>
        <v>5.402619447325824</v>
      </c>
      <c r="O383" s="8">
        <f t="shared" si="16"/>
        <v>2.312750353753267</v>
      </c>
      <c r="P383" s="12">
        <f t="shared" si="17"/>
        <v>1</v>
      </c>
      <c r="Q383" s="11">
        <f>IF(P383=Sheet1!M383, 1, 0)</f>
        <v>0</v>
      </c>
    </row>
    <row r="384" spans="1:17" x14ac:dyDescent="0.35">
      <c r="A384" s="6" t="s">
        <v>406</v>
      </c>
      <c r="B384" s="6" t="s">
        <v>419</v>
      </c>
      <c r="C384" s="6">
        <v>-0.78416368029645367</v>
      </c>
      <c r="D384" s="6">
        <v>0.89205529289540098</v>
      </c>
      <c r="E384" s="6">
        <v>0.71696895653101589</v>
      </c>
      <c r="F384" s="6">
        <v>0.65836088593326425</v>
      </c>
      <c r="G384" s="6">
        <v>0.41903166093840805</v>
      </c>
      <c r="H384" s="6">
        <v>0.65432028692821653</v>
      </c>
      <c r="I384" s="6">
        <v>0.73588600776575075</v>
      </c>
      <c r="J384" s="6">
        <v>1.8601956603257723</v>
      </c>
      <c r="K384" s="6">
        <v>-1.1336856409316851</v>
      </c>
      <c r="L384" s="6">
        <v>-0.21141728773512281</v>
      </c>
      <c r="N384" s="8">
        <f t="shared" si="15"/>
        <v>4.077146811449329</v>
      </c>
      <c r="O384" s="8">
        <f t="shared" si="16"/>
        <v>3.1399205715288936</v>
      </c>
      <c r="P384" s="12">
        <f t="shared" si="17"/>
        <v>1</v>
      </c>
      <c r="Q384" s="11">
        <f>IF(P384=Sheet1!M384, 1, 0)</f>
        <v>0</v>
      </c>
    </row>
    <row r="385" spans="1:17" x14ac:dyDescent="0.35">
      <c r="A385" s="6" t="s">
        <v>406</v>
      </c>
      <c r="B385" s="6" t="s">
        <v>420</v>
      </c>
      <c r="C385" s="6">
        <v>-0.88347329061468138</v>
      </c>
      <c r="D385" s="6">
        <v>1.4137662554489461</v>
      </c>
      <c r="E385" s="6">
        <v>0.56224431599321001</v>
      </c>
      <c r="F385" s="6">
        <v>1.0681773788415101</v>
      </c>
      <c r="G385" s="6">
        <v>0.69776849401126895</v>
      </c>
      <c r="H385" s="6">
        <v>1.0351348091923926</v>
      </c>
      <c r="I385" s="6">
        <v>0.71421114913444217</v>
      </c>
      <c r="J385" s="6">
        <v>1.4350519692368111</v>
      </c>
      <c r="K385" s="6">
        <v>-1.8097229408862914</v>
      </c>
      <c r="L385" s="6">
        <v>-0.39175859584172018</v>
      </c>
      <c r="N385" s="8">
        <f t="shared" si="15"/>
        <v>4.5907022093794909</v>
      </c>
      <c r="O385" s="8">
        <f t="shared" si="16"/>
        <v>2.7962127125193663</v>
      </c>
      <c r="P385" s="12">
        <f t="shared" si="17"/>
        <v>1</v>
      </c>
      <c r="Q385" s="11">
        <f>IF(P385=Sheet1!M385, 1, 0)</f>
        <v>0</v>
      </c>
    </row>
    <row r="386" spans="1:17" x14ac:dyDescent="0.35">
      <c r="A386" s="6" t="s">
        <v>406</v>
      </c>
      <c r="B386" s="6" t="s">
        <v>421</v>
      </c>
      <c r="C386" s="6">
        <v>-0.87676318180939572</v>
      </c>
      <c r="D386" s="6">
        <v>1.1498418861571527</v>
      </c>
      <c r="E386" s="6">
        <v>0.19274713870887836</v>
      </c>
      <c r="F386" s="6">
        <v>0.54589244990957198</v>
      </c>
      <c r="G386" s="6">
        <v>0.2738562270462942</v>
      </c>
      <c r="H386" s="6">
        <v>-0.30337167995396808</v>
      </c>
      <c r="I386" s="6">
        <v>0.82386043397517872</v>
      </c>
      <c r="J386" s="6">
        <v>0.85807124561607839</v>
      </c>
      <c r="K386" s="6">
        <v>-0.73463584581959163</v>
      </c>
      <c r="L386" s="6">
        <v>-0.40674573569796918</v>
      </c>
      <c r="N386" s="8">
        <f t="shared" si="15"/>
        <v>3.2667732787069768</v>
      </c>
      <c r="O386" s="8">
        <f t="shared" si="16"/>
        <v>3.7281533669401803</v>
      </c>
      <c r="P386" s="12">
        <f t="shared" si="17"/>
        <v>0</v>
      </c>
      <c r="Q386" s="11">
        <f>IF(P386=Sheet1!M386, 1, 0)</f>
        <v>1</v>
      </c>
    </row>
    <row r="387" spans="1:17" x14ac:dyDescent="0.35">
      <c r="A387" s="6" t="s">
        <v>422</v>
      </c>
      <c r="B387" s="6" t="s">
        <v>423</v>
      </c>
      <c r="C387" s="6">
        <v>0.19417018351419588</v>
      </c>
      <c r="D387" s="6">
        <v>2.0777685393525243E-3</v>
      </c>
      <c r="E387" s="6">
        <v>-1.057943705638386</v>
      </c>
      <c r="F387" s="6">
        <v>-0.66506906672908039</v>
      </c>
      <c r="G387" s="6">
        <v>-0.8904507527684562</v>
      </c>
      <c r="H387" s="6">
        <v>-9.9767875971141382E-2</v>
      </c>
      <c r="I387" s="6">
        <v>0.74927342044979384</v>
      </c>
      <c r="J387" s="6">
        <v>-0.80074833479352847</v>
      </c>
      <c r="K387" s="6">
        <v>0.39365788859538886</v>
      </c>
      <c r="L387" s="6">
        <v>-0.4017869717697295</v>
      </c>
      <c r="N387" s="8">
        <f t="shared" ref="N387:N450" si="18">SQRT((C387-$C$520)^2+(D387-$D$520)^2+(E387-$E$520)^2+(F387-$F$520)^2+(G387-$G$520)^2+(H387-$H$520)^2+(I387-$I$520)^2+(J387-$J$520)^2+(K387-$K$520)^2+(L387-$L$520)^2)</f>
        <v>1.6115507761618679</v>
      </c>
      <c r="O387" s="8">
        <f t="shared" ref="O387:O450" si="19">SQRT((C387-$C$521)^2+(D387-$D$521)^2+(E387-$E$521)^2+(F387-$F$521)^2+(G387-$G$521)^2+(H387-$H$521)^2+(I387-$I$521)^2+(J387-$J$521)^2+(K387-$K$521)^2+(L387-$L$521)^2)</f>
        <v>6.3754413613267733</v>
      </c>
      <c r="P387" s="12">
        <f t="shared" ref="P387:P450" si="20">IF(N387&lt;=O387, 0, 1)</f>
        <v>0</v>
      </c>
      <c r="Q387" s="11">
        <f>IF(P387=Sheet1!M387, 1, 0)</f>
        <v>1</v>
      </c>
    </row>
    <row r="388" spans="1:17" x14ac:dyDescent="0.35">
      <c r="A388" s="6" t="s">
        <v>422</v>
      </c>
      <c r="B388" s="6" t="s">
        <v>424</v>
      </c>
      <c r="C388" s="6">
        <v>-0.59628063374845508</v>
      </c>
      <c r="D388" s="6">
        <v>5.7317752809727819E-2</v>
      </c>
      <c r="E388" s="6">
        <v>-0.26590090288533197</v>
      </c>
      <c r="F388" s="6">
        <v>0.10372202335067403</v>
      </c>
      <c r="G388" s="6">
        <v>0.35515447002587824</v>
      </c>
      <c r="H388" s="6">
        <v>0.28320118390131821</v>
      </c>
      <c r="I388" s="6">
        <v>0.64026163145115478</v>
      </c>
      <c r="J388" s="6">
        <v>-0.5654009343692824</v>
      </c>
      <c r="K388" s="6">
        <v>0.36548966776394587</v>
      </c>
      <c r="L388" s="6">
        <v>-6.47712023913318E-2</v>
      </c>
      <c r="N388" s="8">
        <f t="shared" si="18"/>
        <v>2.800832012003549</v>
      </c>
      <c r="O388" s="8">
        <f t="shared" si="19"/>
        <v>5.1611137365628954</v>
      </c>
      <c r="P388" s="12">
        <f t="shared" si="20"/>
        <v>0</v>
      </c>
      <c r="Q388" s="11">
        <f>IF(P388=Sheet1!M388, 1, 0)</f>
        <v>1</v>
      </c>
    </row>
    <row r="389" spans="1:17" x14ac:dyDescent="0.35">
      <c r="A389" s="6" t="s">
        <v>422</v>
      </c>
      <c r="B389" s="6" t="s">
        <v>425</v>
      </c>
      <c r="C389" s="6">
        <v>0.19819624879736719</v>
      </c>
      <c r="D389" s="6">
        <v>0.55447761124310657</v>
      </c>
      <c r="E389" s="6">
        <v>0.25905769893936659</v>
      </c>
      <c r="F389" s="6">
        <v>0.36409415606305789</v>
      </c>
      <c r="G389" s="6">
        <v>-0.12392446181809495</v>
      </c>
      <c r="H389" s="6">
        <v>6.1283810248079121E-2</v>
      </c>
      <c r="I389" s="6">
        <v>0.51212496718959588</v>
      </c>
      <c r="J389" s="6">
        <v>7.7838634381562476E-3</v>
      </c>
      <c r="K389" s="6">
        <v>-0.89425576386442862</v>
      </c>
      <c r="L389" s="6">
        <v>0.68853613987620099</v>
      </c>
      <c r="N389" s="8">
        <f t="shared" si="18"/>
        <v>2.7536366804706534</v>
      </c>
      <c r="O389" s="8">
        <f t="shared" si="19"/>
        <v>4.358029887488291</v>
      </c>
      <c r="P389" s="12">
        <f t="shared" si="20"/>
        <v>0</v>
      </c>
      <c r="Q389" s="11">
        <f>IF(P389=Sheet1!M389, 1, 0)</f>
        <v>1</v>
      </c>
    </row>
    <row r="390" spans="1:17" x14ac:dyDescent="0.35">
      <c r="A390" s="6" t="s">
        <v>422</v>
      </c>
      <c r="B390" s="6" t="s">
        <v>426</v>
      </c>
      <c r="C390" s="6">
        <v>0.48941497094676489</v>
      </c>
      <c r="D390" s="6">
        <v>0.65268202772377404</v>
      </c>
      <c r="E390" s="6">
        <v>-0.5433000798495411</v>
      </c>
      <c r="F390" s="6">
        <v>0.23467842146045328</v>
      </c>
      <c r="G390" s="6">
        <v>0.44516323903898952</v>
      </c>
      <c r="H390" s="6">
        <v>0.58645235226727477</v>
      </c>
      <c r="I390" s="6">
        <v>0.29537638087651125</v>
      </c>
      <c r="J390" s="6">
        <v>-0.98295277383165469</v>
      </c>
      <c r="K390" s="6">
        <v>0.6377824691345525</v>
      </c>
      <c r="L390" s="6">
        <v>-0.32262519237328763</v>
      </c>
      <c r="N390" s="8">
        <f t="shared" si="18"/>
        <v>2.5664998271250039</v>
      </c>
      <c r="O390" s="8">
        <f t="shared" si="19"/>
        <v>5.3476071010803148</v>
      </c>
      <c r="P390" s="12">
        <f t="shared" si="20"/>
        <v>0</v>
      </c>
      <c r="Q390" s="11">
        <f>IF(P390=Sheet1!M390, 1, 0)</f>
        <v>1</v>
      </c>
    </row>
    <row r="391" spans="1:17" x14ac:dyDescent="0.35">
      <c r="A391" s="6" t="s">
        <v>422</v>
      </c>
      <c r="B391" s="6" t="s">
        <v>427</v>
      </c>
      <c r="C391" s="6">
        <v>0.59811873359239265</v>
      </c>
      <c r="D391" s="6">
        <v>-0.28025992884256551</v>
      </c>
      <c r="E391" s="6">
        <v>-0.85569649693539684</v>
      </c>
      <c r="F391" s="6">
        <v>-0.64812176815016809</v>
      </c>
      <c r="G391" s="6">
        <v>-0.62623146308481004</v>
      </c>
      <c r="H391" s="6">
        <v>-0.66264082613530439</v>
      </c>
      <c r="I391" s="6">
        <v>0.2730640264031059</v>
      </c>
      <c r="J391" s="6">
        <v>-0.59197241506234233</v>
      </c>
      <c r="K391" s="6">
        <v>-0.31211253334796235</v>
      </c>
      <c r="L391" s="6">
        <v>-0.28040356938043731</v>
      </c>
      <c r="N391" s="8">
        <f t="shared" si="18"/>
        <v>1.6325386364822818</v>
      </c>
      <c r="O391" s="8">
        <f t="shared" si="19"/>
        <v>6.3762704893434865</v>
      </c>
      <c r="P391" s="12">
        <f t="shared" si="20"/>
        <v>0</v>
      </c>
      <c r="Q391" s="11">
        <f>IF(P391=Sheet1!M391, 1, 0)</f>
        <v>1</v>
      </c>
    </row>
    <row r="392" spans="1:17" x14ac:dyDescent="0.35">
      <c r="A392" s="6" t="s">
        <v>422</v>
      </c>
      <c r="B392" s="6" t="s">
        <v>428</v>
      </c>
      <c r="C392" s="6">
        <v>0.16598772653199598</v>
      </c>
      <c r="D392" s="6">
        <v>0.19848660150068739</v>
      </c>
      <c r="E392" s="6">
        <v>-0.87595805700582385</v>
      </c>
      <c r="F392" s="6">
        <v>-0.55876328473408454</v>
      </c>
      <c r="G392" s="6">
        <v>-1.0094946085599885</v>
      </c>
      <c r="H392" s="6">
        <v>-0.49081645187466505</v>
      </c>
      <c r="I392" s="6">
        <v>4.9940481669048617E-2</v>
      </c>
      <c r="J392" s="6">
        <v>-0.73242167015423132</v>
      </c>
      <c r="K392" s="6">
        <v>-0.84887363030266005</v>
      </c>
      <c r="L392" s="6">
        <v>-0.33824513785560267</v>
      </c>
      <c r="N392" s="8">
        <f t="shared" si="18"/>
        <v>1.7715467073517415</v>
      </c>
      <c r="O392" s="8">
        <f t="shared" si="19"/>
        <v>6.1374942739683434</v>
      </c>
      <c r="P392" s="12">
        <f t="shared" si="20"/>
        <v>0</v>
      </c>
      <c r="Q392" s="11">
        <f>IF(P392=Sheet1!M392, 1, 0)</f>
        <v>1</v>
      </c>
    </row>
    <row r="393" spans="1:17" x14ac:dyDescent="0.35">
      <c r="A393" s="6" t="s">
        <v>422</v>
      </c>
      <c r="B393" s="6" t="s">
        <v>429</v>
      </c>
      <c r="C393" s="6">
        <v>0.23979892339013836</v>
      </c>
      <c r="D393" s="6">
        <v>0.39489543446202224</v>
      </c>
      <c r="E393" s="6">
        <v>-0.86601147297125058</v>
      </c>
      <c r="F393" s="6">
        <v>-0.25833390083518176</v>
      </c>
      <c r="G393" s="6">
        <v>-0.17618761801925792</v>
      </c>
      <c r="H393" s="6">
        <v>-0.37716459303769045</v>
      </c>
      <c r="I393" s="6">
        <v>7.0977844458259623E-2</v>
      </c>
      <c r="J393" s="6">
        <v>-0.53882945367622215</v>
      </c>
      <c r="K393" s="6">
        <v>-0.30428802756145118</v>
      </c>
      <c r="L393" s="6">
        <v>-0.37473828713492702</v>
      </c>
      <c r="N393" s="8">
        <f t="shared" si="18"/>
        <v>1.6796405853175935</v>
      </c>
      <c r="O393" s="8">
        <f t="shared" si="19"/>
        <v>5.6963468041231868</v>
      </c>
      <c r="P393" s="12">
        <f t="shared" si="20"/>
        <v>0</v>
      </c>
      <c r="Q393" s="11">
        <f>IF(P393=Sheet1!M393, 1, 0)</f>
        <v>1</v>
      </c>
    </row>
    <row r="394" spans="1:17" x14ac:dyDescent="0.35">
      <c r="A394" s="6" t="s">
        <v>422</v>
      </c>
      <c r="B394" s="6" t="s">
        <v>430</v>
      </c>
      <c r="C394" s="6">
        <v>0.40352557823910834</v>
      </c>
      <c r="D394" s="6">
        <v>-0.42756655356356671</v>
      </c>
      <c r="E394" s="6">
        <v>-0.2393766787931367</v>
      </c>
      <c r="F394" s="6">
        <v>-0.63271513307843041</v>
      </c>
      <c r="G394" s="6">
        <v>-1.540836696605129</v>
      </c>
      <c r="H394" s="6">
        <v>-0.71219519112583407</v>
      </c>
      <c r="I394" s="6">
        <v>-0.57289295606001955</v>
      </c>
      <c r="J394" s="6">
        <v>-0.79315648316693987</v>
      </c>
      <c r="K394" s="6">
        <v>-0.10085087711214884</v>
      </c>
      <c r="L394" s="6">
        <v>-0.21610174186448539</v>
      </c>
      <c r="N394" s="8">
        <f t="shared" si="18"/>
        <v>2.0685046947853181</v>
      </c>
      <c r="O394" s="8">
        <f t="shared" si="19"/>
        <v>6.5964029501967367</v>
      </c>
      <c r="P394" s="12">
        <f t="shared" si="20"/>
        <v>0</v>
      </c>
      <c r="Q394" s="11">
        <f>IF(P394=Sheet1!M394, 1, 0)</f>
        <v>1</v>
      </c>
    </row>
    <row r="395" spans="1:17" x14ac:dyDescent="0.35">
      <c r="A395" s="6" t="s">
        <v>422</v>
      </c>
      <c r="B395" s="6" t="s">
        <v>431</v>
      </c>
      <c r="C395" s="6">
        <v>0.58067245069865003</v>
      </c>
      <c r="D395" s="6">
        <v>-2.247333558081379E-2</v>
      </c>
      <c r="E395" s="6">
        <v>-0.99605384942326358</v>
      </c>
      <c r="F395" s="6">
        <v>-0.79910679185320677</v>
      </c>
      <c r="G395" s="6">
        <v>-1.0907928515395726</v>
      </c>
      <c r="H395" s="6">
        <v>-0.32868749685130361</v>
      </c>
      <c r="I395" s="6">
        <v>0.58288700566239682</v>
      </c>
      <c r="J395" s="6">
        <v>-0.61474796994210812</v>
      </c>
      <c r="K395" s="6">
        <v>0.84434942189845885</v>
      </c>
      <c r="L395" s="6">
        <v>-0.37789659003027154</v>
      </c>
      <c r="N395" s="8">
        <f t="shared" si="18"/>
        <v>1.3936704727020142</v>
      </c>
      <c r="O395" s="8">
        <f t="shared" si="19"/>
        <v>6.6318731196367615</v>
      </c>
      <c r="P395" s="12">
        <f t="shared" si="20"/>
        <v>0</v>
      </c>
      <c r="Q395" s="11">
        <f>IF(P395=Sheet1!M395, 1, 0)</f>
        <v>1</v>
      </c>
    </row>
    <row r="396" spans="1:17" x14ac:dyDescent="0.35">
      <c r="A396" s="6" t="s">
        <v>422</v>
      </c>
      <c r="B396" s="6" t="s">
        <v>432</v>
      </c>
      <c r="C396" s="6">
        <v>0.10425472552336802</v>
      </c>
      <c r="D396" s="6">
        <v>0.23531325768093794</v>
      </c>
      <c r="E396" s="6">
        <v>-0.79343824871899404</v>
      </c>
      <c r="F396" s="6">
        <v>-0.22135797666300996</v>
      </c>
      <c r="G396" s="6">
        <v>0.12577728447634071</v>
      </c>
      <c r="H396" s="6">
        <v>5.9667907041866149E-2</v>
      </c>
      <c r="I396" s="6">
        <v>-0.44985625853523992</v>
      </c>
      <c r="J396" s="6">
        <v>-1.0171161061513034</v>
      </c>
      <c r="K396" s="6">
        <v>0.20273994740450488</v>
      </c>
      <c r="L396" s="6">
        <v>-0.32465267777888246</v>
      </c>
      <c r="N396" s="8">
        <f t="shared" si="18"/>
        <v>2.2567903782957073</v>
      </c>
      <c r="O396" s="8">
        <f t="shared" si="19"/>
        <v>5.918103454009862</v>
      </c>
      <c r="P396" s="12">
        <f t="shared" si="20"/>
        <v>0</v>
      </c>
      <c r="Q396" s="11">
        <f>IF(P396=Sheet1!M396, 1, 0)</f>
        <v>1</v>
      </c>
    </row>
    <row r="397" spans="1:17" x14ac:dyDescent="0.35">
      <c r="A397" s="6" t="s">
        <v>422</v>
      </c>
      <c r="B397" s="6" t="s">
        <v>433</v>
      </c>
      <c r="C397" s="6">
        <v>0.25456116276176671</v>
      </c>
      <c r="D397" s="6">
        <v>0.11869551311014578</v>
      </c>
      <c r="E397" s="6">
        <v>-0.96437213731314142</v>
      </c>
      <c r="F397" s="6">
        <v>-0.65890641270038408</v>
      </c>
      <c r="G397" s="6">
        <v>-1.1575735511299463</v>
      </c>
      <c r="H397" s="6">
        <v>-0.83123339398351814</v>
      </c>
      <c r="I397" s="6">
        <v>0.46558777071649221</v>
      </c>
      <c r="J397" s="6">
        <v>-0.64891130226175675</v>
      </c>
      <c r="K397" s="6">
        <v>-1.258877733515871</v>
      </c>
      <c r="L397" s="6">
        <v>-0.42387714321651054</v>
      </c>
      <c r="N397" s="8">
        <f t="shared" si="18"/>
        <v>2.0635065709703304</v>
      </c>
      <c r="O397" s="8">
        <f t="shared" si="19"/>
        <v>6.3529046488942935</v>
      </c>
      <c r="P397" s="12">
        <f t="shared" si="20"/>
        <v>0</v>
      </c>
      <c r="Q397" s="11">
        <f>IF(P397=Sheet1!M397, 1, 0)</f>
        <v>1</v>
      </c>
    </row>
    <row r="398" spans="1:17" x14ac:dyDescent="0.35">
      <c r="A398" s="6" t="s">
        <v>422</v>
      </c>
      <c r="B398" s="6" t="s">
        <v>434</v>
      </c>
      <c r="C398" s="6">
        <v>0.21832657521322421</v>
      </c>
      <c r="D398" s="6">
        <v>0.17393549738052108</v>
      </c>
      <c r="E398" s="6">
        <v>-0.52856439979832148</v>
      </c>
      <c r="F398" s="6">
        <v>-0.22289864017018243</v>
      </c>
      <c r="G398" s="6">
        <v>1.5443954718331364E-2</v>
      </c>
      <c r="H398" s="6">
        <v>0.14423350816700806</v>
      </c>
      <c r="I398" s="6">
        <v>-0.136208304223365</v>
      </c>
      <c r="J398" s="6">
        <v>-0.78936055735364574</v>
      </c>
      <c r="K398" s="6">
        <v>-0.15562241761772946</v>
      </c>
      <c r="L398" s="6">
        <v>-0.27262521080181035</v>
      </c>
      <c r="N398" s="8">
        <f t="shared" si="18"/>
        <v>2.09869529749326</v>
      </c>
      <c r="O398" s="8">
        <f t="shared" si="19"/>
        <v>5.5862481588274937</v>
      </c>
      <c r="P398" s="12">
        <f t="shared" si="20"/>
        <v>0</v>
      </c>
      <c r="Q398" s="11">
        <f>IF(P398=Sheet1!M398, 1, 0)</f>
        <v>1</v>
      </c>
    </row>
    <row r="399" spans="1:17" x14ac:dyDescent="0.35">
      <c r="A399" s="6" t="s">
        <v>422</v>
      </c>
      <c r="B399" s="6" t="s">
        <v>435</v>
      </c>
      <c r="C399" s="6">
        <v>-0.68485406997822584</v>
      </c>
      <c r="D399" s="6">
        <v>2.0152683063930339</v>
      </c>
      <c r="E399" s="6">
        <v>1.6832611758897418</v>
      </c>
      <c r="F399" s="6">
        <v>1.813858516313658</v>
      </c>
      <c r="G399" s="6">
        <v>0.41612815226056837</v>
      </c>
      <c r="H399" s="6">
        <v>0.7830539090231784</v>
      </c>
      <c r="I399" s="6">
        <v>0.83469786329083306</v>
      </c>
      <c r="J399" s="6">
        <v>0.96815309420161288</v>
      </c>
      <c r="K399" s="6">
        <v>-0.68768881110052227</v>
      </c>
      <c r="L399" s="6">
        <v>-0.11656280640300744</v>
      </c>
      <c r="N399" s="8">
        <f t="shared" si="18"/>
        <v>4.9106076970968857</v>
      </c>
      <c r="O399" s="8">
        <f t="shared" si="19"/>
        <v>1.4013761244052085</v>
      </c>
      <c r="P399" s="12">
        <f t="shared" si="20"/>
        <v>1</v>
      </c>
      <c r="Q399" s="11">
        <f>IF(P399=Sheet1!M399, 1, 0)</f>
        <v>0</v>
      </c>
    </row>
    <row r="400" spans="1:17" x14ac:dyDescent="0.35">
      <c r="A400" s="6" t="s">
        <v>436</v>
      </c>
      <c r="B400" s="6" t="s">
        <v>437</v>
      </c>
      <c r="C400" s="6">
        <v>2.3733419859939892E-2</v>
      </c>
      <c r="D400" s="6">
        <v>-0.21888216854214865</v>
      </c>
      <c r="E400" s="6">
        <v>-0.46593775958063821</v>
      </c>
      <c r="F400" s="6">
        <v>-0.33382641268670005</v>
      </c>
      <c r="G400" s="6">
        <v>-0.33007357794489894</v>
      </c>
      <c r="H400" s="6">
        <v>-8.7917919125580113E-2</v>
      </c>
      <c r="I400" s="6">
        <v>0.27880148898198187</v>
      </c>
      <c r="J400" s="6">
        <v>-0.85389129617964865</v>
      </c>
      <c r="K400" s="6">
        <v>-6.1728348179590609E-2</v>
      </c>
      <c r="L400" s="6">
        <v>-0.38025839572700249</v>
      </c>
      <c r="N400" s="8">
        <f t="shared" si="18"/>
        <v>2.0770972181084928</v>
      </c>
      <c r="O400" s="8">
        <f t="shared" si="19"/>
        <v>5.8426890494416721</v>
      </c>
      <c r="P400" s="12">
        <f t="shared" si="20"/>
        <v>0</v>
      </c>
      <c r="Q400" s="11">
        <f>IF(P400=Sheet1!M400, 1, 0)</f>
        <v>1</v>
      </c>
    </row>
    <row r="401" spans="1:17" x14ac:dyDescent="0.35">
      <c r="A401" s="6" t="s">
        <v>436</v>
      </c>
      <c r="B401" s="6" t="s">
        <v>438</v>
      </c>
      <c r="C401" s="6">
        <v>-0.6499615041907405</v>
      </c>
      <c r="D401" s="6">
        <v>-0.37846434532323298</v>
      </c>
      <c r="E401" s="6">
        <v>0.11317446643229245</v>
      </c>
      <c r="F401" s="6">
        <v>-4.7263000352362507E-2</v>
      </c>
      <c r="G401" s="6">
        <v>-0.45202094241427504</v>
      </c>
      <c r="H401" s="6">
        <v>0.8013674786935916</v>
      </c>
      <c r="I401" s="6">
        <v>0.14620235382574223</v>
      </c>
      <c r="J401" s="6">
        <v>-0.72862574434093696</v>
      </c>
      <c r="K401" s="6">
        <v>-0.62665766596573136</v>
      </c>
      <c r="L401" s="6">
        <v>-0.27060079696389028</v>
      </c>
      <c r="N401" s="8">
        <f t="shared" si="18"/>
        <v>2.9988187548854297</v>
      </c>
      <c r="O401" s="8">
        <f t="shared" si="19"/>
        <v>5.2605571625680705</v>
      </c>
      <c r="P401" s="12">
        <f t="shared" si="20"/>
        <v>0</v>
      </c>
      <c r="Q401" s="11">
        <f>IF(P401=Sheet1!M401, 1, 0)</f>
        <v>1</v>
      </c>
    </row>
    <row r="402" spans="1:17" x14ac:dyDescent="0.35">
      <c r="A402" s="6" t="s">
        <v>436</v>
      </c>
      <c r="B402" s="6" t="s">
        <v>439</v>
      </c>
      <c r="C402" s="6">
        <v>-0.38424119550142821</v>
      </c>
      <c r="D402" s="6">
        <v>-1.0229308284776129</v>
      </c>
      <c r="E402" s="6">
        <v>0.55413969196503932</v>
      </c>
      <c r="F402" s="6">
        <v>-0.14432480130431705</v>
      </c>
      <c r="G402" s="6">
        <v>0.2738562270462942</v>
      </c>
      <c r="H402" s="6">
        <v>3.2197552536246406E-2</v>
      </c>
      <c r="I402" s="6">
        <v>0.77094827908110242</v>
      </c>
      <c r="J402" s="6">
        <v>-0.37560464370456742</v>
      </c>
      <c r="K402" s="6">
        <v>0.7598447594041321</v>
      </c>
      <c r="L402" s="6">
        <v>-0.33040520165835208</v>
      </c>
      <c r="N402" s="8">
        <f t="shared" si="18"/>
        <v>3.3283670320524736</v>
      </c>
      <c r="O402" s="8">
        <f t="shared" si="19"/>
        <v>5.6660263578880068</v>
      </c>
      <c r="P402" s="12">
        <f t="shared" si="20"/>
        <v>0</v>
      </c>
      <c r="Q402" s="11">
        <f>IF(P402=Sheet1!M402, 1, 0)</f>
        <v>1</v>
      </c>
    </row>
    <row r="403" spans="1:17" x14ac:dyDescent="0.35">
      <c r="A403" s="6" t="s">
        <v>436</v>
      </c>
      <c r="B403" s="6" t="s">
        <v>440</v>
      </c>
      <c r="C403" s="6">
        <v>0.26932340213339512</v>
      </c>
      <c r="D403" s="6">
        <v>-1.1272730209883219</v>
      </c>
      <c r="E403" s="6">
        <v>-0.40883699938216223</v>
      </c>
      <c r="F403" s="6">
        <v>-0.82683873498233507</v>
      </c>
      <c r="G403" s="6">
        <v>-0.91948583954688146</v>
      </c>
      <c r="H403" s="6">
        <v>0.23041501249836371</v>
      </c>
      <c r="I403" s="6">
        <v>0.85446023439584973</v>
      </c>
      <c r="J403" s="6">
        <v>-1.0171161061513034</v>
      </c>
      <c r="K403" s="6">
        <v>-0.32463174260638072</v>
      </c>
      <c r="L403" s="6">
        <v>-0.31145544697133976</v>
      </c>
      <c r="N403" s="8">
        <f t="shared" si="18"/>
        <v>2.6550265252037346</v>
      </c>
      <c r="O403" s="8">
        <f t="shared" si="19"/>
        <v>6.6225834938955428</v>
      </c>
      <c r="P403" s="12">
        <f t="shared" si="20"/>
        <v>0</v>
      </c>
      <c r="Q403" s="11">
        <f>IF(P403=Sheet1!M403, 1, 0)</f>
        <v>1</v>
      </c>
    </row>
    <row r="404" spans="1:17" x14ac:dyDescent="0.35">
      <c r="A404" s="6" t="s">
        <v>436</v>
      </c>
      <c r="B404" s="6" t="s">
        <v>441</v>
      </c>
      <c r="C404" s="6">
        <v>-0.53991571978405561</v>
      </c>
      <c r="D404" s="6">
        <v>-0.58101095431460936</v>
      </c>
      <c r="E404" s="6">
        <v>8.0387578318328823E-2</v>
      </c>
      <c r="F404" s="6">
        <v>-0.33998906671539642</v>
      </c>
      <c r="G404" s="6">
        <v>-0.68430163664165644</v>
      </c>
      <c r="H404" s="6">
        <v>0.69741103909389479</v>
      </c>
      <c r="I404" s="6">
        <v>0.75883585808125376</v>
      </c>
      <c r="J404" s="6">
        <v>-0.4287476050906876</v>
      </c>
      <c r="K404" s="6">
        <v>-0.56719142198824135</v>
      </c>
      <c r="L404" s="6">
        <v>-0.31459600999623583</v>
      </c>
      <c r="N404" s="8">
        <f t="shared" si="18"/>
        <v>2.8372349905765706</v>
      </c>
      <c r="O404" s="8">
        <f t="shared" si="19"/>
        <v>5.4355213470672732</v>
      </c>
      <c r="P404" s="12">
        <f t="shared" si="20"/>
        <v>0</v>
      </c>
      <c r="Q404" s="11">
        <f>IF(P404=Sheet1!M404, 1, 0)</f>
        <v>1</v>
      </c>
    </row>
    <row r="405" spans="1:17" x14ac:dyDescent="0.35">
      <c r="A405" s="6" t="s">
        <v>436</v>
      </c>
      <c r="B405" s="6" t="s">
        <v>442</v>
      </c>
      <c r="C405" s="6">
        <v>-0.63519926481911193</v>
      </c>
      <c r="D405" s="6">
        <v>-0.14522885618164863</v>
      </c>
      <c r="E405" s="6">
        <v>-0.30237171101210053</v>
      </c>
      <c r="F405" s="6">
        <v>5.5961454628286257E-2</v>
      </c>
      <c r="G405" s="6">
        <v>0.2303035968786625</v>
      </c>
      <c r="H405" s="6">
        <v>1.0771482925539284</v>
      </c>
      <c r="I405" s="6">
        <v>0.65811151502987852</v>
      </c>
      <c r="J405" s="6">
        <v>-0.28829834999879883</v>
      </c>
      <c r="K405" s="6">
        <v>-8.989656901103138E-2</v>
      </c>
      <c r="L405" s="6">
        <v>-0.14460149699993666</v>
      </c>
      <c r="N405" s="8">
        <f t="shared" si="18"/>
        <v>2.9993722766268598</v>
      </c>
      <c r="O405" s="8">
        <f t="shared" si="19"/>
        <v>5.0256061102046248</v>
      </c>
      <c r="P405" s="12">
        <f t="shared" si="20"/>
        <v>0</v>
      </c>
      <c r="Q405" s="11">
        <f>IF(P405=Sheet1!M405, 1, 0)</f>
        <v>1</v>
      </c>
    </row>
    <row r="406" spans="1:17" x14ac:dyDescent="0.35">
      <c r="A406" s="6" t="s">
        <v>436</v>
      </c>
      <c r="B406" s="6" t="s">
        <v>443</v>
      </c>
      <c r="C406" s="6">
        <v>-0.46073643588168478</v>
      </c>
      <c r="D406" s="6">
        <v>-0.40301544944339984</v>
      </c>
      <c r="E406" s="6">
        <v>-0.30200331901082006</v>
      </c>
      <c r="F406" s="6">
        <v>-0.33536707619387468</v>
      </c>
      <c r="G406" s="6">
        <v>-0.66107356721891863</v>
      </c>
      <c r="H406" s="6">
        <v>0.53474344966846132</v>
      </c>
      <c r="I406" s="6">
        <v>0.20867694635127762</v>
      </c>
      <c r="J406" s="6">
        <v>-0.92980981244553462</v>
      </c>
      <c r="K406" s="6">
        <v>0.38270358049427139</v>
      </c>
      <c r="L406" s="6">
        <v>-0.30062169346198359</v>
      </c>
      <c r="N406" s="8">
        <f t="shared" si="18"/>
        <v>2.4960298990244865</v>
      </c>
      <c r="O406" s="8">
        <f t="shared" si="19"/>
        <v>5.9028937788384717</v>
      </c>
      <c r="P406" s="12">
        <f t="shared" si="20"/>
        <v>0</v>
      </c>
      <c r="Q406" s="11">
        <f>IF(P406=Sheet1!M406, 1, 0)</f>
        <v>1</v>
      </c>
    </row>
    <row r="407" spans="1:17" x14ac:dyDescent="0.35">
      <c r="A407" s="6" t="s">
        <v>436</v>
      </c>
      <c r="B407" s="6" t="s">
        <v>444</v>
      </c>
      <c r="C407" s="6">
        <v>-0.36276884732451409</v>
      </c>
      <c r="D407" s="6">
        <v>-0.26184660075244082</v>
      </c>
      <c r="E407" s="6">
        <v>0.26053126694448853</v>
      </c>
      <c r="F407" s="6">
        <v>7.4449416714371067E-2</v>
      </c>
      <c r="G407" s="6">
        <v>-0.17909112669709756</v>
      </c>
      <c r="H407" s="6">
        <v>0.56760014819479043</v>
      </c>
      <c r="I407" s="6">
        <v>-0.11198346222366763</v>
      </c>
      <c r="J407" s="6">
        <v>0.47088681266006011</v>
      </c>
      <c r="K407" s="6">
        <v>-1.5421248429875929</v>
      </c>
      <c r="L407" s="6">
        <v>-0.19982868079841778</v>
      </c>
      <c r="N407" s="8">
        <f t="shared" si="18"/>
        <v>3.1963260305057748</v>
      </c>
      <c r="O407" s="8">
        <f t="shared" si="19"/>
        <v>4.7235039894944011</v>
      </c>
      <c r="P407" s="12">
        <f t="shared" si="20"/>
        <v>0</v>
      </c>
      <c r="Q407" s="11">
        <f>IF(P407=Sheet1!M407, 1, 0)</f>
        <v>1</v>
      </c>
    </row>
    <row r="408" spans="1:17" x14ac:dyDescent="0.35">
      <c r="A408" s="6" t="s">
        <v>436</v>
      </c>
      <c r="B408" s="6" t="s">
        <v>445</v>
      </c>
      <c r="C408" s="6">
        <v>0.26932340213339512</v>
      </c>
      <c r="D408" s="6">
        <v>-0.31708658502281611</v>
      </c>
      <c r="E408" s="6">
        <v>0.43993817156808729</v>
      </c>
      <c r="F408" s="6">
        <v>-0.11043020414649235</v>
      </c>
      <c r="G408" s="6">
        <v>-0.83528408788945363</v>
      </c>
      <c r="H408" s="6">
        <v>0.49272996630692556</v>
      </c>
      <c r="I408" s="6">
        <v>0.26796405966632758</v>
      </c>
      <c r="J408" s="6">
        <v>0.30386607687511136</v>
      </c>
      <c r="K408" s="6">
        <v>-0.78784248516786914</v>
      </c>
      <c r="L408" s="6">
        <v>-9.3264234263914961E-2</v>
      </c>
      <c r="N408" s="8">
        <f t="shared" si="18"/>
        <v>2.4801810576518237</v>
      </c>
      <c r="O408" s="8">
        <f t="shared" si="19"/>
        <v>4.9512505809704477</v>
      </c>
      <c r="P408" s="12">
        <f t="shared" si="20"/>
        <v>0</v>
      </c>
      <c r="Q408" s="11">
        <f>IF(P408=Sheet1!M408, 1, 0)</f>
        <v>1</v>
      </c>
    </row>
    <row r="409" spans="1:17" x14ac:dyDescent="0.35">
      <c r="A409" s="6" t="s">
        <v>436</v>
      </c>
      <c r="B409" s="6" t="s">
        <v>446</v>
      </c>
      <c r="C409" s="6">
        <v>-0.4822087840585989</v>
      </c>
      <c r="D409" s="6">
        <v>-0.12067775206148122</v>
      </c>
      <c r="E409" s="6">
        <v>0.25500538692528119</v>
      </c>
      <c r="F409" s="6">
        <v>0.18537718923088869</v>
      </c>
      <c r="G409" s="6">
        <v>-0.17038060066357452</v>
      </c>
      <c r="H409" s="6">
        <v>0.90047620867465017</v>
      </c>
      <c r="I409" s="6">
        <v>0.75692337055496173</v>
      </c>
      <c r="J409" s="6">
        <v>0.63790754844500919</v>
      </c>
      <c r="K409" s="6">
        <v>-1.7721653131110351</v>
      </c>
      <c r="L409" s="6">
        <v>-0.35300216087645908</v>
      </c>
      <c r="N409" s="8">
        <f t="shared" si="18"/>
        <v>3.5194034507485386</v>
      </c>
      <c r="O409" s="8">
        <f t="shared" si="19"/>
        <v>4.4317609549492953</v>
      </c>
      <c r="P409" s="12">
        <f t="shared" si="20"/>
        <v>0</v>
      </c>
      <c r="Q409" s="11">
        <f>IF(P409=Sheet1!M409, 1, 0)</f>
        <v>1</v>
      </c>
    </row>
    <row r="410" spans="1:17" x14ac:dyDescent="0.35">
      <c r="A410" s="6" t="s">
        <v>436</v>
      </c>
      <c r="B410" s="6" t="s">
        <v>447</v>
      </c>
      <c r="C410" s="6">
        <v>-0.23527678002408661</v>
      </c>
      <c r="D410" s="6">
        <v>-0.74059313109569369</v>
      </c>
      <c r="E410" s="6">
        <v>-0.47698951961905289</v>
      </c>
      <c r="F410" s="6">
        <v>-0.54335664966234465</v>
      </c>
      <c r="G410" s="6">
        <v>-0.71043321474223786</v>
      </c>
      <c r="H410" s="6">
        <v>0.91986704714920509</v>
      </c>
      <c r="I410" s="6">
        <v>0.31577624782362557</v>
      </c>
      <c r="J410" s="6">
        <v>-0.34523723719821309</v>
      </c>
      <c r="K410" s="6">
        <v>-0.59379474166238111</v>
      </c>
      <c r="L410" s="6">
        <v>2.736809669632179E-2</v>
      </c>
      <c r="N410" s="8">
        <f t="shared" si="18"/>
        <v>2.6090439051412964</v>
      </c>
      <c r="O410" s="8">
        <f t="shared" si="19"/>
        <v>5.8921990422563848</v>
      </c>
      <c r="P410" s="12">
        <f t="shared" si="20"/>
        <v>0</v>
      </c>
      <c r="Q410" s="11">
        <f>IF(P410=Sheet1!M410, 1, 0)</f>
        <v>1</v>
      </c>
    </row>
    <row r="411" spans="1:17" x14ac:dyDescent="0.35">
      <c r="A411" s="6" t="s">
        <v>436</v>
      </c>
      <c r="B411" s="6" t="s">
        <v>448</v>
      </c>
      <c r="C411" s="6">
        <v>-0.63654128658016906</v>
      </c>
      <c r="D411" s="6">
        <v>-0.37846434532323298</v>
      </c>
      <c r="E411" s="6">
        <v>-0.28247854294295405</v>
      </c>
      <c r="F411" s="6">
        <v>-0.14432480130431705</v>
      </c>
      <c r="G411" s="6">
        <v>4.4479041496756612E-2</v>
      </c>
      <c r="H411" s="6">
        <v>0.81806514515779172</v>
      </c>
      <c r="I411" s="6">
        <v>0.72951104934477717</v>
      </c>
      <c r="J411" s="6">
        <v>-0.43254353090398201</v>
      </c>
      <c r="K411" s="6">
        <v>-1.6469732205268492</v>
      </c>
      <c r="L411" s="6">
        <v>-0.30043069210065393</v>
      </c>
      <c r="N411" s="8">
        <f t="shared" si="18"/>
        <v>3.4352746269324643</v>
      </c>
      <c r="O411" s="8">
        <f t="shared" si="19"/>
        <v>5.281290553399411</v>
      </c>
      <c r="P411" s="12">
        <f t="shared" si="20"/>
        <v>0</v>
      </c>
      <c r="Q411" s="11">
        <f>IF(P411=Sheet1!M411, 1, 0)</f>
        <v>1</v>
      </c>
    </row>
    <row r="412" spans="1:17" x14ac:dyDescent="0.35">
      <c r="A412" s="6" t="s">
        <v>436</v>
      </c>
      <c r="B412" s="6" t="s">
        <v>449</v>
      </c>
      <c r="C412" s="6">
        <v>-0.78013761501328227</v>
      </c>
      <c r="D412" s="6">
        <v>-0.85107309963644484</v>
      </c>
      <c r="E412" s="6">
        <v>0.80317268483065063</v>
      </c>
      <c r="F412" s="6">
        <v>-4.7263000352362507E-2</v>
      </c>
      <c r="G412" s="6">
        <v>-0.63203848044049338</v>
      </c>
      <c r="H412" s="6">
        <v>0.96026462730452788</v>
      </c>
      <c r="I412" s="6">
        <v>0.17425217087802358</v>
      </c>
      <c r="J412" s="6">
        <v>-0.28070649837221007</v>
      </c>
      <c r="K412" s="6">
        <v>-0.76436896780833552</v>
      </c>
      <c r="L412" s="6">
        <v>-0.17540938346336432</v>
      </c>
      <c r="N412" s="8">
        <f t="shared" si="18"/>
        <v>3.5484098812696465</v>
      </c>
      <c r="O412" s="8">
        <f t="shared" si="19"/>
        <v>5.1463781349441122</v>
      </c>
      <c r="P412" s="12">
        <f t="shared" si="20"/>
        <v>0</v>
      </c>
      <c r="Q412" s="11">
        <f>IF(P412=Sheet1!M412, 1, 0)</f>
        <v>1</v>
      </c>
    </row>
    <row r="413" spans="1:17" x14ac:dyDescent="0.35">
      <c r="A413" s="6" t="s">
        <v>436</v>
      </c>
      <c r="B413" s="6" t="s">
        <v>450</v>
      </c>
      <c r="C413" s="6">
        <v>-0.97070470508339501</v>
      </c>
      <c r="D413" s="6">
        <v>-0.30481103296273238</v>
      </c>
      <c r="E413" s="6">
        <v>0.69118151644138159</v>
      </c>
      <c r="F413" s="6">
        <v>0.24854439302501855</v>
      </c>
      <c r="G413" s="6">
        <v>0.10254921505360297</v>
      </c>
      <c r="H413" s="6">
        <v>1.148248033627296</v>
      </c>
      <c r="I413" s="6">
        <v>0.88633502650071505</v>
      </c>
      <c r="J413" s="6">
        <v>-4.9155023761258312E-2</v>
      </c>
      <c r="K413" s="6">
        <v>-1.6845308483021044</v>
      </c>
      <c r="L413" s="6">
        <v>-0.27368302109798315</v>
      </c>
      <c r="N413" s="8">
        <f t="shared" si="18"/>
        <v>4.1146233997361517</v>
      </c>
      <c r="O413" s="8">
        <f t="shared" si="19"/>
        <v>4.4570315991528311</v>
      </c>
      <c r="P413" s="12">
        <f t="shared" si="20"/>
        <v>0</v>
      </c>
      <c r="Q413" s="11">
        <f>IF(P413=Sheet1!M413, 1, 0)</f>
        <v>1</v>
      </c>
    </row>
    <row r="414" spans="1:17" x14ac:dyDescent="0.35">
      <c r="A414" s="6" t="s">
        <v>436</v>
      </c>
      <c r="B414" s="6" t="s">
        <v>451</v>
      </c>
      <c r="C414" s="6">
        <v>-0.46476250116485612</v>
      </c>
      <c r="D414" s="6">
        <v>-0.34777546517302454</v>
      </c>
      <c r="E414" s="6">
        <v>0.60092547612766156</v>
      </c>
      <c r="F414" s="6">
        <v>0.23467842146045328</v>
      </c>
      <c r="G414" s="6">
        <v>3.2865006785385689E-2</v>
      </c>
      <c r="H414" s="6">
        <v>0.94356696084032765</v>
      </c>
      <c r="I414" s="6">
        <v>0.42925050771694617</v>
      </c>
      <c r="J414" s="6">
        <v>-0.379400569517862</v>
      </c>
      <c r="K414" s="6">
        <v>-1.8285017547739189</v>
      </c>
      <c r="L414" s="6">
        <v>-0.17743181227455573</v>
      </c>
      <c r="N414" s="8">
        <f t="shared" si="18"/>
        <v>3.8399970631188851</v>
      </c>
      <c r="O414" s="8">
        <f t="shared" si="19"/>
        <v>4.700032989663093</v>
      </c>
      <c r="P414" s="12">
        <f t="shared" si="20"/>
        <v>0</v>
      </c>
      <c r="Q414" s="11">
        <f>IF(P414=Sheet1!M414, 1, 0)</f>
        <v>1</v>
      </c>
    </row>
    <row r="415" spans="1:17" x14ac:dyDescent="0.35">
      <c r="A415" s="6" t="s">
        <v>436</v>
      </c>
      <c r="B415" s="6" t="s">
        <v>452</v>
      </c>
      <c r="C415" s="6">
        <v>2.6417463382054338E-2</v>
      </c>
      <c r="D415" s="6">
        <v>0.29055324195131327</v>
      </c>
      <c r="E415" s="6">
        <v>0.23879613886893963</v>
      </c>
      <c r="F415" s="6">
        <v>0.45961529350783564</v>
      </c>
      <c r="G415" s="6">
        <v>0.36967201341509293</v>
      </c>
      <c r="H415" s="6">
        <v>0.64139306127851359</v>
      </c>
      <c r="I415" s="6">
        <v>-0.7717916587943795</v>
      </c>
      <c r="J415" s="6">
        <v>-1.0322998094044806</v>
      </c>
      <c r="K415" s="6">
        <v>0.49694136497734204</v>
      </c>
      <c r="L415" s="6">
        <v>-0.35688073594403807</v>
      </c>
      <c r="N415" s="8">
        <f t="shared" si="18"/>
        <v>3.1621665748149321</v>
      </c>
      <c r="O415" s="8">
        <f t="shared" si="19"/>
        <v>5.161673210351343</v>
      </c>
      <c r="P415" s="12">
        <f t="shared" si="20"/>
        <v>0</v>
      </c>
      <c r="Q415" s="11">
        <f>IF(P415=Sheet1!M415, 1, 0)</f>
        <v>1</v>
      </c>
    </row>
    <row r="416" spans="1:17" x14ac:dyDescent="0.35">
      <c r="A416" s="6" t="s">
        <v>436</v>
      </c>
      <c r="B416" s="6" t="s">
        <v>453</v>
      </c>
      <c r="C416" s="6">
        <v>3.4469593948396965E-2</v>
      </c>
      <c r="D416" s="6">
        <v>-5.3162215731022769E-2</v>
      </c>
      <c r="E416" s="6">
        <v>-7.6915806228440506E-2</v>
      </c>
      <c r="F416" s="6">
        <v>0.14223861103002047</v>
      </c>
      <c r="G416" s="6">
        <v>0.22740008820081875</v>
      </c>
      <c r="H416" s="6">
        <v>0.61122953476253905</v>
      </c>
      <c r="I416" s="6">
        <v>-0.11198346222366763</v>
      </c>
      <c r="J416" s="6">
        <v>-9.8502059334084097E-2</v>
      </c>
      <c r="K416" s="6">
        <v>-0.82070540947121928</v>
      </c>
      <c r="L416" s="6">
        <v>-0.24059208226140524</v>
      </c>
      <c r="N416" s="8">
        <f t="shared" si="18"/>
        <v>2.7152171180727018</v>
      </c>
      <c r="O416" s="8">
        <f t="shared" si="19"/>
        <v>4.8471228852312773</v>
      </c>
      <c r="P416" s="12">
        <f t="shared" si="20"/>
        <v>0</v>
      </c>
      <c r="Q416" s="11">
        <f>IF(P416=Sheet1!M416, 1, 0)</f>
        <v>1</v>
      </c>
    </row>
    <row r="417" spans="1:17" x14ac:dyDescent="0.35">
      <c r="A417" s="6" t="s">
        <v>436</v>
      </c>
      <c r="B417" s="6" t="s">
        <v>454</v>
      </c>
      <c r="C417" s="6">
        <v>-4.2297183908844934E-4</v>
      </c>
      <c r="D417" s="6">
        <v>4.5042200749644663E-2</v>
      </c>
      <c r="E417" s="6">
        <v>-1.0649431536627154</v>
      </c>
      <c r="F417" s="6">
        <v>-6.7291625945624156E-2</v>
      </c>
      <c r="G417" s="6">
        <v>1.0868386568421351</v>
      </c>
      <c r="H417" s="6">
        <v>0.35268502176847366</v>
      </c>
      <c r="I417" s="6">
        <v>-0.86486605174058673</v>
      </c>
      <c r="J417" s="6">
        <v>-0.74760537340740851</v>
      </c>
      <c r="K417" s="6">
        <v>1.3341634841340873</v>
      </c>
      <c r="L417" s="6">
        <v>-0.35904105098030498</v>
      </c>
      <c r="N417" s="8">
        <f t="shared" si="18"/>
        <v>3.2488786709476267</v>
      </c>
      <c r="O417" s="8">
        <f t="shared" si="19"/>
        <v>6.3624766071712724</v>
      </c>
      <c r="P417" s="12">
        <f t="shared" si="20"/>
        <v>0</v>
      </c>
      <c r="Q417" s="11">
        <f>IF(P417=Sheet1!M417, 1, 0)</f>
        <v>1</v>
      </c>
    </row>
    <row r="418" spans="1:17" x14ac:dyDescent="0.35">
      <c r="A418" s="6" t="s">
        <v>436</v>
      </c>
      <c r="B418" s="6" t="s">
        <v>455</v>
      </c>
      <c r="C418" s="6">
        <v>0.17672390062045304</v>
      </c>
      <c r="D418" s="6">
        <v>-0.35391324120306611</v>
      </c>
      <c r="E418" s="6">
        <v>0.51987923584595364</v>
      </c>
      <c r="F418" s="6">
        <v>1.4363539934590509E-2</v>
      </c>
      <c r="G418" s="6">
        <v>-0.28652094777726311</v>
      </c>
      <c r="H418" s="6">
        <v>0.88970352063323066</v>
      </c>
      <c r="I418" s="6">
        <v>-7.0546232487342347E-2</v>
      </c>
      <c r="J418" s="6">
        <v>-0.4363394567172762</v>
      </c>
      <c r="K418" s="6">
        <v>-1.000669042560987</v>
      </c>
      <c r="L418" s="6">
        <v>-0.28150977253875203</v>
      </c>
      <c r="N418" s="8">
        <f t="shared" si="18"/>
        <v>3.0339977306935717</v>
      </c>
      <c r="O418" s="8">
        <f t="shared" si="19"/>
        <v>4.9816968406909785</v>
      </c>
      <c r="P418" s="12">
        <f t="shared" si="20"/>
        <v>0</v>
      </c>
      <c r="Q418" s="11">
        <f>IF(P418=Sheet1!M418, 1, 0)</f>
        <v>1</v>
      </c>
    </row>
    <row r="419" spans="1:17" x14ac:dyDescent="0.35">
      <c r="A419" s="6" t="s">
        <v>436</v>
      </c>
      <c r="B419" s="6" t="s">
        <v>456</v>
      </c>
      <c r="C419" s="6">
        <v>-0.7157205704825399</v>
      </c>
      <c r="D419" s="6">
        <v>0.22917548165089638</v>
      </c>
      <c r="E419" s="6">
        <v>0.94353003731851748</v>
      </c>
      <c r="F419" s="6">
        <v>0.52586382431631262</v>
      </c>
      <c r="G419" s="6">
        <v>0.28256675307982132</v>
      </c>
      <c r="H419" s="6">
        <v>0.842842327653056</v>
      </c>
      <c r="I419" s="6">
        <v>-0.38419418679921724</v>
      </c>
      <c r="J419" s="6">
        <v>-3.7767246321375333E-2</v>
      </c>
      <c r="K419" s="6">
        <v>0.57518642284245847</v>
      </c>
      <c r="L419" s="6">
        <v>-0.12398216767400883</v>
      </c>
      <c r="N419" s="8">
        <f t="shared" si="18"/>
        <v>3.5590972324013417</v>
      </c>
      <c r="O419" s="8">
        <f t="shared" si="19"/>
        <v>4.310899634857658</v>
      </c>
      <c r="P419" s="12">
        <f t="shared" si="20"/>
        <v>0</v>
      </c>
      <c r="Q419" s="11">
        <f>IF(P419=Sheet1!M419, 1, 0)</f>
        <v>1</v>
      </c>
    </row>
    <row r="420" spans="1:17" x14ac:dyDescent="0.35">
      <c r="A420" s="6" t="s">
        <v>436</v>
      </c>
      <c r="B420" s="6" t="s">
        <v>457</v>
      </c>
      <c r="C420" s="6">
        <v>-3.7999581148688066E-2</v>
      </c>
      <c r="D420" s="6">
        <v>-0.11453997603143964</v>
      </c>
      <c r="E420" s="6">
        <v>-0.80706875276637213</v>
      </c>
      <c r="F420" s="6">
        <v>-2.723437475910305E-2</v>
      </c>
      <c r="G420" s="6">
        <v>1.0897421655199746</v>
      </c>
      <c r="H420" s="6">
        <v>0.56113653536993924</v>
      </c>
      <c r="I420" s="6">
        <v>-0.78645406316261779</v>
      </c>
      <c r="J420" s="6">
        <v>-0.92980981244553462</v>
      </c>
      <c r="K420" s="6">
        <v>0.32793203998869075</v>
      </c>
      <c r="L420" s="6">
        <v>-0.34700249072176714</v>
      </c>
      <c r="N420" s="8">
        <f t="shared" si="18"/>
        <v>3.2302065308345433</v>
      </c>
      <c r="O420" s="8">
        <f t="shared" si="19"/>
        <v>5.9933184575613589</v>
      </c>
      <c r="P420" s="12">
        <f t="shared" si="20"/>
        <v>0</v>
      </c>
      <c r="Q420" s="11">
        <f>IF(P420=Sheet1!M420, 1, 0)</f>
        <v>1</v>
      </c>
    </row>
    <row r="421" spans="1:17" x14ac:dyDescent="0.35">
      <c r="A421" s="6" t="s">
        <v>436</v>
      </c>
      <c r="B421" s="6" t="s">
        <v>458</v>
      </c>
      <c r="C421" s="6">
        <v>-1.0002291838266519</v>
      </c>
      <c r="D421" s="6">
        <v>1.8372728015218238</v>
      </c>
      <c r="E421" s="6">
        <v>2.494828754710662</v>
      </c>
      <c r="F421" s="6">
        <v>1.9617622130023473</v>
      </c>
      <c r="G421" s="6">
        <v>0.71809305475616292</v>
      </c>
      <c r="H421" s="6">
        <v>0.89131942383944363</v>
      </c>
      <c r="I421" s="6">
        <v>0.92075980197396912</v>
      </c>
      <c r="J421" s="6">
        <v>3.082483772206535</v>
      </c>
      <c r="K421" s="6">
        <v>-1.5280407325718715</v>
      </c>
      <c r="L421" s="6">
        <v>2.1803690407938481</v>
      </c>
      <c r="N421" s="8">
        <f t="shared" si="18"/>
        <v>6.9830753382948219</v>
      </c>
      <c r="O421" s="8">
        <f t="shared" si="19"/>
        <v>3.077085639272545</v>
      </c>
      <c r="P421" s="12">
        <f t="shared" si="20"/>
        <v>1</v>
      </c>
      <c r="Q421" s="11">
        <f>IF(P421=Sheet1!M421, 1, 0)</f>
        <v>0</v>
      </c>
    </row>
    <row r="422" spans="1:17" x14ac:dyDescent="0.35">
      <c r="A422" s="6" t="s">
        <v>436</v>
      </c>
      <c r="B422" s="6" t="s">
        <v>459</v>
      </c>
      <c r="C422" s="6">
        <v>-0.92239192168533823</v>
      </c>
      <c r="D422" s="6">
        <v>1.3585262711785708</v>
      </c>
      <c r="E422" s="6">
        <v>1.2750828384709587</v>
      </c>
      <c r="F422" s="6">
        <v>1.2761669523099801</v>
      </c>
      <c r="G422" s="6">
        <v>0.48000534317309818</v>
      </c>
      <c r="H422" s="6">
        <v>1.131550367163096</v>
      </c>
      <c r="I422" s="6">
        <v>0.88952250571120139</v>
      </c>
      <c r="J422" s="6">
        <v>0.63031569681842048</v>
      </c>
      <c r="K422" s="6">
        <v>-0.39505229468498598</v>
      </c>
      <c r="L422" s="6">
        <v>-0.35108146990886402</v>
      </c>
      <c r="N422" s="8">
        <f t="shared" si="18"/>
        <v>4.4028413217890172</v>
      </c>
      <c r="O422" s="8">
        <f t="shared" si="19"/>
        <v>2.3812938673459736</v>
      </c>
      <c r="P422" s="12">
        <f t="shared" si="20"/>
        <v>1</v>
      </c>
      <c r="Q422" s="11">
        <f>IF(P422=Sheet1!M422, 1, 0)</f>
        <v>0</v>
      </c>
    </row>
    <row r="423" spans="1:17" x14ac:dyDescent="0.35">
      <c r="A423" s="6" t="s">
        <v>436</v>
      </c>
      <c r="B423" s="6" t="s">
        <v>460</v>
      </c>
      <c r="C423" s="6">
        <v>-0.55467795915568396</v>
      </c>
      <c r="D423" s="6">
        <v>1.5365217760497798</v>
      </c>
      <c r="E423" s="6">
        <v>1.0286285896143106</v>
      </c>
      <c r="F423" s="6">
        <v>1.3023582319319358</v>
      </c>
      <c r="G423" s="6">
        <v>0.3667685047372492</v>
      </c>
      <c r="H423" s="6">
        <v>0.80190611309566284</v>
      </c>
      <c r="I423" s="6">
        <v>0.70656119902927417</v>
      </c>
      <c r="J423" s="6">
        <v>1.4312560434235169</v>
      </c>
      <c r="K423" s="6">
        <v>-1.4889182036393132</v>
      </c>
      <c r="L423" s="6">
        <v>-0.33841158757055206</v>
      </c>
      <c r="N423" s="8">
        <f t="shared" si="18"/>
        <v>4.4558546129005361</v>
      </c>
      <c r="O423" s="8">
        <f t="shared" si="19"/>
        <v>2.253064851766422</v>
      </c>
      <c r="P423" s="12">
        <f t="shared" si="20"/>
        <v>1</v>
      </c>
      <c r="Q423" s="11">
        <f>IF(P423=Sheet1!M423, 1, 0)</f>
        <v>0</v>
      </c>
    </row>
    <row r="424" spans="1:17" x14ac:dyDescent="0.35">
      <c r="A424" s="6" t="s">
        <v>461</v>
      </c>
      <c r="B424" s="6" t="s">
        <v>462</v>
      </c>
      <c r="C424" s="6">
        <v>0.22101061873533842</v>
      </c>
      <c r="D424" s="6">
        <v>-0.31708658502281611</v>
      </c>
      <c r="E424" s="6">
        <v>-1.1054662738035692</v>
      </c>
      <c r="F424" s="6">
        <v>-0.5556819577197375</v>
      </c>
      <c r="G424" s="6">
        <v>-0.36781919075684721</v>
      </c>
      <c r="H424" s="6">
        <v>0.11676315366138909</v>
      </c>
      <c r="I424" s="6">
        <v>0.81876046723840046</v>
      </c>
      <c r="J424" s="6">
        <v>-0.12127761421384972</v>
      </c>
      <c r="K424" s="6">
        <v>-0.78940738632517227</v>
      </c>
      <c r="L424" s="6">
        <v>-0.39944980129945162</v>
      </c>
      <c r="N424" s="8">
        <f t="shared" si="18"/>
        <v>2.0175934365471693</v>
      </c>
      <c r="O424" s="8">
        <f t="shared" si="19"/>
        <v>5.9882883233506572</v>
      </c>
      <c r="P424" s="12">
        <f t="shared" si="20"/>
        <v>0</v>
      </c>
      <c r="Q424" s="11">
        <f>IF(P424=Sheet1!M424, 1, 0)</f>
        <v>1</v>
      </c>
    </row>
    <row r="425" spans="1:17" x14ac:dyDescent="0.35">
      <c r="A425" s="6" t="s">
        <v>461</v>
      </c>
      <c r="B425" s="6" t="s">
        <v>463</v>
      </c>
      <c r="C425" s="6">
        <v>0.17001379181516729</v>
      </c>
      <c r="D425" s="6">
        <v>1.4353320599436772E-2</v>
      </c>
      <c r="E425" s="6">
        <v>-0.77612382465881091</v>
      </c>
      <c r="F425" s="6">
        <v>-0.11659285817518657</v>
      </c>
      <c r="G425" s="6">
        <v>0.21868956216729157</v>
      </c>
      <c r="H425" s="6">
        <v>0.14261760496079509</v>
      </c>
      <c r="I425" s="6">
        <v>0.44391291208518358</v>
      </c>
      <c r="J425" s="6">
        <v>-3.3971320508081118E-2</v>
      </c>
      <c r="K425" s="6">
        <v>-0.46390794560628812</v>
      </c>
      <c r="L425" s="6">
        <v>-0.34966833982826817</v>
      </c>
      <c r="N425" s="8">
        <f t="shared" si="18"/>
        <v>2.0930872765151771</v>
      </c>
      <c r="O425" s="8">
        <f t="shared" si="19"/>
        <v>5.350598881213946</v>
      </c>
      <c r="P425" s="12">
        <f t="shared" si="20"/>
        <v>0</v>
      </c>
      <c r="Q425" s="11">
        <f>IF(P425=Sheet1!M425, 1, 0)</f>
        <v>1</v>
      </c>
    </row>
    <row r="426" spans="1:17" x14ac:dyDescent="0.35">
      <c r="A426" s="6" t="s">
        <v>461</v>
      </c>
      <c r="B426" s="6" t="s">
        <v>464</v>
      </c>
      <c r="C426" s="6">
        <v>0.10157068200125358</v>
      </c>
      <c r="D426" s="6">
        <v>0.47468652285256496</v>
      </c>
      <c r="E426" s="6">
        <v>-6.4022086183623345E-2</v>
      </c>
      <c r="F426" s="6">
        <v>0.23930041198197502</v>
      </c>
      <c r="G426" s="6">
        <v>0.1925579840667101</v>
      </c>
      <c r="H426" s="6">
        <v>0.6742497598048427</v>
      </c>
      <c r="I426" s="6">
        <v>7.416532366874598E-2</v>
      </c>
      <c r="J426" s="6">
        <v>-0.18960427885314726</v>
      </c>
      <c r="K426" s="6">
        <v>8.3807459449527055E-2</v>
      </c>
      <c r="L426" s="6">
        <v>-0.29540686108575182</v>
      </c>
      <c r="N426" s="8">
        <f t="shared" si="18"/>
        <v>2.417085458015658</v>
      </c>
      <c r="O426" s="8">
        <f t="shared" si="19"/>
        <v>4.6413516044722467</v>
      </c>
      <c r="P426" s="12">
        <f t="shared" si="20"/>
        <v>0</v>
      </c>
      <c r="Q426" s="11">
        <f>IF(P426=Sheet1!M426, 1, 0)</f>
        <v>1</v>
      </c>
    </row>
    <row r="427" spans="1:17" x14ac:dyDescent="0.35">
      <c r="A427" s="6" t="s">
        <v>461</v>
      </c>
      <c r="B427" s="6" t="s">
        <v>465</v>
      </c>
      <c r="C427" s="6">
        <v>2.1049376337825686E-2</v>
      </c>
      <c r="D427" s="6">
        <v>0.33965545019164695</v>
      </c>
      <c r="E427" s="6">
        <v>0.81054052485626049</v>
      </c>
      <c r="F427" s="6">
        <v>0.55975842147413724</v>
      </c>
      <c r="G427" s="6">
        <v>0.45097025639467292</v>
      </c>
      <c r="H427" s="6">
        <v>0.54659340651402255</v>
      </c>
      <c r="I427" s="6">
        <v>3.5278077300810312E-2</v>
      </c>
      <c r="J427" s="6">
        <v>-0.54642130530281074</v>
      </c>
      <c r="K427" s="6">
        <v>5.72041397753872E-2</v>
      </c>
      <c r="L427" s="6">
        <v>-6.1948013797814845E-2</v>
      </c>
      <c r="N427" s="8">
        <f t="shared" si="18"/>
        <v>3.241039135869169</v>
      </c>
      <c r="O427" s="8">
        <f t="shared" si="19"/>
        <v>4.3028533484216656</v>
      </c>
      <c r="P427" s="12">
        <f t="shared" si="20"/>
        <v>0</v>
      </c>
      <c r="Q427" s="11">
        <f>IF(P427=Sheet1!M427, 1, 0)</f>
        <v>1</v>
      </c>
    </row>
    <row r="428" spans="1:17" x14ac:dyDescent="0.35">
      <c r="A428" s="6" t="s">
        <v>461</v>
      </c>
      <c r="B428" s="6" t="s">
        <v>466</v>
      </c>
      <c r="C428" s="6">
        <v>-0.12523099561740172</v>
      </c>
      <c r="D428" s="6">
        <v>-0.20046884045202393</v>
      </c>
      <c r="E428" s="6">
        <v>-0.46630615158191868</v>
      </c>
      <c r="F428" s="6">
        <v>-0.20749200509844473</v>
      </c>
      <c r="G428" s="6">
        <v>0.35225096134803863</v>
      </c>
      <c r="H428" s="6">
        <v>-2.4359059681205286E-2</v>
      </c>
      <c r="I428" s="6">
        <v>0.11815253677345998</v>
      </c>
      <c r="J428" s="6">
        <v>-1.1082183256703664</v>
      </c>
      <c r="K428" s="6">
        <v>0.39365788859538886</v>
      </c>
      <c r="L428" s="6">
        <v>-0.27808146421827878</v>
      </c>
      <c r="N428" s="8">
        <f t="shared" si="18"/>
        <v>2.6370004715268736</v>
      </c>
      <c r="O428" s="8">
        <f t="shared" si="19"/>
        <v>5.8992839657475393</v>
      </c>
      <c r="P428" s="12">
        <f t="shared" si="20"/>
        <v>0</v>
      </c>
      <c r="Q428" s="11">
        <f>IF(P428=Sheet1!M428, 1, 0)</f>
        <v>1</v>
      </c>
    </row>
    <row r="429" spans="1:17" x14ac:dyDescent="0.35">
      <c r="A429" s="6" t="s">
        <v>461</v>
      </c>
      <c r="B429" s="6" t="s">
        <v>467</v>
      </c>
      <c r="C429" s="6">
        <v>-0.2030682577587154</v>
      </c>
      <c r="D429" s="6">
        <v>-0.24343327266231607</v>
      </c>
      <c r="E429" s="6">
        <v>-0.74223176054100581</v>
      </c>
      <c r="F429" s="6">
        <v>-0.56646660226995338</v>
      </c>
      <c r="G429" s="6">
        <v>-0.16457358330788699</v>
      </c>
      <c r="H429" s="6">
        <v>0.28535572150960242</v>
      </c>
      <c r="I429" s="6">
        <v>0.44136292871679483</v>
      </c>
      <c r="J429" s="6">
        <v>-0.71723796690105412</v>
      </c>
      <c r="K429" s="6">
        <v>0.51728508002227158</v>
      </c>
      <c r="L429" s="6">
        <v>-0.35710339325793472</v>
      </c>
      <c r="N429" s="8">
        <f t="shared" si="18"/>
        <v>2.1994856515846553</v>
      </c>
      <c r="O429" s="8">
        <f t="shared" si="19"/>
        <v>6.0480610816198235</v>
      </c>
      <c r="P429" s="12">
        <f t="shared" si="20"/>
        <v>0</v>
      </c>
      <c r="Q429" s="11">
        <f>IF(P429=Sheet1!M429, 1, 0)</f>
        <v>1</v>
      </c>
    </row>
    <row r="430" spans="1:17" x14ac:dyDescent="0.35">
      <c r="A430" s="6" t="s">
        <v>461</v>
      </c>
      <c r="B430" s="6" t="s">
        <v>468</v>
      </c>
      <c r="C430" s="6">
        <v>0.35387077307999454</v>
      </c>
      <c r="D430" s="6">
        <v>-0.16977996030181494</v>
      </c>
      <c r="E430" s="6">
        <v>-0.38489151929893034</v>
      </c>
      <c r="F430" s="6">
        <v>-8.7464126730160494E-3</v>
      </c>
      <c r="G430" s="6">
        <v>0.23901412291218965</v>
      </c>
      <c r="H430" s="6">
        <v>0.41947568762527365</v>
      </c>
      <c r="I430" s="6">
        <v>0.57906203060981287</v>
      </c>
      <c r="J430" s="6">
        <v>-1.0474835126576578</v>
      </c>
      <c r="K430" s="6">
        <v>0.18239623235957309</v>
      </c>
      <c r="L430" s="6">
        <v>-0.39163838680203855</v>
      </c>
      <c r="N430" s="8">
        <f t="shared" si="18"/>
        <v>2.5550143080994596</v>
      </c>
      <c r="O430" s="8">
        <f t="shared" si="19"/>
        <v>5.628400231166574</v>
      </c>
      <c r="P430" s="12">
        <f t="shared" si="20"/>
        <v>0</v>
      </c>
      <c r="Q430" s="11">
        <f>IF(P430=Sheet1!M430, 1, 0)</f>
        <v>1</v>
      </c>
    </row>
    <row r="431" spans="1:17" x14ac:dyDescent="0.35">
      <c r="A431" s="6" t="s">
        <v>461</v>
      </c>
      <c r="B431" s="6" t="s">
        <v>469</v>
      </c>
      <c r="C431" s="6">
        <v>0.20356433584159561</v>
      </c>
      <c r="D431" s="6">
        <v>-0.13295330412156439</v>
      </c>
      <c r="E431" s="6">
        <v>-2.9761630064537754E-2</v>
      </c>
      <c r="F431" s="6">
        <v>-6.5750962438449509E-2</v>
      </c>
      <c r="G431" s="6">
        <v>0.20417201877808103</v>
      </c>
      <c r="H431" s="6">
        <v>0.48357318147171974</v>
      </c>
      <c r="I431" s="6">
        <v>0.12006502429975198</v>
      </c>
      <c r="J431" s="6">
        <v>-0.71344204108775977</v>
      </c>
      <c r="K431" s="6">
        <v>1.6111509889766009</v>
      </c>
      <c r="L431" s="6">
        <v>-0.32259048574806409</v>
      </c>
      <c r="N431" s="8">
        <f t="shared" si="18"/>
        <v>2.8557426770163503</v>
      </c>
      <c r="O431" s="8">
        <f t="shared" si="19"/>
        <v>5.8223186322873852</v>
      </c>
      <c r="P431" s="12">
        <f t="shared" si="20"/>
        <v>0</v>
      </c>
      <c r="Q431" s="11">
        <f>IF(P431=Sheet1!M431, 1, 0)</f>
        <v>1</v>
      </c>
    </row>
    <row r="432" spans="1:17" x14ac:dyDescent="0.35">
      <c r="A432" s="6" t="s">
        <v>461</v>
      </c>
      <c r="B432" s="6" t="s">
        <v>470</v>
      </c>
      <c r="C432" s="6">
        <v>0.35118672955788033</v>
      </c>
      <c r="D432" s="6">
        <v>0.3028287940113964</v>
      </c>
      <c r="E432" s="6">
        <v>-1.0421028495833249</v>
      </c>
      <c r="F432" s="6">
        <v>-0.28452518045713765</v>
      </c>
      <c r="G432" s="6">
        <v>0.36967201341509293</v>
      </c>
      <c r="H432" s="6">
        <v>-0.41863944199715492</v>
      </c>
      <c r="I432" s="6">
        <v>0.4273380201906542</v>
      </c>
      <c r="J432" s="6">
        <v>-0.78176870572705714</v>
      </c>
      <c r="K432" s="6">
        <v>0.96484681101073766</v>
      </c>
      <c r="L432" s="6">
        <v>-0.40999123350424566</v>
      </c>
      <c r="N432" s="8">
        <f t="shared" si="18"/>
        <v>2.1978329564042158</v>
      </c>
      <c r="O432" s="8">
        <f t="shared" si="19"/>
        <v>6.1689824466702134</v>
      </c>
      <c r="P432" s="12">
        <f t="shared" si="20"/>
        <v>0</v>
      </c>
      <c r="Q432" s="11">
        <f>IF(P432=Sheet1!M432, 1, 0)</f>
        <v>1</v>
      </c>
    </row>
    <row r="433" spans="1:17" x14ac:dyDescent="0.35">
      <c r="A433" s="6" t="s">
        <v>461</v>
      </c>
      <c r="B433" s="6" t="s">
        <v>471</v>
      </c>
      <c r="C433" s="6">
        <v>0.27469148917762376</v>
      </c>
      <c r="D433" s="6">
        <v>0.5299265071229402</v>
      </c>
      <c r="E433" s="6">
        <v>-0.42136232742569885</v>
      </c>
      <c r="F433" s="6">
        <v>4.6717473585242759E-2</v>
      </c>
      <c r="G433" s="6">
        <v>-3.6819201482827475E-2</v>
      </c>
      <c r="H433" s="6">
        <v>-3.3515844516411868E-2</v>
      </c>
      <c r="I433" s="6">
        <v>-0.25988249759024229</v>
      </c>
      <c r="J433" s="6">
        <v>-0.64511537644846251</v>
      </c>
      <c r="K433" s="6">
        <v>0.17770152888766591</v>
      </c>
      <c r="L433" s="6">
        <v>-0.39713574071929858</v>
      </c>
      <c r="N433" s="8">
        <f t="shared" si="18"/>
        <v>1.9688268428308677</v>
      </c>
      <c r="O433" s="8">
        <f t="shared" si="19"/>
        <v>5.3386357473237949</v>
      </c>
      <c r="P433" s="12">
        <f t="shared" si="20"/>
        <v>0</v>
      </c>
      <c r="Q433" s="11">
        <f>IF(P433=Sheet1!M433, 1, 0)</f>
        <v>1</v>
      </c>
    </row>
    <row r="434" spans="1:17" x14ac:dyDescent="0.35">
      <c r="A434" s="6" t="s">
        <v>461</v>
      </c>
      <c r="B434" s="6" t="s">
        <v>472</v>
      </c>
      <c r="C434" s="6">
        <v>0.2787175544607951</v>
      </c>
      <c r="D434" s="6">
        <v>-0.36618879326314979</v>
      </c>
      <c r="E434" s="6">
        <v>-0.94742610525423887</v>
      </c>
      <c r="F434" s="6">
        <v>-0.33382641268670005</v>
      </c>
      <c r="G434" s="6">
        <v>0.91843515352727934</v>
      </c>
      <c r="H434" s="6">
        <v>0.60368865313354547</v>
      </c>
      <c r="I434" s="6">
        <v>0.55674967613640747</v>
      </c>
      <c r="J434" s="6">
        <v>-0.61474796994210812</v>
      </c>
      <c r="K434" s="6">
        <v>0.83339511379734366</v>
      </c>
      <c r="L434" s="6">
        <v>-0.38760510501973633</v>
      </c>
      <c r="N434" s="8">
        <f t="shared" si="18"/>
        <v>2.8887028438457585</v>
      </c>
      <c r="O434" s="8">
        <f t="shared" si="19"/>
        <v>6.1361381240402748</v>
      </c>
      <c r="P434" s="12">
        <f t="shared" si="20"/>
        <v>0</v>
      </c>
      <c r="Q434" s="11">
        <f>IF(P434=Sheet1!M434, 1, 0)</f>
        <v>1</v>
      </c>
    </row>
    <row r="435" spans="1:17" x14ac:dyDescent="0.35">
      <c r="A435" s="6" t="s">
        <v>461</v>
      </c>
      <c r="B435" s="6" t="s">
        <v>473</v>
      </c>
      <c r="C435" s="6">
        <v>0.74305708378656277</v>
      </c>
      <c r="D435" s="6">
        <v>0.60357981948344031</v>
      </c>
      <c r="E435" s="6">
        <v>-1.3213439865539365</v>
      </c>
      <c r="F435" s="6">
        <v>-0.64658110464299345</v>
      </c>
      <c r="G435" s="6">
        <v>-0.35620515604547631</v>
      </c>
      <c r="H435" s="6">
        <v>6.343834785636257E-2</v>
      </c>
      <c r="I435" s="6">
        <v>0.80601055039645408</v>
      </c>
      <c r="J435" s="6">
        <v>-1.2258920258824895</v>
      </c>
      <c r="K435" s="6">
        <v>0.20273994740450488</v>
      </c>
      <c r="L435" s="6">
        <v>-0.43655914466537615</v>
      </c>
      <c r="N435" s="8">
        <f t="shared" si="18"/>
        <v>1.9073488878990794</v>
      </c>
      <c r="O435" s="8">
        <f t="shared" si="19"/>
        <v>6.3816207157451599</v>
      </c>
      <c r="P435" s="12">
        <f t="shared" si="20"/>
        <v>0</v>
      </c>
      <c r="Q435" s="11">
        <f>IF(P435=Sheet1!M435, 1, 0)</f>
        <v>1</v>
      </c>
    </row>
    <row r="436" spans="1:17" x14ac:dyDescent="0.35">
      <c r="A436" s="6" t="s">
        <v>461</v>
      </c>
      <c r="B436" s="6" t="s">
        <v>474</v>
      </c>
      <c r="C436" s="6">
        <v>0.22637870577956709</v>
      </c>
      <c r="D436" s="6">
        <v>-0.69762869888540213</v>
      </c>
      <c r="E436" s="6">
        <v>-1.0398924975756421</v>
      </c>
      <c r="F436" s="6">
        <v>-0.68509769232233986</v>
      </c>
      <c r="G436" s="6">
        <v>0.20126851010023725</v>
      </c>
      <c r="H436" s="6">
        <v>-0.22473105725160605</v>
      </c>
      <c r="I436" s="6">
        <v>0.64026163145115478</v>
      </c>
      <c r="J436" s="6">
        <v>-0.84250351873976592</v>
      </c>
      <c r="K436" s="6">
        <v>0.39052808628078256</v>
      </c>
      <c r="L436" s="6">
        <v>-0.4186855878905491</v>
      </c>
      <c r="N436" s="8">
        <f t="shared" si="18"/>
        <v>2.4291607671850097</v>
      </c>
      <c r="O436" s="8">
        <f t="shared" si="19"/>
        <v>6.6038134793816967</v>
      </c>
      <c r="P436" s="12">
        <f t="shared" si="20"/>
        <v>0</v>
      </c>
      <c r="Q436" s="11">
        <f>IF(P436=Sheet1!M436, 1, 0)</f>
        <v>1</v>
      </c>
    </row>
    <row r="437" spans="1:17" x14ac:dyDescent="0.35">
      <c r="A437" s="6" t="s">
        <v>461</v>
      </c>
      <c r="B437" s="6" t="s">
        <v>475</v>
      </c>
      <c r="C437" s="6">
        <v>0.47331070981407941</v>
      </c>
      <c r="D437" s="6">
        <v>-0.69149092285536051</v>
      </c>
      <c r="E437" s="6">
        <v>-1.1349376339060084</v>
      </c>
      <c r="F437" s="6">
        <v>-0.8283793984895097</v>
      </c>
      <c r="G437" s="6">
        <v>-0.57106479820580747</v>
      </c>
      <c r="H437" s="6">
        <v>0.50134811674006163</v>
      </c>
      <c r="I437" s="6">
        <v>0.44710039129567081</v>
      </c>
      <c r="J437" s="6">
        <v>-0.48948241810339638</v>
      </c>
      <c r="K437" s="6">
        <v>-0.86608754303298674</v>
      </c>
      <c r="L437" s="6">
        <v>-0.42216381440949263</v>
      </c>
      <c r="N437" s="8">
        <f t="shared" si="18"/>
        <v>2.2552584570343077</v>
      </c>
      <c r="O437" s="8">
        <f t="shared" si="19"/>
        <v>6.4704282171155407</v>
      </c>
      <c r="P437" s="12">
        <f t="shared" si="20"/>
        <v>0</v>
      </c>
      <c r="Q437" s="11">
        <f>IF(P437=Sheet1!M437, 1, 0)</f>
        <v>1</v>
      </c>
    </row>
    <row r="438" spans="1:17" x14ac:dyDescent="0.35">
      <c r="A438" s="6" t="s">
        <v>461</v>
      </c>
      <c r="B438" s="6" t="s">
        <v>476</v>
      </c>
      <c r="C438" s="6">
        <v>0.31495214200933758</v>
      </c>
      <c r="D438" s="6">
        <v>-0.55032207416440093</v>
      </c>
      <c r="E438" s="6">
        <v>-1.1220439138611913</v>
      </c>
      <c r="F438" s="6">
        <v>-0.76059020417386036</v>
      </c>
      <c r="G438" s="6">
        <v>-0.57106479820580747</v>
      </c>
      <c r="H438" s="6">
        <v>0.53959115928710022</v>
      </c>
      <c r="I438" s="6">
        <v>0.70018624060830148</v>
      </c>
      <c r="J438" s="6">
        <v>-0.43254353090398201</v>
      </c>
      <c r="K438" s="6">
        <v>0.61587385293231978</v>
      </c>
      <c r="L438" s="6">
        <v>-0.41547408627887761</v>
      </c>
      <c r="N438" s="8">
        <f t="shared" si="18"/>
        <v>1.9755396329955142</v>
      </c>
      <c r="O438" s="8">
        <f t="shared" si="19"/>
        <v>6.5006834515600707</v>
      </c>
      <c r="P438" s="12">
        <f t="shared" si="20"/>
        <v>0</v>
      </c>
      <c r="Q438" s="11">
        <f>IF(P438=Sheet1!M438, 1, 0)</f>
        <v>1</v>
      </c>
    </row>
    <row r="439" spans="1:17" x14ac:dyDescent="0.35">
      <c r="A439" s="6" t="s">
        <v>461</v>
      </c>
      <c r="B439" s="6" t="s">
        <v>477</v>
      </c>
      <c r="C439" s="6">
        <v>-0.99351907502136627</v>
      </c>
      <c r="D439" s="6">
        <v>2.5001526127663283</v>
      </c>
      <c r="E439" s="6">
        <v>1.485066279200838</v>
      </c>
      <c r="F439" s="6">
        <v>2.1913210755712536</v>
      </c>
      <c r="G439" s="6">
        <v>1.2116895299893509</v>
      </c>
      <c r="H439" s="6">
        <v>1.0432143252234567</v>
      </c>
      <c r="I439" s="6">
        <v>0.87358510965876879</v>
      </c>
      <c r="J439" s="6">
        <v>4.953904738439361E-2</v>
      </c>
      <c r="K439" s="6">
        <v>-0.64543647985335773</v>
      </c>
      <c r="L439" s="6">
        <v>-0.10027294574231024</v>
      </c>
      <c r="N439" s="8">
        <f t="shared" si="18"/>
        <v>5.5714363736067822</v>
      </c>
      <c r="O439" s="8">
        <f t="shared" si="19"/>
        <v>1.9360009407048682</v>
      </c>
      <c r="P439" s="12">
        <f t="shared" si="20"/>
        <v>1</v>
      </c>
      <c r="Q439" s="11">
        <f>IF(P439=Sheet1!M439, 1, 0)</f>
        <v>0</v>
      </c>
    </row>
    <row r="440" spans="1:17" x14ac:dyDescent="0.35">
      <c r="A440" s="6" t="s">
        <v>461</v>
      </c>
      <c r="B440" s="6" t="s">
        <v>478</v>
      </c>
      <c r="C440" s="6">
        <v>-0.60299074255374074</v>
      </c>
      <c r="D440" s="6">
        <v>1.5181084479596552</v>
      </c>
      <c r="E440" s="6">
        <v>6.565189826710921E-2</v>
      </c>
      <c r="F440" s="6">
        <v>0.97573756841107939</v>
      </c>
      <c r="G440" s="6">
        <v>0.46258429110604382</v>
      </c>
      <c r="H440" s="6">
        <v>1.0491393036462382</v>
      </c>
      <c r="I440" s="6">
        <v>0.92649726455284509</v>
      </c>
      <c r="J440" s="6">
        <v>0.68725458401783501</v>
      </c>
      <c r="K440" s="6">
        <v>-8.0507162067217045E-2</v>
      </c>
      <c r="L440" s="6">
        <v>-0.31591989745411653</v>
      </c>
      <c r="N440" s="8">
        <f t="shared" si="18"/>
        <v>3.5533921285128285</v>
      </c>
      <c r="O440" s="8">
        <f t="shared" si="19"/>
        <v>3.2557542157330177</v>
      </c>
      <c r="P440" s="12">
        <f t="shared" si="20"/>
        <v>1</v>
      </c>
      <c r="Q440" s="11">
        <f>IF(P440=Sheet1!M440, 1, 0)</f>
        <v>0</v>
      </c>
    </row>
    <row r="441" spans="1:17" x14ac:dyDescent="0.35">
      <c r="A441" s="6" t="s">
        <v>479</v>
      </c>
      <c r="B441" s="6" t="s">
        <v>480</v>
      </c>
      <c r="C441" s="6">
        <v>0.90275767335236168</v>
      </c>
      <c r="D441" s="6">
        <v>-0.88176197978665327</v>
      </c>
      <c r="E441" s="6">
        <v>-0.51014479973429705</v>
      </c>
      <c r="F441" s="6">
        <v>-0.5402753226479976</v>
      </c>
      <c r="G441" s="6">
        <v>-0.103599901073201</v>
      </c>
      <c r="H441" s="6">
        <v>-0.4514961405234848</v>
      </c>
      <c r="I441" s="6">
        <v>0.57842453476771516</v>
      </c>
      <c r="J441" s="6">
        <v>-0.5654009343692824</v>
      </c>
      <c r="K441" s="6">
        <v>-0.61100865439270668</v>
      </c>
      <c r="L441" s="6">
        <v>-0.38439393772835595</v>
      </c>
      <c r="N441" s="8">
        <f t="shared" si="18"/>
        <v>2.3977944602058696</v>
      </c>
      <c r="O441" s="8">
        <f t="shared" si="19"/>
        <v>6.3445082935127051</v>
      </c>
      <c r="P441" s="12">
        <f t="shared" si="20"/>
        <v>0</v>
      </c>
      <c r="Q441" s="11">
        <f>IF(P441=Sheet1!M441, 1, 0)</f>
        <v>1</v>
      </c>
    </row>
    <row r="442" spans="1:17" x14ac:dyDescent="0.35">
      <c r="A442" s="6" t="s">
        <v>479</v>
      </c>
      <c r="B442" s="6" t="s">
        <v>481</v>
      </c>
      <c r="C442" s="6">
        <v>0.75379325787502005</v>
      </c>
      <c r="D442" s="6">
        <v>-0.69762869888540213</v>
      </c>
      <c r="E442" s="6">
        <v>-0.33626377512990563</v>
      </c>
      <c r="F442" s="6">
        <v>-0.39853427998800234</v>
      </c>
      <c r="G442" s="6">
        <v>-0.57106479820580747</v>
      </c>
      <c r="H442" s="6">
        <v>-2.0588618866708864E-2</v>
      </c>
      <c r="I442" s="6">
        <v>0.63579916055647312</v>
      </c>
      <c r="J442" s="6">
        <v>-1.1158101772969551</v>
      </c>
      <c r="K442" s="6">
        <v>-0.67829940415670786</v>
      </c>
      <c r="L442" s="6">
        <v>-0.26916472415331522</v>
      </c>
      <c r="N442" s="8">
        <f t="shared" si="18"/>
        <v>2.4708178275247024</v>
      </c>
      <c r="O442" s="8">
        <f t="shared" si="19"/>
        <v>6.2216560291692833</v>
      </c>
      <c r="P442" s="12">
        <f t="shared" si="20"/>
        <v>0</v>
      </c>
      <c r="Q442" s="11">
        <f>IF(P442=Sheet1!M442, 1, 0)</f>
        <v>1</v>
      </c>
    </row>
    <row r="443" spans="1:17" x14ac:dyDescent="0.35">
      <c r="A443" s="6" t="s">
        <v>479</v>
      </c>
      <c r="B443" s="6" t="s">
        <v>482</v>
      </c>
      <c r="C443" s="6">
        <v>0.77929167133510524</v>
      </c>
      <c r="D443" s="6">
        <v>-0.72217980300556894</v>
      </c>
      <c r="E443" s="6">
        <v>3.1023050146743131E-2</v>
      </c>
      <c r="F443" s="6">
        <v>-0.63579646009277746</v>
      </c>
      <c r="G443" s="6">
        <v>-1.5553542399943394</v>
      </c>
      <c r="H443" s="6">
        <v>-5.829302701167615E-2</v>
      </c>
      <c r="I443" s="6">
        <v>0.50957498382120625</v>
      </c>
      <c r="J443" s="6">
        <v>-0.99054462545824329</v>
      </c>
      <c r="K443" s="6">
        <v>9.7891569865248551E-2</v>
      </c>
      <c r="L443" s="6">
        <v>-0.36065771943314812</v>
      </c>
      <c r="N443" s="8">
        <f t="shared" si="18"/>
        <v>2.2712514951056959</v>
      </c>
      <c r="O443" s="8">
        <f t="shared" si="19"/>
        <v>6.5049887065246947</v>
      </c>
      <c r="P443" s="12">
        <f t="shared" si="20"/>
        <v>0</v>
      </c>
      <c r="Q443" s="11">
        <f>IF(P443=Sheet1!M443, 1, 0)</f>
        <v>1</v>
      </c>
    </row>
    <row r="444" spans="1:17" x14ac:dyDescent="0.35">
      <c r="A444" s="6" t="s">
        <v>479</v>
      </c>
      <c r="B444" s="6" t="s">
        <v>483</v>
      </c>
      <c r="C444" s="6">
        <v>0.54041179786693605</v>
      </c>
      <c r="D444" s="6">
        <v>-7.1575543821147503E-2</v>
      </c>
      <c r="E444" s="6">
        <v>-4.6707662123440304E-2</v>
      </c>
      <c r="F444" s="6">
        <v>4.9798800599589861E-2</v>
      </c>
      <c r="G444" s="6">
        <v>-0.33007357794489894</v>
      </c>
      <c r="H444" s="6">
        <v>-0.18810391791078049</v>
      </c>
      <c r="I444" s="6">
        <v>0.54718723850494755</v>
      </c>
      <c r="J444" s="6">
        <v>-0.61095204412881376</v>
      </c>
      <c r="K444" s="6">
        <v>-0.68455900878591602</v>
      </c>
      <c r="L444" s="6">
        <v>-0.39156005137882177</v>
      </c>
      <c r="N444" s="8">
        <f t="shared" si="18"/>
        <v>2.2233504044477748</v>
      </c>
      <c r="O444" s="8">
        <f t="shared" si="19"/>
        <v>5.3071628470920276</v>
      </c>
      <c r="P444" s="12">
        <f t="shared" si="20"/>
        <v>0</v>
      </c>
      <c r="Q444" s="11">
        <f>IF(P444=Sheet1!M444, 1, 0)</f>
        <v>1</v>
      </c>
    </row>
    <row r="445" spans="1:17" x14ac:dyDescent="0.35">
      <c r="A445" s="6" t="s">
        <v>479</v>
      </c>
      <c r="B445" s="6" t="s">
        <v>484</v>
      </c>
      <c r="C445" s="6">
        <v>0.66521982164524929</v>
      </c>
      <c r="D445" s="6">
        <v>-0.78969533933602742</v>
      </c>
      <c r="E445" s="6">
        <v>-0.46446419157551622</v>
      </c>
      <c r="F445" s="6">
        <v>-0.72669560701603564</v>
      </c>
      <c r="G445" s="6">
        <v>-1.0820823255060454</v>
      </c>
      <c r="H445" s="6">
        <v>9.844958399097592E-2</v>
      </c>
      <c r="I445" s="6">
        <v>6.9702852774065266E-2</v>
      </c>
      <c r="J445" s="6">
        <v>-1.0474835126576578</v>
      </c>
      <c r="K445" s="6">
        <v>-0.13997340604470707</v>
      </c>
      <c r="L445" s="6">
        <v>-0.40929018474875145</v>
      </c>
      <c r="N445" s="8">
        <f t="shared" si="18"/>
        <v>2.1621835115455861</v>
      </c>
      <c r="O445" s="8">
        <f t="shared" si="19"/>
        <v>6.6253000033340994</v>
      </c>
      <c r="P445" s="12">
        <f t="shared" si="20"/>
        <v>0</v>
      </c>
      <c r="Q445" s="11">
        <f>IF(P445=Sheet1!M445, 1, 0)</f>
        <v>1</v>
      </c>
    </row>
    <row r="446" spans="1:17" x14ac:dyDescent="0.35">
      <c r="A446" s="6" t="s">
        <v>479</v>
      </c>
      <c r="B446" s="6" t="s">
        <v>485</v>
      </c>
      <c r="C446" s="6">
        <v>-0.85126476834931031</v>
      </c>
      <c r="D446" s="6">
        <v>1.1866685423374022</v>
      </c>
      <c r="E446" s="6">
        <v>0.76080760468339426</v>
      </c>
      <c r="F446" s="6">
        <v>1.1529138717360718</v>
      </c>
      <c r="G446" s="6">
        <v>0.83423340186985562</v>
      </c>
      <c r="H446" s="6">
        <v>0.84553549966341146</v>
      </c>
      <c r="I446" s="6">
        <v>0.92330978534235875</v>
      </c>
      <c r="J446" s="6">
        <v>-0.19340020466644148</v>
      </c>
      <c r="K446" s="6">
        <v>-0.85982793840377758</v>
      </c>
      <c r="L446" s="6">
        <v>-0.32634770254996071</v>
      </c>
      <c r="N446" s="8">
        <f t="shared" si="18"/>
        <v>4.2174915951072194</v>
      </c>
      <c r="O446" s="8">
        <f t="shared" si="19"/>
        <v>3.1271411250770496</v>
      </c>
      <c r="P446" s="12">
        <f t="shared" si="20"/>
        <v>1</v>
      </c>
      <c r="Q446" s="11">
        <f>IF(P446=Sheet1!M446, 1, 0)</f>
        <v>0</v>
      </c>
    </row>
    <row r="447" spans="1:17" x14ac:dyDescent="0.35">
      <c r="A447" s="6" t="s">
        <v>486</v>
      </c>
      <c r="B447" s="6" t="s">
        <v>487</v>
      </c>
      <c r="C447" s="6">
        <v>0.27737553269973797</v>
      </c>
      <c r="D447" s="6">
        <v>0.29055324195131327</v>
      </c>
      <c r="E447" s="6">
        <v>-0.10933430234112365</v>
      </c>
      <c r="F447" s="6">
        <v>-0.40623759752387117</v>
      </c>
      <c r="G447" s="6">
        <v>-2.2899419354884336</v>
      </c>
      <c r="H447" s="6">
        <v>0.13669262653801445</v>
      </c>
      <c r="I447" s="6">
        <v>0.60328687260951019</v>
      </c>
      <c r="J447" s="6">
        <v>-0.83870759292647146</v>
      </c>
      <c r="K447" s="6">
        <v>-0.64387157869605682</v>
      </c>
      <c r="L447" s="6">
        <v>-0.38373948486343884</v>
      </c>
      <c r="N447" s="8">
        <f t="shared" si="18"/>
        <v>2.2580498176575365</v>
      </c>
      <c r="O447" s="8">
        <f t="shared" si="19"/>
        <v>5.9895337079946582</v>
      </c>
      <c r="P447" s="12">
        <f t="shared" si="20"/>
        <v>0</v>
      </c>
      <c r="Q447" s="11">
        <f>IF(P447=Sheet1!M447, 1, 0)</f>
        <v>1</v>
      </c>
    </row>
    <row r="448" spans="1:17" x14ac:dyDescent="0.35">
      <c r="A448" s="6" t="s">
        <v>486</v>
      </c>
      <c r="B448" s="6" t="s">
        <v>488</v>
      </c>
      <c r="C448" s="6">
        <v>0.45720644868139365</v>
      </c>
      <c r="D448" s="6">
        <v>-0.6116998344648179</v>
      </c>
      <c r="E448" s="6">
        <v>-0.65455446423624919</v>
      </c>
      <c r="F448" s="6">
        <v>-0.87768063071907221</v>
      </c>
      <c r="G448" s="6">
        <v>-2.0692752759724216</v>
      </c>
      <c r="H448" s="6">
        <v>0.49057542869864212</v>
      </c>
      <c r="I448" s="6">
        <v>-8.0108670118802308E-2</v>
      </c>
      <c r="J448" s="6">
        <v>-0.63752352482187391</v>
      </c>
      <c r="K448" s="6">
        <v>-7.5812458595309884E-2</v>
      </c>
      <c r="L448" s="6">
        <v>-0.26221336949986795</v>
      </c>
      <c r="N448" s="8">
        <f t="shared" si="18"/>
        <v>2.0945549689593168</v>
      </c>
      <c r="O448" s="8">
        <f t="shared" si="19"/>
        <v>6.7959153033412605</v>
      </c>
      <c r="P448" s="12">
        <f t="shared" si="20"/>
        <v>0</v>
      </c>
      <c r="Q448" s="11">
        <f>IF(P448=Sheet1!M448, 1, 0)</f>
        <v>1</v>
      </c>
    </row>
    <row r="449" spans="1:17" x14ac:dyDescent="0.35">
      <c r="A449" s="6" t="s">
        <v>486</v>
      </c>
      <c r="B449" s="6" t="s">
        <v>489</v>
      </c>
      <c r="C449" s="6">
        <v>0.2008802923194814</v>
      </c>
      <c r="D449" s="6">
        <v>-0.34163768914298293</v>
      </c>
      <c r="E449" s="6">
        <v>-0.95368876927600721</v>
      </c>
      <c r="F449" s="6">
        <v>-0.50792138899734751</v>
      </c>
      <c r="G449" s="6">
        <v>0.3725755220929326</v>
      </c>
      <c r="H449" s="6">
        <v>-0.76067228731222125</v>
      </c>
      <c r="I449" s="6">
        <v>-3.4186743951823959</v>
      </c>
      <c r="J449" s="6">
        <v>-1.0930346224171892</v>
      </c>
      <c r="K449" s="6">
        <v>1.6862662445271113</v>
      </c>
      <c r="L449" s="6">
        <v>-0.41180882845206157</v>
      </c>
      <c r="N449" s="8">
        <f t="shared" si="18"/>
        <v>4.5768210575977228</v>
      </c>
      <c r="O449" s="8">
        <f t="shared" si="19"/>
        <v>8.1572770415125806</v>
      </c>
      <c r="P449" s="12">
        <f t="shared" si="20"/>
        <v>0</v>
      </c>
      <c r="Q449" s="11">
        <f>IF(P449=Sheet1!M449, 1, 0)</f>
        <v>1</v>
      </c>
    </row>
    <row r="450" spans="1:17" x14ac:dyDescent="0.35">
      <c r="A450" s="6" t="s">
        <v>486</v>
      </c>
      <c r="B450" s="6" t="s">
        <v>490</v>
      </c>
      <c r="C450" s="6">
        <v>-0.64593543890756899</v>
      </c>
      <c r="D450" s="6">
        <v>-0.29253548090264925</v>
      </c>
      <c r="E450" s="6">
        <v>-0.30605563102490541</v>
      </c>
      <c r="F450" s="6">
        <v>-0.24754925628496582</v>
      </c>
      <c r="G450" s="6">
        <v>-0.54783672878306966</v>
      </c>
      <c r="H450" s="6">
        <v>0.17601293788919548</v>
      </c>
      <c r="I450" s="6">
        <v>-0.14194576680224097</v>
      </c>
      <c r="J450" s="6">
        <v>-0.48189056647680778</v>
      </c>
      <c r="K450" s="6">
        <v>0.12136508722478216</v>
      </c>
      <c r="L450" s="6">
        <v>-0.28463322254374562</v>
      </c>
      <c r="N450" s="8">
        <f t="shared" si="18"/>
        <v>2.345600752372516</v>
      </c>
      <c r="O450" s="8">
        <f t="shared" si="19"/>
        <v>5.6609115538051782</v>
      </c>
      <c r="P450" s="12">
        <f t="shared" si="20"/>
        <v>0</v>
      </c>
      <c r="Q450" s="11">
        <f>IF(P450=Sheet1!M450, 1, 0)</f>
        <v>1</v>
      </c>
    </row>
    <row r="451" spans="1:17" x14ac:dyDescent="0.35">
      <c r="A451" s="6" t="s">
        <v>486</v>
      </c>
      <c r="B451" s="6" t="s">
        <v>491</v>
      </c>
      <c r="C451" s="6">
        <v>-1.0069392926319376</v>
      </c>
      <c r="D451" s="6">
        <v>-0.21274439251210708</v>
      </c>
      <c r="E451" s="6">
        <v>0.27526694699570814</v>
      </c>
      <c r="F451" s="6">
        <v>-0.29222849799300649</v>
      </c>
      <c r="G451" s="6">
        <v>-0.93109987425824825</v>
      </c>
      <c r="H451" s="6">
        <v>0.10652910002204077</v>
      </c>
      <c r="I451" s="6">
        <v>0.1417398829310606</v>
      </c>
      <c r="J451" s="6">
        <v>-0.73242167015423132</v>
      </c>
      <c r="K451" s="6">
        <v>-6.7987952808798685E-2</v>
      </c>
      <c r="L451" s="6">
        <v>-0.30454032427944433</v>
      </c>
      <c r="N451" s="8">
        <f t="shared" ref="N451:N514" si="21">SQRT((C451-$C$520)^2+(D451-$D$520)^2+(E451-$E$520)^2+(F451-$F$520)^2+(G451-$G$520)^2+(H451-$H$520)^2+(I451-$I$520)^2+(J451-$J$520)^2+(K451-$K$520)^2+(L451-$L$520)^2)</f>
        <v>2.807847531573048</v>
      </c>
      <c r="O451" s="8">
        <f t="shared" ref="O451:O514" si="22">SQRT((C451-$C$521)^2+(D451-$D$521)^2+(E451-$E$521)^2+(F451-$F$521)^2+(G451-$G$521)^2+(H451-$H$521)^2+(I451-$I$521)^2+(J451-$J$521)^2+(K451-$K$521)^2+(L451-$L$521)^2)</f>
        <v>5.5139284612345127</v>
      </c>
      <c r="P451" s="12">
        <f t="shared" ref="P451:P514" si="23">IF(N451&lt;=O451, 0, 1)</f>
        <v>0</v>
      </c>
      <c r="Q451" s="11">
        <f>IF(P451=Sheet1!M451, 1, 0)</f>
        <v>1</v>
      </c>
    </row>
    <row r="452" spans="1:17" x14ac:dyDescent="0.35">
      <c r="A452" s="6" t="s">
        <v>486</v>
      </c>
      <c r="B452" s="6" t="s">
        <v>492</v>
      </c>
      <c r="C452" s="6">
        <v>-0.69022215702245437</v>
      </c>
      <c r="D452" s="6">
        <v>-0.56873540225452623</v>
      </c>
      <c r="E452" s="6">
        <v>-0.70612934441551778</v>
      </c>
      <c r="F452" s="6">
        <v>-0.57725124682016937</v>
      </c>
      <c r="G452" s="6">
        <v>-0.32136305191137177</v>
      </c>
      <c r="H452" s="6">
        <v>0.24549677575635093</v>
      </c>
      <c r="I452" s="6">
        <v>-0.49129348827156427</v>
      </c>
      <c r="J452" s="6">
        <v>-0.96397314476518325</v>
      </c>
      <c r="K452" s="6">
        <v>0.21525915666292322</v>
      </c>
      <c r="L452" s="6">
        <v>-0.41124173765822197</v>
      </c>
      <c r="N452" s="8">
        <f t="shared" si="21"/>
        <v>2.6996135496168616</v>
      </c>
      <c r="O452" s="8">
        <f t="shared" si="22"/>
        <v>6.3763871539942887</v>
      </c>
      <c r="P452" s="12">
        <f t="shared" si="23"/>
        <v>0</v>
      </c>
      <c r="Q452" s="11">
        <f>IF(P452=Sheet1!M452, 1, 0)</f>
        <v>1</v>
      </c>
    </row>
    <row r="453" spans="1:17" x14ac:dyDescent="0.35">
      <c r="A453" s="6" t="s">
        <v>493</v>
      </c>
      <c r="B453" s="6" t="s">
        <v>494</v>
      </c>
      <c r="C453" s="6">
        <v>2.01260966974661</v>
      </c>
      <c r="D453" s="6">
        <v>0.76929977229456614</v>
      </c>
      <c r="E453" s="6">
        <v>-1.469805963069974</v>
      </c>
      <c r="F453" s="6">
        <v>-1.0718042326229791</v>
      </c>
      <c r="G453" s="6">
        <v>-1.8021524776109314</v>
      </c>
      <c r="H453" s="6">
        <v>0.41355070920249304</v>
      </c>
      <c r="I453" s="6">
        <v>0.52041241313686049</v>
      </c>
      <c r="J453" s="6">
        <v>-0.25033909186585568</v>
      </c>
      <c r="K453" s="6">
        <v>-7.8942260909916143E-2</v>
      </c>
      <c r="L453" s="6">
        <v>-0.42237754955061957</v>
      </c>
      <c r="N453" s="8">
        <f t="shared" si="21"/>
        <v>1.7105044117363353</v>
      </c>
      <c r="O453" s="8">
        <f t="shared" si="22"/>
        <v>6.9488724867113643</v>
      </c>
      <c r="P453" s="12">
        <f t="shared" si="23"/>
        <v>0</v>
      </c>
      <c r="Q453" s="11">
        <f>IF(P453=Sheet1!M453, 1, 0)</f>
        <v>0</v>
      </c>
    </row>
    <row r="454" spans="1:17" x14ac:dyDescent="0.35">
      <c r="A454" s="6" t="s">
        <v>493</v>
      </c>
      <c r="B454" s="6" t="s">
        <v>495</v>
      </c>
      <c r="C454" s="6">
        <v>1.403331790226672</v>
      </c>
      <c r="D454" s="6">
        <v>0.81226420450485837</v>
      </c>
      <c r="E454" s="6">
        <v>-1.0111579214757638</v>
      </c>
      <c r="F454" s="6">
        <v>-0.55414129421256286</v>
      </c>
      <c r="G454" s="6">
        <v>-1.3114595110555873</v>
      </c>
      <c r="H454" s="6">
        <v>0.49919357913177742</v>
      </c>
      <c r="I454" s="6">
        <v>0.49873755450555191</v>
      </c>
      <c r="J454" s="6">
        <v>1.9201181156748245E-4</v>
      </c>
      <c r="K454" s="6">
        <v>-0.76436896780833552</v>
      </c>
      <c r="L454" s="6">
        <v>-0.4164392062743329</v>
      </c>
      <c r="N454" s="8">
        <f t="shared" si="21"/>
        <v>1.48199534796566</v>
      </c>
      <c r="O454" s="8">
        <f t="shared" si="22"/>
        <v>5.8972695283252081</v>
      </c>
      <c r="P454" s="12">
        <f t="shared" si="23"/>
        <v>0</v>
      </c>
      <c r="Q454" s="11">
        <f>IF(P454=Sheet1!M454, 1, 0)</f>
        <v>0</v>
      </c>
    </row>
    <row r="455" spans="1:17" x14ac:dyDescent="0.35">
      <c r="A455" s="6" t="s">
        <v>493</v>
      </c>
      <c r="B455" s="6" t="s">
        <v>496</v>
      </c>
      <c r="C455" s="6">
        <v>1.0154875012811608</v>
      </c>
      <c r="D455" s="6">
        <v>0.76316199626452463</v>
      </c>
      <c r="E455" s="6">
        <v>-3.0130022065818246E-2</v>
      </c>
      <c r="F455" s="6">
        <v>0.21464979586719163</v>
      </c>
      <c r="G455" s="6">
        <v>-0.93109987425824825</v>
      </c>
      <c r="H455" s="6">
        <v>-0.15955629460101903</v>
      </c>
      <c r="I455" s="6">
        <v>0.28517644740295456</v>
      </c>
      <c r="J455" s="6">
        <v>1.1427656816131504</v>
      </c>
      <c r="K455" s="6">
        <v>-1.0757842981114982</v>
      </c>
      <c r="L455" s="6">
        <v>-0.33298116039657388</v>
      </c>
      <c r="N455" s="8">
        <f t="shared" si="21"/>
        <v>2.1589670225249442</v>
      </c>
      <c r="O455" s="8">
        <f t="shared" si="22"/>
        <v>4.6859804366526809</v>
      </c>
      <c r="P455" s="12">
        <f t="shared" si="23"/>
        <v>0</v>
      </c>
      <c r="Q455" s="11">
        <f>IF(P455=Sheet1!M455, 1, 0)</f>
        <v>1</v>
      </c>
    </row>
    <row r="456" spans="1:17" x14ac:dyDescent="0.35">
      <c r="A456" s="6" t="s">
        <v>493</v>
      </c>
      <c r="B456" s="6" t="s">
        <v>497</v>
      </c>
      <c r="C456" s="6">
        <v>0.67192993045053506</v>
      </c>
      <c r="D456" s="6">
        <v>0.21689992959081214</v>
      </c>
      <c r="E456" s="6">
        <v>8.1827460673527374E-3</v>
      </c>
      <c r="F456" s="6">
        <v>-9.1942242060405355E-2</v>
      </c>
      <c r="G456" s="6">
        <v>-0.93400338293609209</v>
      </c>
      <c r="H456" s="6">
        <v>-0.42294851721372334</v>
      </c>
      <c r="I456" s="6">
        <v>0.70401121566088543</v>
      </c>
      <c r="J456" s="6">
        <v>-7.9522430267612701E-2</v>
      </c>
      <c r="K456" s="6">
        <v>0.21212935434831698</v>
      </c>
      <c r="L456" s="6">
        <v>-0.42527244984658524</v>
      </c>
      <c r="N456" s="8">
        <f t="shared" si="21"/>
        <v>1.5392202007466356</v>
      </c>
      <c r="O456" s="8">
        <f t="shared" si="22"/>
        <v>5.3782827187648312</v>
      </c>
      <c r="P456" s="12">
        <f t="shared" si="23"/>
        <v>0</v>
      </c>
      <c r="Q456" s="11">
        <f>IF(P456=Sheet1!M456, 1, 0)</f>
        <v>1</v>
      </c>
    </row>
    <row r="457" spans="1:17" x14ac:dyDescent="0.35">
      <c r="A457" s="6" t="s">
        <v>493</v>
      </c>
      <c r="B457" s="6" t="s">
        <v>498</v>
      </c>
      <c r="C457" s="6">
        <v>1.9133000594283824</v>
      </c>
      <c r="D457" s="6">
        <v>0.24145103371097953</v>
      </c>
      <c r="E457" s="6">
        <v>-0.99531706542070264</v>
      </c>
      <c r="F457" s="6">
        <v>-0.93930717100602734</v>
      </c>
      <c r="G457" s="6">
        <v>-1.9444244028252036</v>
      </c>
      <c r="H457" s="6">
        <v>-2.022154056962433</v>
      </c>
      <c r="I457" s="6">
        <v>-3.4208969487796309E-2</v>
      </c>
      <c r="J457" s="6">
        <v>-1.3321779486547298</v>
      </c>
      <c r="K457" s="6">
        <v>-0.5718861254601485</v>
      </c>
      <c r="L457" s="6">
        <v>-0.40969594510709967</v>
      </c>
      <c r="N457" s="8">
        <f t="shared" si="21"/>
        <v>2.8294266621684181</v>
      </c>
      <c r="O457" s="8">
        <f t="shared" si="22"/>
        <v>7.8241734274156434</v>
      </c>
      <c r="P457" s="12">
        <f t="shared" si="23"/>
        <v>0</v>
      </c>
      <c r="Q457" s="11">
        <f>IF(P457=Sheet1!M457, 1, 0)</f>
        <v>0</v>
      </c>
    </row>
    <row r="458" spans="1:17" x14ac:dyDescent="0.35">
      <c r="A458" s="6" t="s">
        <v>493</v>
      </c>
      <c r="B458" s="6" t="s">
        <v>499</v>
      </c>
      <c r="C458" s="6">
        <v>1.7442053175351835</v>
      </c>
      <c r="D458" s="6">
        <v>0.29669101798135483</v>
      </c>
      <c r="E458" s="6">
        <v>-0.59119104001600487</v>
      </c>
      <c r="F458" s="6">
        <v>-0.63117446957125567</v>
      </c>
      <c r="G458" s="6">
        <v>-2.2667138660656962</v>
      </c>
      <c r="H458" s="6">
        <v>-0.78437220100334382</v>
      </c>
      <c r="I458" s="6">
        <v>0.3820758154017449</v>
      </c>
      <c r="J458" s="6">
        <v>0.22415163479593117</v>
      </c>
      <c r="K458" s="6">
        <v>0.4280857140560399</v>
      </c>
      <c r="L458" s="6">
        <v>-0.41652052968515174</v>
      </c>
      <c r="N458" s="8">
        <f t="shared" si="21"/>
        <v>1.5745920326998313</v>
      </c>
      <c r="O458" s="8">
        <f t="shared" si="22"/>
        <v>6.7610576586565418</v>
      </c>
      <c r="P458" s="12">
        <f t="shared" si="23"/>
        <v>0</v>
      </c>
      <c r="Q458" s="11">
        <f>IF(P458=Sheet1!M458, 1, 0)</f>
        <v>0</v>
      </c>
    </row>
    <row r="459" spans="1:17" x14ac:dyDescent="0.35">
      <c r="A459" s="6" t="s">
        <v>493</v>
      </c>
      <c r="B459" s="6" t="s">
        <v>500</v>
      </c>
      <c r="C459" s="6">
        <v>1.4731169218016429</v>
      </c>
      <c r="D459" s="6">
        <v>1.4353320599436772E-2</v>
      </c>
      <c r="E459" s="6">
        <v>-0.31121311904283228</v>
      </c>
      <c r="F459" s="6">
        <v>-0.86689598616885621</v>
      </c>
      <c r="G459" s="6">
        <v>-2.9141963012245249</v>
      </c>
      <c r="H459" s="6">
        <v>-0.64378862206282073</v>
      </c>
      <c r="I459" s="6">
        <v>-4.5046398803449725E-2</v>
      </c>
      <c r="J459" s="6">
        <v>-0.4477272341571592</v>
      </c>
      <c r="K459" s="6">
        <v>-6.1728348179590609E-2</v>
      </c>
      <c r="L459" s="6">
        <v>-0.41784886778190822</v>
      </c>
      <c r="N459" s="8">
        <f t="shared" si="21"/>
        <v>2.2373808112654099</v>
      </c>
      <c r="O459" s="8">
        <f t="shared" si="22"/>
        <v>7.1364952462618518</v>
      </c>
      <c r="P459" s="12">
        <f t="shared" si="23"/>
        <v>0</v>
      </c>
      <c r="Q459" s="11">
        <f>IF(P459=Sheet1!M459, 1, 0)</f>
        <v>0</v>
      </c>
    </row>
    <row r="460" spans="1:17" x14ac:dyDescent="0.35">
      <c r="A460" s="6" t="s">
        <v>493</v>
      </c>
      <c r="B460" s="6" t="s">
        <v>501</v>
      </c>
      <c r="C460" s="6">
        <v>2.3185906312676363</v>
      </c>
      <c r="D460" s="6">
        <v>9.4144408989978376E-2</v>
      </c>
      <c r="E460" s="6">
        <v>-1.2550334263234482</v>
      </c>
      <c r="F460" s="6">
        <v>-1.1642440430534109</v>
      </c>
      <c r="G460" s="6">
        <v>-2.0634682586167381</v>
      </c>
      <c r="H460" s="6">
        <v>0.2934352375406673</v>
      </c>
      <c r="I460" s="6">
        <v>0.51084997550540145</v>
      </c>
      <c r="J460" s="6">
        <v>-1.2372798033223726</v>
      </c>
      <c r="K460" s="6">
        <v>1.1260316302128777</v>
      </c>
      <c r="L460" s="6">
        <v>-0.43612647152359146</v>
      </c>
      <c r="N460" s="8">
        <f t="shared" si="21"/>
        <v>2.6017023718076477</v>
      </c>
      <c r="O460" s="8">
        <f t="shared" si="22"/>
        <v>7.8535135083204057</v>
      </c>
      <c r="P460" s="12">
        <f t="shared" si="23"/>
        <v>0</v>
      </c>
      <c r="Q460" s="11">
        <f>IF(P460=Sheet1!M460, 1, 0)</f>
        <v>0</v>
      </c>
    </row>
    <row r="461" spans="1:17" x14ac:dyDescent="0.35">
      <c r="A461" s="6" t="s">
        <v>493</v>
      </c>
      <c r="B461" s="6" t="s">
        <v>502</v>
      </c>
      <c r="C461" s="6">
        <v>0.48538890566359355</v>
      </c>
      <c r="D461" s="6">
        <v>-0.29867325693269081</v>
      </c>
      <c r="E461" s="6">
        <v>-1.0037900814501539</v>
      </c>
      <c r="F461" s="6">
        <v>-0.7898628108101633</v>
      </c>
      <c r="G461" s="6">
        <v>-0.95723145235882978</v>
      </c>
      <c r="H461" s="6">
        <v>-1.0052123058524416</v>
      </c>
      <c r="I461" s="6">
        <v>0.56439962624157458</v>
      </c>
      <c r="J461" s="6">
        <v>-1.3018105421483754</v>
      </c>
      <c r="K461" s="6">
        <v>0.92728918323548248</v>
      </c>
      <c r="L461" s="6">
        <v>-0.43964857758074666</v>
      </c>
      <c r="N461" s="8">
        <f t="shared" si="21"/>
        <v>2.1785643591479267</v>
      </c>
      <c r="O461" s="8">
        <f t="shared" si="22"/>
        <v>7.1534071394216818</v>
      </c>
      <c r="P461" s="12">
        <f t="shared" si="23"/>
        <v>0</v>
      </c>
      <c r="Q461" s="11">
        <f>IF(P461=Sheet1!M461, 1, 0)</f>
        <v>1</v>
      </c>
    </row>
    <row r="462" spans="1:17" x14ac:dyDescent="0.35">
      <c r="A462" s="6" t="s">
        <v>493</v>
      </c>
      <c r="B462" s="6" t="s">
        <v>503</v>
      </c>
      <c r="C462" s="6">
        <v>-0.97338874860550939</v>
      </c>
      <c r="D462" s="6">
        <v>2.3098815558350352</v>
      </c>
      <c r="E462" s="6">
        <v>1.4084407429344961</v>
      </c>
      <c r="F462" s="6">
        <v>1.7414473314764867</v>
      </c>
      <c r="G462" s="6">
        <v>0.28256675307982132</v>
      </c>
      <c r="H462" s="6">
        <v>0.71949504957880428</v>
      </c>
      <c r="I462" s="6">
        <v>0.83916033418551383</v>
      </c>
      <c r="J462" s="6">
        <v>2.3764415709337965</v>
      </c>
      <c r="K462" s="6">
        <v>-1.2369691173136383</v>
      </c>
      <c r="L462" s="6">
        <v>-0.23762367329142606</v>
      </c>
      <c r="N462" s="8">
        <f t="shared" si="21"/>
        <v>5.3778212407686423</v>
      </c>
      <c r="O462" s="8">
        <f t="shared" si="22"/>
        <v>1.7229555205066798</v>
      </c>
      <c r="P462" s="12">
        <f t="shared" si="23"/>
        <v>1</v>
      </c>
      <c r="Q462" s="11">
        <f>IF(P462=Sheet1!M462, 1, 0)</f>
        <v>0</v>
      </c>
    </row>
    <row r="463" spans="1:17" x14ac:dyDescent="0.35">
      <c r="A463" s="6" t="s">
        <v>493</v>
      </c>
      <c r="B463" s="6" t="s">
        <v>504</v>
      </c>
      <c r="C463" s="6">
        <v>1.4744589435627002</v>
      </c>
      <c r="D463" s="6">
        <v>1.2848729588180696</v>
      </c>
      <c r="E463" s="6">
        <v>-1.0756265216998495</v>
      </c>
      <c r="F463" s="6">
        <v>-0.27219987239974702</v>
      </c>
      <c r="G463" s="6">
        <v>-1.1546700424521024</v>
      </c>
      <c r="H463" s="6">
        <v>0.32683057046906688</v>
      </c>
      <c r="I463" s="6">
        <v>0.70464871150298214</v>
      </c>
      <c r="J463" s="6">
        <v>1.3857049336639855</v>
      </c>
      <c r="K463" s="6">
        <v>-1.3856347272573599</v>
      </c>
      <c r="L463" s="6">
        <v>-0.42654992946905262</v>
      </c>
      <c r="N463" s="8">
        <f t="shared" si="21"/>
        <v>2.3592441894946758</v>
      </c>
      <c r="O463" s="8">
        <f t="shared" si="22"/>
        <v>5.4658509067295613</v>
      </c>
      <c r="P463" s="12">
        <f t="shared" si="23"/>
        <v>0</v>
      </c>
      <c r="Q463" s="11">
        <f>IF(P463=Sheet1!M463, 1, 0)</f>
        <v>0</v>
      </c>
    </row>
    <row r="464" spans="1:17" x14ac:dyDescent="0.35">
      <c r="A464" s="6" t="s">
        <v>505</v>
      </c>
      <c r="B464" s="6" t="s">
        <v>506</v>
      </c>
      <c r="C464" s="6">
        <v>-0.44597419651005643</v>
      </c>
      <c r="D464" s="6">
        <v>-4.0886663670939613E-2</v>
      </c>
      <c r="E464" s="6">
        <v>-1.0527862176204592</v>
      </c>
      <c r="F464" s="6">
        <v>-0.67277238426494923</v>
      </c>
      <c r="G464" s="6">
        <v>-0.96303846971451312</v>
      </c>
      <c r="H464" s="6">
        <v>-0.20911065959154834</v>
      </c>
      <c r="I464" s="6">
        <v>0.6115743185567758</v>
      </c>
      <c r="J464" s="6">
        <v>-0.68307463458140549</v>
      </c>
      <c r="K464" s="6">
        <v>-0.71742193308926616</v>
      </c>
      <c r="L464" s="6">
        <v>-0.42646710161692369</v>
      </c>
      <c r="N464" s="8">
        <f t="shared" si="21"/>
        <v>2.1103811177343754</v>
      </c>
      <c r="O464" s="8">
        <f t="shared" si="22"/>
        <v>6.1993718813014214</v>
      </c>
      <c r="P464" s="12">
        <f t="shared" si="23"/>
        <v>0</v>
      </c>
      <c r="Q464" s="11">
        <f>IF(P464=Sheet1!M464, 1, 0)</f>
        <v>1</v>
      </c>
    </row>
    <row r="465" spans="1:17" x14ac:dyDescent="0.35">
      <c r="A465" s="6" t="s">
        <v>505</v>
      </c>
      <c r="B465" s="6" t="s">
        <v>507</v>
      </c>
      <c r="C465" s="6">
        <v>0.16732974829305308</v>
      </c>
      <c r="D465" s="6">
        <v>0.35193100225173013</v>
      </c>
      <c r="E465" s="6">
        <v>-0.86895860898149446</v>
      </c>
      <c r="F465" s="6">
        <v>-0.63271513307843041</v>
      </c>
      <c r="G465" s="6">
        <v>-1.5989068701619711</v>
      </c>
      <c r="H465" s="6">
        <v>0.18840152913682801</v>
      </c>
      <c r="I465" s="6">
        <v>-9.0946099434456626E-2</v>
      </c>
      <c r="J465" s="6">
        <v>-0.3148698306918587</v>
      </c>
      <c r="K465" s="6">
        <v>-1.0084935483474982</v>
      </c>
      <c r="L465" s="6">
        <v>-0.34974560960555695</v>
      </c>
      <c r="N465" s="8">
        <f t="shared" si="21"/>
        <v>1.7509793800401863</v>
      </c>
      <c r="O465" s="8">
        <f t="shared" si="22"/>
        <v>6.0176665534091009</v>
      </c>
      <c r="P465" s="12">
        <f t="shared" si="23"/>
        <v>0</v>
      </c>
      <c r="Q465" s="11">
        <f>IF(P465=Sheet1!M465, 1, 0)</f>
        <v>1</v>
      </c>
    </row>
    <row r="466" spans="1:17" x14ac:dyDescent="0.35">
      <c r="A466" s="6" t="s">
        <v>505</v>
      </c>
      <c r="B466" s="6" t="s">
        <v>508</v>
      </c>
      <c r="C466" s="6">
        <v>-0.54259976330616977</v>
      </c>
      <c r="D466" s="6">
        <v>0.34579322622168857</v>
      </c>
      <c r="E466" s="6">
        <v>-1.2100896021672285</v>
      </c>
      <c r="F466" s="6">
        <v>-0.94392916152754913</v>
      </c>
      <c r="G466" s="6">
        <v>-1.8195735296779858</v>
      </c>
      <c r="H466" s="6">
        <v>0.22125822766315714</v>
      </c>
      <c r="I466" s="6">
        <v>-3.8671440382477024E-2</v>
      </c>
      <c r="J466" s="6">
        <v>-0.86527907361953171</v>
      </c>
      <c r="K466" s="6">
        <v>-0.89269086270712661</v>
      </c>
      <c r="L466" s="6">
        <v>-0.42418398655871886</v>
      </c>
      <c r="N466" s="8">
        <f t="shared" si="21"/>
        <v>2.3489110081083826</v>
      </c>
      <c r="O466" s="8">
        <f t="shared" si="22"/>
        <v>6.5673437226629217</v>
      </c>
      <c r="P466" s="12">
        <f t="shared" si="23"/>
        <v>0</v>
      </c>
      <c r="Q466" s="11">
        <f>IF(P466=Sheet1!M466, 1, 0)</f>
        <v>1</v>
      </c>
    </row>
    <row r="467" spans="1:17" x14ac:dyDescent="0.35">
      <c r="A467" s="6" t="s">
        <v>505</v>
      </c>
      <c r="B467" s="6" t="s">
        <v>509</v>
      </c>
      <c r="C467" s="6">
        <v>-0.95057437866753802</v>
      </c>
      <c r="D467" s="6">
        <v>-0.20660661648206549</v>
      </c>
      <c r="E467" s="6">
        <v>-1.1725136180366185</v>
      </c>
      <c r="F467" s="6">
        <v>-0.88384328474776852</v>
      </c>
      <c r="G467" s="6">
        <v>-1.0820823255060454</v>
      </c>
      <c r="H467" s="6">
        <v>-1.0359144667704869</v>
      </c>
      <c r="I467" s="6">
        <v>0.34063858566542055</v>
      </c>
      <c r="J467" s="6">
        <v>-1.1841368419362523</v>
      </c>
      <c r="K467" s="6">
        <v>-9.3026371325635418E-2</v>
      </c>
      <c r="L467" s="6">
        <v>-0.32245308010840712</v>
      </c>
      <c r="N467" s="8">
        <f t="shared" si="21"/>
        <v>2.6558876581964448</v>
      </c>
      <c r="O467" s="8">
        <f t="shared" si="22"/>
        <v>6.9581212027357191</v>
      </c>
      <c r="P467" s="12">
        <f t="shared" si="23"/>
        <v>0</v>
      </c>
      <c r="Q467" s="11">
        <f>IF(P467=Sheet1!M467, 1, 0)</f>
        <v>1</v>
      </c>
    </row>
    <row r="468" spans="1:17" x14ac:dyDescent="0.35">
      <c r="A468" s="6" t="s">
        <v>505</v>
      </c>
      <c r="B468" s="6" t="s">
        <v>510</v>
      </c>
      <c r="C468" s="6">
        <v>-0.94654831338436674</v>
      </c>
      <c r="D468" s="6">
        <v>0.11255773708010311</v>
      </c>
      <c r="E468" s="6">
        <v>-1.0336298335538736</v>
      </c>
      <c r="F468" s="6">
        <v>-0.32458243164365874</v>
      </c>
      <c r="G468" s="6">
        <v>-1.3591132060089755E-2</v>
      </c>
      <c r="H468" s="6">
        <v>-0.44287799009034873</v>
      </c>
      <c r="I468" s="6">
        <v>0.1245274951944336</v>
      </c>
      <c r="J468" s="6">
        <v>1.1199901267333845</v>
      </c>
      <c r="K468" s="6">
        <v>-0.79410208979707941</v>
      </c>
      <c r="L468" s="6">
        <v>-0.37807532601592014</v>
      </c>
      <c r="N468" s="8">
        <f t="shared" si="21"/>
        <v>2.6904341621518566</v>
      </c>
      <c r="O468" s="8">
        <f t="shared" si="22"/>
        <v>5.4971059102934934</v>
      </c>
      <c r="P468" s="12">
        <f t="shared" si="23"/>
        <v>0</v>
      </c>
      <c r="Q468" s="11">
        <f>IF(P468=Sheet1!M468, 1, 0)</f>
        <v>1</v>
      </c>
    </row>
    <row r="469" spans="1:17" x14ac:dyDescent="0.35">
      <c r="A469" s="6" t="s">
        <v>505</v>
      </c>
      <c r="B469" s="6" t="s">
        <v>511</v>
      </c>
      <c r="C469" s="6">
        <v>0.37131705597373715</v>
      </c>
      <c r="D469" s="6">
        <v>-0.10226442397135649</v>
      </c>
      <c r="E469" s="6">
        <v>-0.86637986497253106</v>
      </c>
      <c r="F469" s="6">
        <v>-0.45091683923191406</v>
      </c>
      <c r="G469" s="6">
        <v>-0.16747709198573077</v>
      </c>
      <c r="H469" s="6">
        <v>-0.3825509370584006</v>
      </c>
      <c r="I469" s="6">
        <v>-1.2511885320515537</v>
      </c>
      <c r="J469" s="6">
        <v>0.65309125169818638</v>
      </c>
      <c r="K469" s="6">
        <v>-0.72994114234768448</v>
      </c>
      <c r="L469" s="6">
        <v>-0.40688205479667994</v>
      </c>
      <c r="N469" s="8">
        <f t="shared" si="21"/>
        <v>2.294409370649892</v>
      </c>
      <c r="O469" s="8">
        <f t="shared" si="22"/>
        <v>6.040657493276858</v>
      </c>
      <c r="P469" s="12">
        <f t="shared" si="23"/>
        <v>0</v>
      </c>
      <c r="Q469" s="11">
        <f>IF(P469=Sheet1!M469, 1, 0)</f>
        <v>1</v>
      </c>
    </row>
    <row r="470" spans="1:17" x14ac:dyDescent="0.35">
      <c r="A470" s="6" t="s">
        <v>505</v>
      </c>
      <c r="B470" s="6" t="s">
        <v>512</v>
      </c>
      <c r="C470" s="6">
        <v>-0.77208548444693947</v>
      </c>
      <c r="D470" s="6">
        <v>-0.63625093858498472</v>
      </c>
      <c r="E470" s="6">
        <v>-1.4539651070149129</v>
      </c>
      <c r="F470" s="6">
        <v>-1.0825888771731962</v>
      </c>
      <c r="G470" s="6">
        <v>-0.66978409325244581</v>
      </c>
      <c r="H470" s="6">
        <v>-0.30714212076846453</v>
      </c>
      <c r="I470" s="6">
        <v>-0.39439412027277393</v>
      </c>
      <c r="J470" s="6">
        <v>0.45949903522017715</v>
      </c>
      <c r="K470" s="6">
        <v>-0.27455490557270729</v>
      </c>
      <c r="L470" s="6">
        <v>-0.43629440478483278</v>
      </c>
      <c r="N470" s="8">
        <f t="shared" si="21"/>
        <v>2.4060045858248822</v>
      </c>
      <c r="O470" s="8">
        <f t="shared" si="22"/>
        <v>6.7554678738102227</v>
      </c>
      <c r="P470" s="12">
        <f t="shared" si="23"/>
        <v>0</v>
      </c>
      <c r="Q470" s="11">
        <f>IF(P470=Sheet1!M470, 1, 0)</f>
        <v>1</v>
      </c>
    </row>
    <row r="471" spans="1:17" x14ac:dyDescent="0.35">
      <c r="A471" s="6" t="s">
        <v>505</v>
      </c>
      <c r="B471" s="6" t="s">
        <v>513</v>
      </c>
      <c r="C471" s="6">
        <v>-0.64190937362439759</v>
      </c>
      <c r="D471" s="6">
        <v>-0.47053098577385882</v>
      </c>
      <c r="E471" s="6">
        <v>-1.4211782189009494</v>
      </c>
      <c r="F471" s="6">
        <v>-1.4169128582299235</v>
      </c>
      <c r="G471" s="6">
        <v>-2.1592840449855326</v>
      </c>
      <c r="H471" s="6">
        <v>-0.63732500923796886</v>
      </c>
      <c r="I471" s="6">
        <v>-1.0695022170538218</v>
      </c>
      <c r="J471" s="6">
        <v>0.39496829639417413</v>
      </c>
      <c r="K471" s="6">
        <v>-3.6689929662751655E-2</v>
      </c>
      <c r="L471" s="6">
        <v>-0.43535183051401094</v>
      </c>
      <c r="N471" s="8">
        <f t="shared" si="21"/>
        <v>2.6333490370709494</v>
      </c>
      <c r="O471" s="8">
        <f t="shared" si="22"/>
        <v>7.5130389310825825</v>
      </c>
      <c r="P471" s="12">
        <f t="shared" si="23"/>
        <v>0</v>
      </c>
      <c r="Q471" s="11">
        <f>IF(P471=Sheet1!M471, 1, 0)</f>
        <v>1</v>
      </c>
    </row>
    <row r="472" spans="1:17" x14ac:dyDescent="0.35">
      <c r="A472" s="6" t="s">
        <v>505</v>
      </c>
      <c r="B472" s="6" t="s">
        <v>514</v>
      </c>
      <c r="C472" s="6">
        <v>-1.1706659474809076</v>
      </c>
      <c r="D472" s="6">
        <v>2.0705082906634091</v>
      </c>
      <c r="E472" s="6">
        <v>1.0923604058358354</v>
      </c>
      <c r="F472" s="6">
        <v>1.5735150091945358</v>
      </c>
      <c r="G472" s="6">
        <v>0.40741762622704125</v>
      </c>
      <c r="H472" s="6">
        <v>1.1859524417722642</v>
      </c>
      <c r="I472" s="6">
        <v>0.94753462734205607</v>
      </c>
      <c r="J472" s="6">
        <v>0.24313126386240255</v>
      </c>
      <c r="K472" s="6">
        <v>-1.5468195464595</v>
      </c>
      <c r="L472" s="6">
        <v>-0.30442189131630942</v>
      </c>
      <c r="N472" s="8">
        <f t="shared" si="21"/>
        <v>4.9896222267670245</v>
      </c>
      <c r="O472" s="8">
        <f t="shared" si="22"/>
        <v>2.2434714591688705</v>
      </c>
      <c r="P472" s="12">
        <f t="shared" si="23"/>
        <v>1</v>
      </c>
      <c r="Q472" s="11">
        <f>IF(P472=Sheet1!M472, 1, 0)</f>
        <v>0</v>
      </c>
    </row>
    <row r="473" spans="1:17" x14ac:dyDescent="0.35">
      <c r="A473" s="6" t="s">
        <v>505</v>
      </c>
      <c r="B473" s="6" t="s">
        <v>515</v>
      </c>
      <c r="C473" s="6">
        <v>-0.76403335388059668</v>
      </c>
      <c r="D473" s="6">
        <v>0.92888194907565047</v>
      </c>
      <c r="E473" s="6">
        <v>-0.74002140853332288</v>
      </c>
      <c r="F473" s="6">
        <v>0.16380790013045457</v>
      </c>
      <c r="G473" s="6">
        <v>-6.5854288261248589E-2</v>
      </c>
      <c r="H473" s="6">
        <v>0.71895641517673314</v>
      </c>
      <c r="I473" s="6">
        <v>0.83342287160663786</v>
      </c>
      <c r="J473" s="6">
        <v>-0.85389129617964865</v>
      </c>
      <c r="K473" s="6">
        <v>-0.51085498032535759</v>
      </c>
      <c r="L473" s="6">
        <v>-0.41583651036948732</v>
      </c>
      <c r="N473" s="8">
        <f t="shared" si="21"/>
        <v>2.8837712307318171</v>
      </c>
      <c r="O473" s="8">
        <f t="shared" si="22"/>
        <v>4.9634481874402594</v>
      </c>
      <c r="P473" s="12">
        <f t="shared" si="23"/>
        <v>0</v>
      </c>
      <c r="Q473" s="11">
        <f>IF(P473=Sheet1!M473, 1, 0)</f>
        <v>1</v>
      </c>
    </row>
    <row r="474" spans="1:17" x14ac:dyDescent="0.35">
      <c r="A474" s="6" t="s">
        <v>516</v>
      </c>
      <c r="B474" s="6" t="s">
        <v>517</v>
      </c>
      <c r="C474" s="6">
        <v>1.4207780731204147</v>
      </c>
      <c r="D474" s="6">
        <v>0.32737989813156382</v>
      </c>
      <c r="E474" s="6">
        <v>-1.0605224496473493</v>
      </c>
      <c r="F474" s="6">
        <v>-0.21673598614148823</v>
      </c>
      <c r="G474" s="6">
        <v>-0.33588059530058234</v>
      </c>
      <c r="H474" s="6">
        <v>-0.61093192353649162</v>
      </c>
      <c r="I474" s="6">
        <v>0.82003545892259477</v>
      </c>
      <c r="J474" s="6">
        <v>1.0782349427871476</v>
      </c>
      <c r="K474" s="6">
        <v>0.3232373365167836</v>
      </c>
      <c r="L474" s="6">
        <v>-0.38635027559699342</v>
      </c>
      <c r="N474" s="8">
        <f t="shared" si="21"/>
        <v>1.6135682272738043</v>
      </c>
      <c r="O474" s="8">
        <f t="shared" si="22"/>
        <v>5.9208868111197983</v>
      </c>
      <c r="P474" s="12">
        <f t="shared" si="23"/>
        <v>0</v>
      </c>
      <c r="Q474" s="11">
        <f>IF(P474=Sheet1!M474, 1, 0)</f>
        <v>0</v>
      </c>
    </row>
    <row r="475" spans="1:17" x14ac:dyDescent="0.35">
      <c r="A475" s="6" t="s">
        <v>516</v>
      </c>
      <c r="B475" s="6" t="s">
        <v>518</v>
      </c>
      <c r="C475" s="6">
        <v>0.50551923207945038</v>
      </c>
      <c r="D475" s="6">
        <v>8.8006632959936798E-2</v>
      </c>
      <c r="E475" s="6">
        <v>-0.80080608874460379</v>
      </c>
      <c r="F475" s="6">
        <v>-0.71128897194429574</v>
      </c>
      <c r="G475" s="6">
        <v>-1.3724331932902731</v>
      </c>
      <c r="H475" s="6">
        <v>-0.1417813593326771</v>
      </c>
      <c r="I475" s="6">
        <v>-8.6483628539775009E-2</v>
      </c>
      <c r="J475" s="6">
        <v>-0.69446241202128833</v>
      </c>
      <c r="K475" s="6">
        <v>0.9679766133253439</v>
      </c>
      <c r="L475" s="6">
        <v>-0.42308137734353385</v>
      </c>
      <c r="N475" s="8">
        <f t="shared" si="21"/>
        <v>1.4489791453806398</v>
      </c>
      <c r="O475" s="8">
        <f t="shared" si="22"/>
        <v>6.5981797015262424</v>
      </c>
      <c r="P475" s="12">
        <f t="shared" si="23"/>
        <v>0</v>
      </c>
      <c r="Q475" s="11">
        <f>IF(P475=Sheet1!M475, 1, 0)</f>
        <v>1</v>
      </c>
    </row>
    <row r="476" spans="1:17" x14ac:dyDescent="0.35">
      <c r="A476" s="6" t="s">
        <v>516</v>
      </c>
      <c r="B476" s="6" t="s">
        <v>519</v>
      </c>
      <c r="C476" s="6">
        <v>2.5950471140454052</v>
      </c>
      <c r="D476" s="6">
        <v>-0.83265977154631954</v>
      </c>
      <c r="E476" s="6">
        <v>-0.84390795289442122</v>
      </c>
      <c r="F476" s="6">
        <v>-1.4785393985168778</v>
      </c>
      <c r="G476" s="6">
        <v>-2.7341787631983023</v>
      </c>
      <c r="H476" s="6">
        <v>-0.86732189892227318</v>
      </c>
      <c r="I476" s="6">
        <v>-4.1664570179625366</v>
      </c>
      <c r="J476" s="6">
        <v>-0.81972796386000013</v>
      </c>
      <c r="K476" s="6">
        <v>0.86156333462878443</v>
      </c>
      <c r="L476" s="6">
        <v>-0.43825176650936182</v>
      </c>
      <c r="N476" s="8">
        <f t="shared" si="21"/>
        <v>5.3470600380728586</v>
      </c>
      <c r="O476" s="8">
        <f t="shared" si="22"/>
        <v>9.9224784471429981</v>
      </c>
      <c r="P476" s="12">
        <f t="shared" si="23"/>
        <v>0</v>
      </c>
      <c r="Q476" s="11">
        <f>IF(P476=Sheet1!M476, 1, 0)</f>
        <v>0</v>
      </c>
    </row>
    <row r="477" spans="1:17" x14ac:dyDescent="0.35">
      <c r="A477" s="6" t="s">
        <v>516</v>
      </c>
      <c r="B477" s="6" t="s">
        <v>520</v>
      </c>
      <c r="C477" s="6">
        <v>2.3507991535330071</v>
      </c>
      <c r="D477" s="6">
        <v>-0.13295330412156439</v>
      </c>
      <c r="E477" s="6">
        <v>-0.22721974275088053</v>
      </c>
      <c r="F477" s="6">
        <v>-0.81297276341776981</v>
      </c>
      <c r="G477" s="6">
        <v>-2.5164156123601318</v>
      </c>
      <c r="H477" s="6">
        <v>1.3345348463762764E-2</v>
      </c>
      <c r="I477" s="6">
        <v>0.3336261314023502</v>
      </c>
      <c r="J477" s="6">
        <v>-0.12127761421384972</v>
      </c>
      <c r="K477" s="6">
        <v>-0.33089134723559105</v>
      </c>
      <c r="L477" s="6">
        <v>6.4727448954961561E-2</v>
      </c>
      <c r="N477" s="8">
        <f t="shared" si="21"/>
        <v>2.4659687254799492</v>
      </c>
      <c r="O477" s="8">
        <f t="shared" si="22"/>
        <v>6.9697992979522922</v>
      </c>
      <c r="P477" s="12">
        <f t="shared" si="23"/>
        <v>0</v>
      </c>
      <c r="Q477" s="11">
        <f>IF(P477=Sheet1!M477, 1, 0)</f>
        <v>0</v>
      </c>
    </row>
    <row r="478" spans="1:17" x14ac:dyDescent="0.35">
      <c r="A478" s="6" t="s">
        <v>516</v>
      </c>
      <c r="B478" s="6" t="s">
        <v>521</v>
      </c>
      <c r="C478" s="6">
        <v>1.1121130680772742</v>
      </c>
      <c r="D478" s="6">
        <v>-5.9299991761064347E-2</v>
      </c>
      <c r="E478" s="6">
        <v>0.60866170815455178</v>
      </c>
      <c r="F478" s="6">
        <v>0.32249624136936217</v>
      </c>
      <c r="G478" s="6">
        <v>-0.24296831760963145</v>
      </c>
      <c r="H478" s="6">
        <v>0.52235485842082952</v>
      </c>
      <c r="I478" s="6">
        <v>6.7790365247773279E-2</v>
      </c>
      <c r="J478" s="6">
        <v>0.75178532284383803</v>
      </c>
      <c r="K478" s="6">
        <v>0.31697773188757328</v>
      </c>
      <c r="L478" s="6">
        <v>-0.32117223638801018</v>
      </c>
      <c r="N478" s="8">
        <f t="shared" si="21"/>
        <v>2.5416953461104157</v>
      </c>
      <c r="O478" s="8">
        <f t="shared" si="22"/>
        <v>4.7401200264469141</v>
      </c>
      <c r="P478" s="12">
        <f t="shared" si="23"/>
        <v>0</v>
      </c>
      <c r="Q478" s="11">
        <f>IF(P478=Sheet1!M478, 1, 0)</f>
        <v>0</v>
      </c>
    </row>
    <row r="479" spans="1:17" x14ac:dyDescent="0.35">
      <c r="A479" s="6" t="s">
        <v>516</v>
      </c>
      <c r="B479" s="6" t="s">
        <v>522</v>
      </c>
      <c r="C479" s="6">
        <v>0.84236669410479081</v>
      </c>
      <c r="D479" s="6">
        <v>-0.58101095431460936</v>
      </c>
      <c r="E479" s="6">
        <v>-1.5239595872582061</v>
      </c>
      <c r="F479" s="6">
        <v>-1.1503780714888456</v>
      </c>
      <c r="G479" s="6">
        <v>-0.9485209263253026</v>
      </c>
      <c r="H479" s="6">
        <v>-1.9499770470849229</v>
      </c>
      <c r="I479" s="6">
        <v>-2.151970156935048</v>
      </c>
      <c r="J479" s="6">
        <v>-0.572992785995871</v>
      </c>
      <c r="K479" s="6">
        <v>1.6596629248529713</v>
      </c>
      <c r="L479" s="6">
        <v>-0.43176507527055735</v>
      </c>
      <c r="N479" s="8">
        <f t="shared" si="21"/>
        <v>3.5654328982295098</v>
      </c>
      <c r="O479" s="8">
        <f t="shared" si="22"/>
        <v>8.6209820769417185</v>
      </c>
      <c r="P479" s="12">
        <f t="shared" si="23"/>
        <v>0</v>
      </c>
      <c r="Q479" s="11">
        <f>IF(P479=Sheet1!M479, 1, 0)</f>
        <v>0</v>
      </c>
    </row>
    <row r="480" spans="1:17" x14ac:dyDescent="0.35">
      <c r="A480" s="6" t="s">
        <v>516</v>
      </c>
      <c r="B480" s="6" t="s">
        <v>523</v>
      </c>
      <c r="C480" s="6">
        <v>2.0810527795605238</v>
      </c>
      <c r="D480" s="6">
        <v>-6.5437767791105925E-2</v>
      </c>
      <c r="E480" s="6">
        <v>-1.0958880817702765</v>
      </c>
      <c r="F480" s="6">
        <v>-0.64041845061429925</v>
      </c>
      <c r="G480" s="6">
        <v>-0.99788057384862183</v>
      </c>
      <c r="H480" s="6">
        <v>0.3801553762740934</v>
      </c>
      <c r="I480" s="6">
        <v>4.0407810380426222E-3</v>
      </c>
      <c r="J480" s="6">
        <v>-0.64511537644846251</v>
      </c>
      <c r="K480" s="6">
        <v>-8.989656901103138E-2</v>
      </c>
      <c r="L480" s="6">
        <v>-0.28089598137924437</v>
      </c>
      <c r="N480" s="8">
        <f t="shared" si="21"/>
        <v>1.8473338054993715</v>
      </c>
      <c r="O480" s="8">
        <f t="shared" si="22"/>
        <v>6.7820661268869298</v>
      </c>
      <c r="P480" s="12">
        <f t="shared" si="23"/>
        <v>0</v>
      </c>
      <c r="Q480" s="11">
        <f>IF(P480=Sheet1!M480, 1, 0)</f>
        <v>1</v>
      </c>
    </row>
    <row r="481" spans="1:17" x14ac:dyDescent="0.35">
      <c r="A481" s="6" t="s">
        <v>516</v>
      </c>
      <c r="B481" s="6" t="s">
        <v>524</v>
      </c>
      <c r="C481" s="6">
        <v>0.70145440919379176</v>
      </c>
      <c r="D481" s="6">
        <v>-0.2557088247223992</v>
      </c>
      <c r="E481" s="6">
        <v>-0.89990353708905568</v>
      </c>
      <c r="F481" s="6">
        <v>-0.92544119944146208</v>
      </c>
      <c r="G481" s="6">
        <v>-1.4014682800686984</v>
      </c>
      <c r="H481" s="6">
        <v>-1.1899639057627842</v>
      </c>
      <c r="I481" s="6">
        <v>-0.74501683342629255</v>
      </c>
      <c r="J481" s="6">
        <v>-0.47429871485021918</v>
      </c>
      <c r="K481" s="6">
        <v>-0.47486225370740337</v>
      </c>
      <c r="L481" s="6">
        <v>-0.40481309277996602</v>
      </c>
      <c r="N481" s="8">
        <f t="shared" si="21"/>
        <v>1.9306989835103487</v>
      </c>
      <c r="O481" s="8">
        <f t="shared" si="22"/>
        <v>7.0166543478901824</v>
      </c>
      <c r="P481" s="12">
        <f t="shared" si="23"/>
        <v>0</v>
      </c>
      <c r="Q481" s="11">
        <f>IF(P481=Sheet1!M481, 1, 0)</f>
        <v>0</v>
      </c>
    </row>
    <row r="482" spans="1:17" x14ac:dyDescent="0.35">
      <c r="A482" s="6" t="s">
        <v>516</v>
      </c>
      <c r="B482" s="6" t="s">
        <v>525</v>
      </c>
      <c r="C482" s="6">
        <v>2.8970020102832601</v>
      </c>
      <c r="D482" s="6">
        <v>-1.8699439206233688</v>
      </c>
      <c r="E482" s="6">
        <v>-1.9973433089036361</v>
      </c>
      <c r="F482" s="6">
        <v>-2.4984586402659716</v>
      </c>
      <c r="G482" s="6">
        <v>-2.7457927979096715</v>
      </c>
      <c r="H482" s="6">
        <v>-0.40140314113088427</v>
      </c>
      <c r="I482" s="6">
        <v>-3.0655016986604888</v>
      </c>
      <c r="J482" s="6">
        <v>-1.3549535035344955</v>
      </c>
      <c r="K482" s="6">
        <v>0.96171700869613352</v>
      </c>
      <c r="L482" s="6">
        <v>-0.45585809689648016</v>
      </c>
      <c r="N482" s="8">
        <f t="shared" si="21"/>
        <v>5.510396853522149</v>
      </c>
      <c r="O482" s="8">
        <f t="shared" si="22"/>
        <v>10.875982118214429</v>
      </c>
      <c r="P482" s="12">
        <f t="shared" si="23"/>
        <v>0</v>
      </c>
      <c r="Q482" s="11">
        <f>IF(P482=Sheet1!M482, 1, 0)</f>
        <v>0</v>
      </c>
    </row>
    <row r="483" spans="1:17" x14ac:dyDescent="0.35">
      <c r="A483" s="6" t="s">
        <v>516</v>
      </c>
      <c r="B483" s="6" t="s">
        <v>526</v>
      </c>
      <c r="C483" s="6">
        <v>2.5655226353021487</v>
      </c>
      <c r="D483" s="6">
        <v>-0.90631308390682019</v>
      </c>
      <c r="E483" s="6">
        <v>-1.8713532444657084</v>
      </c>
      <c r="F483" s="6">
        <v>-1.5756011994688301</v>
      </c>
      <c r="G483" s="6">
        <v>-1.2795209155993224</v>
      </c>
      <c r="H483" s="6">
        <v>-0.36154419537763277</v>
      </c>
      <c r="I483" s="6">
        <v>-2.8245282703477068</v>
      </c>
      <c r="J483" s="6">
        <v>-1.203116471002724</v>
      </c>
      <c r="K483" s="6">
        <v>1.8850086915045086</v>
      </c>
      <c r="L483" s="6">
        <v>-0.4491674075950281</v>
      </c>
      <c r="N483" s="8">
        <f t="shared" si="21"/>
        <v>4.504897996227748</v>
      </c>
      <c r="O483" s="8">
        <f t="shared" si="22"/>
        <v>9.6450821328540925</v>
      </c>
      <c r="P483" s="12">
        <f t="shared" si="23"/>
        <v>0</v>
      </c>
      <c r="Q483" s="11">
        <f>IF(P483=Sheet1!M483, 1, 0)</f>
        <v>0</v>
      </c>
    </row>
    <row r="484" spans="1:17" x14ac:dyDescent="0.35">
      <c r="A484" s="6" t="s">
        <v>516</v>
      </c>
      <c r="B484" s="6" t="s">
        <v>527</v>
      </c>
      <c r="C484" s="6">
        <v>2.285040087241208</v>
      </c>
      <c r="D484" s="6">
        <v>-1.1088596928981966</v>
      </c>
      <c r="E484" s="6">
        <v>-1.7755713241327811</v>
      </c>
      <c r="F484" s="6">
        <v>-1.5524912468612224</v>
      </c>
      <c r="G484" s="6">
        <v>-0.59719637630638889</v>
      </c>
      <c r="H484" s="6">
        <v>0.77228122098175955</v>
      </c>
      <c r="I484" s="6">
        <v>-0.27836987701106458</v>
      </c>
      <c r="J484" s="6">
        <v>-0.81972796386000013</v>
      </c>
      <c r="K484" s="6">
        <v>2.3701280502682298</v>
      </c>
      <c r="L484" s="6">
        <v>-0.44667799602217417</v>
      </c>
      <c r="N484" s="8">
        <f t="shared" si="21"/>
        <v>3.7059617681578807</v>
      </c>
      <c r="O484" s="8">
        <f t="shared" si="22"/>
        <v>8.7243512065243127</v>
      </c>
      <c r="P484" s="12">
        <f t="shared" si="23"/>
        <v>0</v>
      </c>
      <c r="Q484" s="11">
        <f>IF(P484=Sheet1!M484, 1, 0)</f>
        <v>0</v>
      </c>
    </row>
    <row r="485" spans="1:17" x14ac:dyDescent="0.35">
      <c r="A485" s="6" t="s">
        <v>516</v>
      </c>
      <c r="B485" s="6" t="s">
        <v>528</v>
      </c>
      <c r="C485" s="6">
        <v>3.0097318382120597</v>
      </c>
      <c r="D485" s="6">
        <v>-2.0356638734344945</v>
      </c>
      <c r="E485" s="6">
        <v>-1.9582937567679042</v>
      </c>
      <c r="F485" s="6">
        <v>-2.1256180715298973</v>
      </c>
      <c r="G485" s="6">
        <v>-0.69591567135302324</v>
      </c>
      <c r="H485" s="6">
        <v>-1.7232119638130445</v>
      </c>
      <c r="I485" s="6">
        <v>-0.16999558385452232</v>
      </c>
      <c r="J485" s="6">
        <v>-1.6548316427847449</v>
      </c>
      <c r="K485" s="6">
        <v>3.9506782191435814</v>
      </c>
      <c r="L485" s="6">
        <v>-0.45564831091379226</v>
      </c>
      <c r="N485" s="8">
        <f t="shared" si="21"/>
        <v>5.8649824687234116</v>
      </c>
      <c r="O485" s="8">
        <f t="shared" si="22"/>
        <v>11.018714001271826</v>
      </c>
      <c r="P485" s="12">
        <f t="shared" si="23"/>
        <v>0</v>
      </c>
      <c r="Q485" s="11">
        <f>IF(P485=Sheet1!M485, 1, 0)</f>
        <v>1</v>
      </c>
    </row>
    <row r="486" spans="1:17" x14ac:dyDescent="0.35">
      <c r="A486" s="6" t="s">
        <v>516</v>
      </c>
      <c r="B486" s="6" t="s">
        <v>529</v>
      </c>
      <c r="C486" s="6">
        <v>0.41291973056650833</v>
      </c>
      <c r="D486" s="6">
        <v>1.6899661768008225</v>
      </c>
      <c r="E486" s="6">
        <v>1.259610374417178</v>
      </c>
      <c r="F486" s="6">
        <v>1.3193055305108483</v>
      </c>
      <c r="G486" s="6">
        <v>0.36967201341509293</v>
      </c>
      <c r="H486" s="6">
        <v>0.72865183441401093</v>
      </c>
      <c r="I486" s="6">
        <v>0.44901287882196284</v>
      </c>
      <c r="J486" s="6">
        <v>1.8563997345124774</v>
      </c>
      <c r="K486" s="6">
        <v>-1.2620075358304761</v>
      </c>
      <c r="L486" s="6">
        <v>-0.25026139819673437</v>
      </c>
      <c r="N486" s="8">
        <f t="shared" si="21"/>
        <v>4.4163561035640377</v>
      </c>
      <c r="O486" s="8">
        <f t="shared" si="22"/>
        <v>2.3191900082426979</v>
      </c>
      <c r="P486" s="12">
        <f t="shared" si="23"/>
        <v>1</v>
      </c>
      <c r="Q486" s="11">
        <f>IF(P486=Sheet1!M486, 1, 0)</f>
        <v>0</v>
      </c>
    </row>
    <row r="487" spans="1:17" x14ac:dyDescent="0.35">
      <c r="A487" s="6" t="s">
        <v>530</v>
      </c>
      <c r="B487" s="6" t="s">
        <v>531</v>
      </c>
      <c r="C487" s="6">
        <v>-0.28358956342214331</v>
      </c>
      <c r="D487" s="6">
        <v>0.18007327341056265</v>
      </c>
      <c r="E487" s="6">
        <v>-4.5602486119598835E-2</v>
      </c>
      <c r="F487" s="6">
        <v>8.6774724771761666E-2</v>
      </c>
      <c r="G487" s="6">
        <v>-0.75108233623202991</v>
      </c>
      <c r="H487" s="6">
        <v>0.26381034542676335</v>
      </c>
      <c r="I487" s="6">
        <v>-0.87889096026672742</v>
      </c>
      <c r="J487" s="6">
        <v>-1.0892386966038949</v>
      </c>
      <c r="K487" s="6">
        <v>0.19178563930338741</v>
      </c>
      <c r="L487" s="6">
        <v>-0.24111775912918038</v>
      </c>
      <c r="N487" s="8">
        <f t="shared" si="21"/>
        <v>2.5967384330686691</v>
      </c>
      <c r="O487" s="8">
        <f t="shared" si="22"/>
        <v>5.6412763506396058</v>
      </c>
      <c r="P487" s="12">
        <f t="shared" si="23"/>
        <v>0</v>
      </c>
      <c r="Q487" s="11">
        <f>IF(P487=Sheet1!M487, 1, 0)</f>
        <v>0</v>
      </c>
    </row>
    <row r="488" spans="1:17" x14ac:dyDescent="0.35">
      <c r="A488" s="6" t="s">
        <v>530</v>
      </c>
      <c r="B488" s="6" t="s">
        <v>532</v>
      </c>
      <c r="C488" s="6">
        <v>3.3304750391047144</v>
      </c>
      <c r="D488" s="6">
        <v>-1.7410506239924928</v>
      </c>
      <c r="E488" s="6">
        <v>-1.0240516415205809</v>
      </c>
      <c r="F488" s="6">
        <v>-1.7342895407077377</v>
      </c>
      <c r="G488" s="6">
        <v>-2.832898058244941</v>
      </c>
      <c r="H488" s="6">
        <v>-2.8818145626677008</v>
      </c>
      <c r="I488" s="6">
        <v>-2.6555918721919207</v>
      </c>
      <c r="J488" s="6">
        <v>-1.3056064679616697</v>
      </c>
      <c r="K488" s="6">
        <v>2.2965776958750204</v>
      </c>
      <c r="L488" s="6">
        <v>-0.36156945265711266</v>
      </c>
      <c r="N488" s="8">
        <f t="shared" si="21"/>
        <v>6.0424416366424945</v>
      </c>
      <c r="O488" s="8">
        <f t="shared" si="22"/>
        <v>11.143817651006957</v>
      </c>
      <c r="P488" s="12">
        <f t="shared" si="23"/>
        <v>0</v>
      </c>
      <c r="Q488" s="11">
        <f>IF(P488=Sheet1!M488, 1, 0)</f>
        <v>1</v>
      </c>
    </row>
    <row r="489" spans="1:17" x14ac:dyDescent="0.35">
      <c r="A489" s="6" t="s">
        <v>530</v>
      </c>
      <c r="B489" s="6" t="s">
        <v>533</v>
      </c>
      <c r="C489" s="6">
        <v>-1.9211276493888138E-2</v>
      </c>
      <c r="D489" s="6">
        <v>0.99025970937606844</v>
      </c>
      <c r="E489" s="6">
        <v>-0.12370159039106277</v>
      </c>
      <c r="F489" s="6">
        <v>0.3240369048765368</v>
      </c>
      <c r="G489" s="6">
        <v>-0.72495075813144838</v>
      </c>
      <c r="H489" s="6">
        <v>-0.32114661522231003</v>
      </c>
      <c r="I489" s="6">
        <v>-0.65449242384847495</v>
      </c>
      <c r="J489" s="6">
        <v>1.0668471653472644</v>
      </c>
      <c r="K489" s="6">
        <v>-0.23386747548284592</v>
      </c>
      <c r="L489" s="6">
        <v>-0.24431388200745963</v>
      </c>
      <c r="N489" s="8">
        <f t="shared" si="21"/>
        <v>2.1694134268962593</v>
      </c>
      <c r="O489" s="8">
        <f t="shared" si="22"/>
        <v>4.6249225871878554</v>
      </c>
      <c r="P489" s="12">
        <f t="shared" si="23"/>
        <v>0</v>
      </c>
      <c r="Q489" s="11">
        <f>IF(P489=Sheet1!M489, 1, 0)</f>
        <v>0</v>
      </c>
    </row>
    <row r="490" spans="1:17" x14ac:dyDescent="0.35">
      <c r="A490" s="6" t="s">
        <v>530</v>
      </c>
      <c r="B490" s="6" t="s">
        <v>534</v>
      </c>
      <c r="C490" s="6">
        <v>1.5509541839429564</v>
      </c>
      <c r="D490" s="6">
        <v>0.96570860525590108</v>
      </c>
      <c r="E490" s="6">
        <v>-0.54108972784185816</v>
      </c>
      <c r="F490" s="6">
        <v>-0.11967418518953367</v>
      </c>
      <c r="G490" s="6">
        <v>-0.43750339902506036</v>
      </c>
      <c r="H490" s="6">
        <v>0.45933463337852593</v>
      </c>
      <c r="I490" s="6">
        <v>0.13090245361540628</v>
      </c>
      <c r="J490" s="6">
        <v>-0.76278907666058571</v>
      </c>
      <c r="K490" s="6">
        <v>0.5673619170559473</v>
      </c>
      <c r="L490" s="6">
        <v>-0.29818874022829528</v>
      </c>
      <c r="N490" s="8">
        <f t="shared" si="21"/>
        <v>1.8730851650130635</v>
      </c>
      <c r="O490" s="8">
        <f t="shared" si="22"/>
        <v>5.7153098886817677</v>
      </c>
      <c r="P490" s="12">
        <f t="shared" si="23"/>
        <v>0</v>
      </c>
      <c r="Q490" s="11">
        <f>IF(P490=Sheet1!M490, 1, 0)</f>
        <v>0</v>
      </c>
    </row>
    <row r="491" spans="1:17" x14ac:dyDescent="0.35">
      <c r="A491" s="6" t="s">
        <v>530</v>
      </c>
      <c r="B491" s="6" t="s">
        <v>535</v>
      </c>
      <c r="C491" s="6">
        <v>1.8542511019418684</v>
      </c>
      <c r="D491" s="6">
        <v>0.63426869963364929</v>
      </c>
      <c r="E491" s="6">
        <v>-1.0439448095897275</v>
      </c>
      <c r="F491" s="6">
        <v>-0.33998906671539642</v>
      </c>
      <c r="G491" s="6">
        <v>-0.14134551388514929</v>
      </c>
      <c r="H491" s="6">
        <v>-0.47627332301874908</v>
      </c>
      <c r="I491" s="6">
        <v>-0.27071992690589664</v>
      </c>
      <c r="J491" s="6">
        <v>-0.98295277383165469</v>
      </c>
      <c r="K491" s="6">
        <v>-0.86452264187568473</v>
      </c>
      <c r="L491" s="6">
        <v>-0.39831664356766405</v>
      </c>
      <c r="N491" s="8">
        <f t="shared" si="21"/>
        <v>2.2877541273050404</v>
      </c>
      <c r="O491" s="8">
        <f t="shared" si="22"/>
        <v>6.3980835299247767</v>
      </c>
      <c r="P491" s="12">
        <f t="shared" si="23"/>
        <v>0</v>
      </c>
      <c r="Q491" s="11">
        <f>IF(P491=Sheet1!M491, 1, 0)</f>
        <v>0</v>
      </c>
    </row>
    <row r="492" spans="1:17" x14ac:dyDescent="0.35">
      <c r="A492" s="6" t="s">
        <v>530</v>
      </c>
      <c r="B492" s="6" t="s">
        <v>536</v>
      </c>
      <c r="C492" s="6">
        <v>1.6341595331284986</v>
      </c>
      <c r="D492" s="6">
        <v>1.1682552142472775</v>
      </c>
      <c r="E492" s="6">
        <v>-0.26442733488021003</v>
      </c>
      <c r="F492" s="6">
        <v>0.3702568100917521</v>
      </c>
      <c r="G492" s="6">
        <v>-0.39685427753526831</v>
      </c>
      <c r="H492" s="6">
        <v>0.32952374247942162</v>
      </c>
      <c r="I492" s="6">
        <v>0.79899809613338379</v>
      </c>
      <c r="J492" s="6">
        <v>1.6817871471009402</v>
      </c>
      <c r="K492" s="6">
        <v>8.6769811250344078E-4</v>
      </c>
      <c r="L492" s="6">
        <v>-0.3894164523571117</v>
      </c>
      <c r="N492" s="8">
        <f t="shared" si="21"/>
        <v>2.4877065774219371</v>
      </c>
      <c r="O492" s="8">
        <f t="shared" si="22"/>
        <v>4.6597059477049854</v>
      </c>
      <c r="P492" s="12">
        <f t="shared" si="23"/>
        <v>0</v>
      </c>
      <c r="Q492" s="11">
        <f>IF(P492=Sheet1!M492, 1, 0)</f>
        <v>0</v>
      </c>
    </row>
    <row r="493" spans="1:17" x14ac:dyDescent="0.35">
      <c r="A493" s="6" t="s">
        <v>530</v>
      </c>
      <c r="B493" s="6" t="s">
        <v>537</v>
      </c>
      <c r="C493" s="6">
        <v>3.2633739510518578</v>
      </c>
      <c r="D493" s="6">
        <v>-2.2504860344859545</v>
      </c>
      <c r="E493" s="6">
        <v>-1.4543334990161936</v>
      </c>
      <c r="F493" s="6">
        <v>-2.0378002516209874</v>
      </c>
      <c r="G493" s="6">
        <v>-0.88174022673492913</v>
      </c>
      <c r="H493" s="6">
        <v>-4.1443736011220542</v>
      </c>
      <c r="I493" s="6">
        <v>-0.19422042585421967</v>
      </c>
      <c r="J493" s="6">
        <v>-1.6396479395315677</v>
      </c>
      <c r="K493" s="6">
        <v>3.0978070884138136</v>
      </c>
      <c r="L493" s="6">
        <v>-0.39448198982833305</v>
      </c>
      <c r="N493" s="8">
        <f t="shared" si="21"/>
        <v>6.5475345144657169</v>
      </c>
      <c r="O493" s="8">
        <f t="shared" si="22"/>
        <v>11.543417396907383</v>
      </c>
      <c r="P493" s="12">
        <f t="shared" si="23"/>
        <v>0</v>
      </c>
      <c r="Q493" s="11">
        <f>IF(P493=Sheet1!M493, 1, 0)</f>
        <v>0</v>
      </c>
    </row>
    <row r="494" spans="1:17" x14ac:dyDescent="0.35">
      <c r="A494" s="6" t="s">
        <v>530</v>
      </c>
      <c r="B494" s="6" t="s">
        <v>538</v>
      </c>
      <c r="C494" s="6">
        <v>3.1841946671494865</v>
      </c>
      <c r="D494" s="6">
        <v>-2.8826769655802504</v>
      </c>
      <c r="E494" s="6">
        <v>-1.8551439964093668</v>
      </c>
      <c r="F494" s="6">
        <v>-3.2256518156520322</v>
      </c>
      <c r="G494" s="6">
        <v>-1.2562928461765845</v>
      </c>
      <c r="H494" s="6">
        <v>-3.3078743747058383</v>
      </c>
      <c r="I494" s="6">
        <v>-0.14449575017062968</v>
      </c>
      <c r="J494" s="6">
        <v>-1.2600553582021381</v>
      </c>
      <c r="K494" s="6">
        <v>3.431131034919209</v>
      </c>
      <c r="L494" s="6">
        <v>-0.4383993898129166</v>
      </c>
      <c r="N494" s="8">
        <f t="shared" si="21"/>
        <v>6.8347585967351208</v>
      </c>
      <c r="O494" s="8">
        <f t="shared" si="22"/>
        <v>12.168321202665068</v>
      </c>
      <c r="P494" s="12">
        <f t="shared" si="23"/>
        <v>0</v>
      </c>
      <c r="Q494" s="11">
        <f>IF(P494=Sheet1!M494, 1, 0)</f>
        <v>0</v>
      </c>
    </row>
    <row r="495" spans="1:17" x14ac:dyDescent="0.35">
      <c r="A495" s="6" t="s">
        <v>530</v>
      </c>
      <c r="B495" s="6" t="s">
        <v>539</v>
      </c>
      <c r="C495" s="6">
        <v>0.25456116276176671</v>
      </c>
      <c r="D495" s="6">
        <v>1.0700507977666101</v>
      </c>
      <c r="E495" s="6">
        <v>0.39609952341570898</v>
      </c>
      <c r="F495" s="6">
        <v>0.70149946413413244</v>
      </c>
      <c r="G495" s="6">
        <v>0.78487375434653639</v>
      </c>
      <c r="H495" s="6">
        <v>0.3462214089436218</v>
      </c>
      <c r="I495" s="6">
        <v>0.3903632613490105</v>
      </c>
      <c r="J495" s="6">
        <v>0.11786571202369081</v>
      </c>
      <c r="K495" s="6">
        <v>-0.73463584581959163</v>
      </c>
      <c r="L495" s="6">
        <v>0.99575701327331334</v>
      </c>
      <c r="N495" s="8">
        <f t="shared" si="21"/>
        <v>3.512669205351882</v>
      </c>
      <c r="O495" s="8">
        <f t="shared" si="22"/>
        <v>3.8461536609340774</v>
      </c>
      <c r="P495" s="12">
        <f t="shared" si="23"/>
        <v>0</v>
      </c>
      <c r="Q495" s="11">
        <f>IF(P495=Sheet1!M495, 1, 0)</f>
        <v>1</v>
      </c>
    </row>
    <row r="496" spans="1:17" x14ac:dyDescent="0.35">
      <c r="A496" s="6" t="s">
        <v>530</v>
      </c>
      <c r="B496" s="6" t="s">
        <v>540</v>
      </c>
      <c r="C496" s="6">
        <v>1.0235396318475034</v>
      </c>
      <c r="D496" s="6">
        <v>0.21689992959081214</v>
      </c>
      <c r="E496" s="6">
        <v>-0.90653459311210449</v>
      </c>
      <c r="F496" s="6">
        <v>-1.2797938060914502</v>
      </c>
      <c r="G496" s="6">
        <v>-2.710950693775565</v>
      </c>
      <c r="H496" s="6">
        <v>-0.83446520039594407</v>
      </c>
      <c r="I496" s="6">
        <v>-1.3155756121033821</v>
      </c>
      <c r="J496" s="6">
        <v>0.63411162263171506</v>
      </c>
      <c r="K496" s="6">
        <v>1.6048913843473906</v>
      </c>
      <c r="L496" s="6">
        <v>-0.39158928350927796</v>
      </c>
      <c r="N496" s="8">
        <f t="shared" si="21"/>
        <v>2.6933997262593028</v>
      </c>
      <c r="O496" s="8">
        <f t="shared" si="22"/>
        <v>7.8141876383815596</v>
      </c>
      <c r="P496" s="12">
        <f t="shared" si="23"/>
        <v>0</v>
      </c>
      <c r="Q496" s="11">
        <f>IF(P496=Sheet1!M496, 1, 0)</f>
        <v>1</v>
      </c>
    </row>
    <row r="497" spans="1:17" x14ac:dyDescent="0.35">
      <c r="A497" s="6" t="s">
        <v>530</v>
      </c>
      <c r="B497" s="6" t="s">
        <v>541</v>
      </c>
      <c r="C497" s="6">
        <v>1.8488830148976401</v>
      </c>
      <c r="D497" s="6">
        <v>-1.1825130052586972</v>
      </c>
      <c r="E497" s="6">
        <v>-1.472753099080218</v>
      </c>
      <c r="F497" s="6">
        <v>-1.729667550186216</v>
      </c>
      <c r="G497" s="6">
        <v>-1.262099863532268</v>
      </c>
      <c r="H497" s="6">
        <v>-2.2575372906674467</v>
      </c>
      <c r="I497" s="6">
        <v>-2.3253690259855158</v>
      </c>
      <c r="J497" s="6">
        <v>-0.36042094045139028</v>
      </c>
      <c r="K497" s="6">
        <v>-1.2307095126844292</v>
      </c>
      <c r="L497" s="6">
        <v>-0.41957828575293704</v>
      </c>
      <c r="N497" s="8">
        <f t="shared" si="21"/>
        <v>4.273150315292229</v>
      </c>
      <c r="O497" s="8">
        <f t="shared" si="22"/>
        <v>9.1065122111851782</v>
      </c>
      <c r="P497" s="12">
        <f t="shared" si="23"/>
        <v>0</v>
      </c>
      <c r="Q497" s="11">
        <f>IF(P497=Sheet1!M497, 1, 0)</f>
        <v>0</v>
      </c>
    </row>
    <row r="498" spans="1:17" x14ac:dyDescent="0.35">
      <c r="A498" s="6" t="s">
        <v>530</v>
      </c>
      <c r="B498" s="6" t="s">
        <v>542</v>
      </c>
      <c r="C498" s="6">
        <v>1.6851563600486694</v>
      </c>
      <c r="D498" s="6">
        <v>-2.0602149775546614</v>
      </c>
      <c r="E498" s="6">
        <v>-1.6904727718369876</v>
      </c>
      <c r="F498" s="6">
        <v>-2.8712992090020455</v>
      </c>
      <c r="G498" s="6">
        <v>-3.213257695042278</v>
      </c>
      <c r="H498" s="6">
        <v>-2.4702978794854795</v>
      </c>
      <c r="I498" s="6">
        <v>0.86274768034311444</v>
      </c>
      <c r="J498" s="6">
        <v>-1.7497297881171021</v>
      </c>
      <c r="K498" s="6">
        <v>1.8302371509989257</v>
      </c>
      <c r="L498" s="6">
        <v>-0.42626847357395242</v>
      </c>
      <c r="N498" s="8">
        <f t="shared" si="21"/>
        <v>5.3875027529300565</v>
      </c>
      <c r="O498" s="8">
        <f t="shared" si="22"/>
        <v>10.9200875113495</v>
      </c>
      <c r="P498" s="12">
        <f t="shared" si="23"/>
        <v>0</v>
      </c>
      <c r="Q498" s="11">
        <f>IF(P498=Sheet1!M498, 1, 0)</f>
        <v>0</v>
      </c>
    </row>
    <row r="499" spans="1:17" x14ac:dyDescent="0.35">
      <c r="A499" s="6" t="s">
        <v>530</v>
      </c>
      <c r="B499" s="6" t="s">
        <v>543</v>
      </c>
      <c r="C499" s="6">
        <v>3.4042862359628563</v>
      </c>
      <c r="D499" s="6">
        <v>-2.5573748359880404</v>
      </c>
      <c r="E499" s="6">
        <v>-2.0002904449138801</v>
      </c>
      <c r="F499" s="6">
        <v>-3.150159303800514</v>
      </c>
      <c r="G499" s="6">
        <v>-1.0472402213719409</v>
      </c>
      <c r="H499" s="6">
        <v>-3.4533056632649997</v>
      </c>
      <c r="I499" s="6">
        <v>-2.656866863876115</v>
      </c>
      <c r="J499" s="6">
        <v>-1.0664631417241293</v>
      </c>
      <c r="K499" s="6">
        <v>2.50470954979623</v>
      </c>
      <c r="L499" s="6">
        <v>-0.42642232359292964</v>
      </c>
      <c r="N499" s="8">
        <f t="shared" si="21"/>
        <v>6.9691494329381154</v>
      </c>
      <c r="O499" s="8">
        <f t="shared" si="22"/>
        <v>12.268242343907042</v>
      </c>
      <c r="P499" s="12">
        <f t="shared" si="23"/>
        <v>0</v>
      </c>
      <c r="Q499" s="11">
        <f>IF(P499=Sheet1!M499, 1, 0)</f>
        <v>0</v>
      </c>
    </row>
    <row r="500" spans="1:17" x14ac:dyDescent="0.35">
      <c r="A500" s="6" t="s">
        <v>530</v>
      </c>
      <c r="B500" s="6" t="s">
        <v>544</v>
      </c>
      <c r="C500" s="6">
        <v>2.4407146115238354</v>
      </c>
      <c r="D500" s="6">
        <v>-3.31232128768317</v>
      </c>
      <c r="E500" s="6">
        <v>-1.8035691162300982</v>
      </c>
      <c r="F500" s="6">
        <v>-3.643171626096148</v>
      </c>
      <c r="G500" s="6">
        <v>-1.4856700317261222</v>
      </c>
      <c r="H500" s="6">
        <v>-2.4735296858979057</v>
      </c>
      <c r="I500" s="6">
        <v>-0.27135742274799424</v>
      </c>
      <c r="J500" s="6">
        <v>-0.23895131442597306</v>
      </c>
      <c r="K500" s="6">
        <v>2.8818507287060906</v>
      </c>
      <c r="L500" s="6">
        <v>-0.42874998682992832</v>
      </c>
      <c r="N500" s="8">
        <f t="shared" si="21"/>
        <v>6.3274272998560956</v>
      </c>
      <c r="O500" s="8">
        <f t="shared" si="22"/>
        <v>11.728983405325341</v>
      </c>
      <c r="P500" s="12">
        <f t="shared" si="23"/>
        <v>0</v>
      </c>
      <c r="Q500" s="11">
        <f>IF(P500=Sheet1!M500, 1, 0)</f>
        <v>0</v>
      </c>
    </row>
    <row r="501" spans="1:17" x14ac:dyDescent="0.35">
      <c r="A501" s="6" t="s">
        <v>530</v>
      </c>
      <c r="B501" s="6" t="s">
        <v>545</v>
      </c>
      <c r="C501" s="6">
        <v>2.7279072683900618</v>
      </c>
      <c r="D501" s="6">
        <v>-2.9379169498506257</v>
      </c>
      <c r="E501" s="6">
        <v>-2.0201836129830264</v>
      </c>
      <c r="F501" s="6">
        <v>-3.1316713417144273</v>
      </c>
      <c r="G501" s="6">
        <v>-1.1111174122844707</v>
      </c>
      <c r="H501" s="6">
        <v>-3.9838605493049055</v>
      </c>
      <c r="I501" s="6">
        <v>-5.0066765378467872</v>
      </c>
      <c r="J501" s="6">
        <v>-1.4954027586263845</v>
      </c>
      <c r="K501" s="6">
        <v>3.3090687446496272</v>
      </c>
      <c r="L501" s="6">
        <v>-0.43661217622155762</v>
      </c>
      <c r="N501" s="8">
        <f t="shared" si="21"/>
        <v>8.7188048276316206</v>
      </c>
      <c r="O501" s="8">
        <f t="shared" si="22"/>
        <v>13.639013001211829</v>
      </c>
      <c r="P501" s="12">
        <f t="shared" si="23"/>
        <v>0</v>
      </c>
      <c r="Q501" s="11">
        <f>IF(P501=Sheet1!M501, 1, 0)</f>
        <v>0</v>
      </c>
    </row>
    <row r="502" spans="1:17" x14ac:dyDescent="0.35">
      <c r="A502" s="6" t="s">
        <v>530</v>
      </c>
      <c r="B502" s="6" t="s">
        <v>546</v>
      </c>
      <c r="C502" s="6">
        <v>0.21027444464688136</v>
      </c>
      <c r="D502" s="6">
        <v>0.24145103371097953</v>
      </c>
      <c r="E502" s="6">
        <v>-1.3659194187088759</v>
      </c>
      <c r="F502" s="6">
        <v>-0.92235987242711504</v>
      </c>
      <c r="G502" s="6">
        <v>-0.92819636558040863</v>
      </c>
      <c r="H502" s="6">
        <v>-0.47627332301874908</v>
      </c>
      <c r="I502" s="6">
        <v>0.29856386008699759</v>
      </c>
      <c r="J502" s="6">
        <v>-0.59197241506234233</v>
      </c>
      <c r="K502" s="6">
        <v>-0.13997340604470707</v>
      </c>
      <c r="L502" s="6">
        <v>-0.42002082134331026</v>
      </c>
      <c r="N502" s="8">
        <f t="shared" si="21"/>
        <v>1.3618995760734791</v>
      </c>
      <c r="O502" s="8">
        <f t="shared" si="22"/>
        <v>6.5434998735998811</v>
      </c>
      <c r="P502" s="12">
        <f t="shared" si="23"/>
        <v>0</v>
      </c>
      <c r="Q502" s="11">
        <f>IF(P502=Sheet1!M502, 1, 0)</f>
        <v>1</v>
      </c>
    </row>
    <row r="503" spans="1:17" x14ac:dyDescent="0.35">
      <c r="A503" s="6" t="s">
        <v>530</v>
      </c>
      <c r="B503" s="6" t="s">
        <v>547</v>
      </c>
      <c r="C503" s="6">
        <v>0.50015114503522196</v>
      </c>
      <c r="D503" s="6">
        <v>-0.2557088247223992</v>
      </c>
      <c r="E503" s="6">
        <v>-0.51530228775222386</v>
      </c>
      <c r="F503" s="6">
        <v>-0.52949067809778161</v>
      </c>
      <c r="G503" s="6">
        <v>-0.83528408788945363</v>
      </c>
      <c r="H503" s="6">
        <v>-0.89533088782996373</v>
      </c>
      <c r="I503" s="6">
        <v>-0.60540524400698259</v>
      </c>
      <c r="J503" s="6">
        <v>-1.3853209100408499</v>
      </c>
      <c r="K503" s="6">
        <v>1.165154159145436</v>
      </c>
      <c r="L503" s="6">
        <v>-0.4161280585583762</v>
      </c>
      <c r="N503" s="8">
        <f t="shared" si="21"/>
        <v>2.4444279281875789</v>
      </c>
      <c r="O503" s="8">
        <f t="shared" si="22"/>
        <v>7.0008826498719632</v>
      </c>
      <c r="P503" s="12">
        <f t="shared" si="23"/>
        <v>0</v>
      </c>
      <c r="Q503" s="11">
        <f>IF(P503=Sheet1!M503, 1, 0)</f>
        <v>1</v>
      </c>
    </row>
    <row r="504" spans="1:17" x14ac:dyDescent="0.35">
      <c r="A504" s="6" t="s">
        <v>530</v>
      </c>
      <c r="B504" s="6" t="s">
        <v>548</v>
      </c>
      <c r="C504" s="6">
        <v>2.3588512840993503</v>
      </c>
      <c r="D504" s="6">
        <v>0.47468652285256496</v>
      </c>
      <c r="E504" s="6">
        <v>-1.302924386489912</v>
      </c>
      <c r="F504" s="6">
        <v>-0.74364290559494794</v>
      </c>
      <c r="G504" s="6">
        <v>-0.93981040029177543</v>
      </c>
      <c r="H504" s="6">
        <v>0.40277802116107425</v>
      </c>
      <c r="I504" s="6">
        <v>-0.78071660058374182</v>
      </c>
      <c r="J504" s="6">
        <v>1.328766046464571</v>
      </c>
      <c r="K504" s="6">
        <v>-2.0460230156389425</v>
      </c>
      <c r="L504" s="6">
        <v>-0.42789772082774963</v>
      </c>
      <c r="N504" s="8">
        <f t="shared" si="21"/>
        <v>3.1921570876258123</v>
      </c>
      <c r="O504" s="8">
        <f t="shared" si="22"/>
        <v>6.6834442518949517</v>
      </c>
      <c r="P504" s="12">
        <f t="shared" si="23"/>
        <v>0</v>
      </c>
      <c r="Q504" s="11">
        <f>IF(P504=Sheet1!M504, 1, 0)</f>
        <v>0</v>
      </c>
    </row>
    <row r="505" spans="1:17" x14ac:dyDescent="0.35">
      <c r="A505" s="6" t="s">
        <v>530</v>
      </c>
      <c r="B505" s="6" t="s">
        <v>549</v>
      </c>
      <c r="C505" s="6">
        <v>3.4405208235113984</v>
      </c>
      <c r="D505" s="6">
        <v>0.26600213783114585</v>
      </c>
      <c r="E505" s="6">
        <v>-1.7007877478728415</v>
      </c>
      <c r="F505" s="6">
        <v>-1.1103208203023256</v>
      </c>
      <c r="G505" s="6">
        <v>-1.0443367126940972</v>
      </c>
      <c r="H505" s="6">
        <v>0.16793342185813062</v>
      </c>
      <c r="I505" s="6">
        <v>-2.5229927370356804</v>
      </c>
      <c r="J505" s="6">
        <v>-0.91083018337906307</v>
      </c>
      <c r="K505" s="6">
        <v>-0.14153830720200797</v>
      </c>
      <c r="L505" s="6">
        <v>-0.44261702834076222</v>
      </c>
      <c r="N505" s="8">
        <f t="shared" si="21"/>
        <v>4.0136025404912568</v>
      </c>
      <c r="O505" s="8">
        <f t="shared" si="22"/>
        <v>8.5956285471364584</v>
      </c>
      <c r="P505" s="12">
        <f t="shared" si="23"/>
        <v>0</v>
      </c>
      <c r="Q505" s="11">
        <f>IF(P505=Sheet1!M505, 1, 0)</f>
        <v>0</v>
      </c>
    </row>
    <row r="506" spans="1:17" x14ac:dyDescent="0.35">
      <c r="A506" s="6" t="s">
        <v>530</v>
      </c>
      <c r="B506" s="6" t="s">
        <v>550</v>
      </c>
      <c r="C506" s="6">
        <v>2.2152549556662371</v>
      </c>
      <c r="D506" s="6">
        <v>-1.5753306711813664</v>
      </c>
      <c r="E506" s="6">
        <v>-2.1078609092877834</v>
      </c>
      <c r="F506" s="6">
        <v>-2.7341801568635717</v>
      </c>
      <c r="G506" s="6">
        <v>-3.3845647070349729</v>
      </c>
      <c r="H506" s="6">
        <v>-0.64702042847524666</v>
      </c>
      <c r="I506" s="6">
        <v>-1.2135762773678134</v>
      </c>
      <c r="J506" s="6">
        <v>-1.1955246193761351</v>
      </c>
      <c r="K506" s="6">
        <v>-0.41070130625800838</v>
      </c>
      <c r="L506" s="6">
        <v>-0.43740301087024008</v>
      </c>
      <c r="N506" s="8">
        <f t="shared" si="21"/>
        <v>4.6150366735380191</v>
      </c>
      <c r="O506" s="8">
        <f t="shared" si="22"/>
        <v>10.221119280069573</v>
      </c>
      <c r="P506" s="12">
        <f t="shared" si="23"/>
        <v>0</v>
      </c>
      <c r="Q506" s="11">
        <f>IF(P506=Sheet1!M506, 1, 0)</f>
        <v>0</v>
      </c>
    </row>
    <row r="507" spans="1:17" x14ac:dyDescent="0.35">
      <c r="A507" s="6" t="s">
        <v>530</v>
      </c>
      <c r="B507" s="6" t="s">
        <v>551</v>
      </c>
      <c r="C507" s="6">
        <v>3.3425532349542282</v>
      </c>
      <c r="D507" s="6">
        <v>-4.3066410045499275</v>
      </c>
      <c r="E507" s="6">
        <v>-2.3388426940906504</v>
      </c>
      <c r="F507" s="6">
        <v>-5.7138233797378133</v>
      </c>
      <c r="G507" s="6">
        <v>-4.130766437240438</v>
      </c>
      <c r="H507" s="6">
        <v>-3.9240721306750279</v>
      </c>
      <c r="I507" s="6">
        <v>-4.5763668444311056</v>
      </c>
      <c r="J507" s="6">
        <v>-1.9205464497153455</v>
      </c>
      <c r="K507" s="6">
        <v>4.4545763917949328</v>
      </c>
      <c r="L507" s="6">
        <v>-0.44190511417580608</v>
      </c>
      <c r="N507" s="8">
        <f t="shared" si="21"/>
        <v>11.154140408077826</v>
      </c>
      <c r="O507" s="8">
        <f t="shared" si="22"/>
        <v>16.542093568687637</v>
      </c>
      <c r="P507" s="12">
        <f t="shared" si="23"/>
        <v>0</v>
      </c>
      <c r="Q507" s="11">
        <f>IF(P507=Sheet1!M507, 1, 0)</f>
        <v>0</v>
      </c>
    </row>
    <row r="508" spans="1:17" x14ac:dyDescent="0.35">
      <c r="A508" s="6" t="s">
        <v>530</v>
      </c>
      <c r="B508" s="6" t="s">
        <v>552</v>
      </c>
      <c r="C508" s="6">
        <v>3.5505666079180833</v>
      </c>
      <c r="D508" s="6">
        <v>-3.0729480225115435</v>
      </c>
      <c r="E508" s="6">
        <v>-2.1852232295566862</v>
      </c>
      <c r="F508" s="6">
        <v>-3.2734123843744225</v>
      </c>
      <c r="G508" s="6">
        <v>-1.0298191693048866</v>
      </c>
      <c r="H508" s="6">
        <v>-4.0231808606560859</v>
      </c>
      <c r="I508" s="6">
        <v>-5.3719616553685432</v>
      </c>
      <c r="J508" s="6">
        <v>-1.9205464497153455</v>
      </c>
      <c r="K508" s="6">
        <v>4.099343829087303</v>
      </c>
      <c r="L508" s="6">
        <v>-0.4338209779008988</v>
      </c>
      <c r="N508" s="8">
        <f t="shared" si="21"/>
        <v>9.6473156962738944</v>
      </c>
      <c r="O508" s="8">
        <f t="shared" si="22"/>
        <v>14.54670380186524</v>
      </c>
      <c r="P508" s="12">
        <f t="shared" si="23"/>
        <v>0</v>
      </c>
      <c r="Q508" s="11">
        <f>IF(P508=Sheet1!M508, 1, 0)</f>
        <v>0</v>
      </c>
    </row>
    <row r="509" spans="1:17" x14ac:dyDescent="0.35">
      <c r="A509" s="6" t="s">
        <v>530</v>
      </c>
      <c r="B509" s="6" t="s">
        <v>553</v>
      </c>
      <c r="C509" s="6">
        <v>3.2861883209898282</v>
      </c>
      <c r="D509" s="6">
        <v>-3.1343257828119606</v>
      </c>
      <c r="E509" s="6">
        <v>-2.1505943814363202</v>
      </c>
      <c r="F509" s="6">
        <v>-3.3288762706326813</v>
      </c>
      <c r="G509" s="6">
        <v>-1.7150472172756639</v>
      </c>
      <c r="H509" s="6">
        <v>-4.0215649574498729</v>
      </c>
      <c r="I509" s="6">
        <v>-5.427423793631009</v>
      </c>
      <c r="J509" s="6">
        <v>-1.578913126518859</v>
      </c>
      <c r="K509" s="6">
        <v>4.1275120499187459</v>
      </c>
      <c r="L509" s="6">
        <v>-0.44286384029569342</v>
      </c>
      <c r="N509" s="8">
        <f t="shared" si="21"/>
        <v>9.5932878582934986</v>
      </c>
      <c r="O509" s="8">
        <f t="shared" si="22"/>
        <v>14.556633305416966</v>
      </c>
      <c r="P509" s="12">
        <f t="shared" si="23"/>
        <v>0</v>
      </c>
      <c r="Q509" s="11">
        <f>IF(P509=Sheet1!M509, 1, 0)</f>
        <v>0</v>
      </c>
    </row>
    <row r="510" spans="1:17" x14ac:dyDescent="0.35">
      <c r="A510" s="6" t="s">
        <v>530</v>
      </c>
      <c r="B510" s="6" t="s">
        <v>554</v>
      </c>
      <c r="C510" s="6">
        <v>2.815138682858775</v>
      </c>
      <c r="D510" s="6">
        <v>-3.3307346157732955</v>
      </c>
      <c r="E510" s="6">
        <v>-2.0853889972096731</v>
      </c>
      <c r="F510" s="6">
        <v>-3.2225704886376851</v>
      </c>
      <c r="G510" s="6">
        <v>-1.2098367073311092</v>
      </c>
      <c r="H510" s="6">
        <v>-4.1325236442764925</v>
      </c>
      <c r="I510" s="6">
        <v>-1.6049987244155592</v>
      </c>
      <c r="J510" s="6">
        <v>-1.7649134913702793</v>
      </c>
      <c r="K510" s="6">
        <v>3.7894933999414433</v>
      </c>
      <c r="L510" s="6">
        <v>-0.44258696040957818</v>
      </c>
      <c r="N510" s="8">
        <f t="shared" si="21"/>
        <v>7.8532146456489871</v>
      </c>
      <c r="O510" s="8">
        <f t="shared" si="22"/>
        <v>13.118672411982713</v>
      </c>
      <c r="P510" s="12">
        <f t="shared" si="23"/>
        <v>0</v>
      </c>
      <c r="Q510" s="11">
        <f>IF(P510=Sheet1!M510, 1, 0)</f>
        <v>0</v>
      </c>
    </row>
    <row r="511" spans="1:17" x14ac:dyDescent="0.35">
      <c r="A511" s="6" t="s">
        <v>530</v>
      </c>
      <c r="B511" s="6" t="s">
        <v>555</v>
      </c>
      <c r="C511" s="6">
        <v>3.2190872329369715</v>
      </c>
      <c r="D511" s="6">
        <v>-3.8524455783268405</v>
      </c>
      <c r="E511" s="6">
        <v>-1.8098317802518666</v>
      </c>
      <c r="F511" s="6">
        <v>-4.122317976827218</v>
      </c>
      <c r="G511" s="6">
        <v>-1.1024068862509435</v>
      </c>
      <c r="H511" s="6">
        <v>-3.5427189740087814</v>
      </c>
      <c r="I511" s="6">
        <v>-6.7966482776116973E-3</v>
      </c>
      <c r="J511" s="6">
        <v>-1.5637294232656818</v>
      </c>
      <c r="K511" s="6">
        <v>3.1244104080879533</v>
      </c>
      <c r="L511" s="6">
        <v>-0.4415745758829635</v>
      </c>
      <c r="N511" s="8">
        <f t="shared" si="21"/>
        <v>7.7972176283704036</v>
      </c>
      <c r="O511" s="8">
        <f t="shared" si="22"/>
        <v>13.083044272800443</v>
      </c>
      <c r="P511" s="12">
        <f t="shared" si="23"/>
        <v>0</v>
      </c>
      <c r="Q511" s="11">
        <f>IF(P511=Sheet1!M511, 1, 0)</f>
        <v>0</v>
      </c>
    </row>
    <row r="512" spans="1:17" x14ac:dyDescent="0.35">
      <c r="A512" s="6" t="s">
        <v>530</v>
      </c>
      <c r="B512" s="6" t="s">
        <v>556</v>
      </c>
      <c r="C512" s="6">
        <v>2.219281020949408</v>
      </c>
      <c r="D512" s="6">
        <v>-2.146143841975245</v>
      </c>
      <c r="E512" s="6">
        <v>-1.808726604248025</v>
      </c>
      <c r="F512" s="6">
        <v>-2.2997130478405441</v>
      </c>
      <c r="G512" s="6">
        <v>-1.1053103949287875</v>
      </c>
      <c r="H512" s="6">
        <v>-3.5060918346679553</v>
      </c>
      <c r="I512" s="6">
        <v>-0.88590341452979782</v>
      </c>
      <c r="J512" s="6">
        <v>0.23553941223581379</v>
      </c>
      <c r="K512" s="6">
        <v>1.3670264084374373</v>
      </c>
      <c r="L512" s="6">
        <v>-0.43999002307308754</v>
      </c>
      <c r="N512" s="8">
        <f t="shared" si="21"/>
        <v>5.0566522138446706</v>
      </c>
      <c r="O512" s="8">
        <f t="shared" si="22"/>
        <v>10.361629741157897</v>
      </c>
      <c r="P512" s="12">
        <f t="shared" si="23"/>
        <v>0</v>
      </c>
      <c r="Q512" s="11">
        <f>IF(P512=Sheet1!M512, 1, 0)</f>
        <v>0</v>
      </c>
    </row>
    <row r="513" spans="1:17" x14ac:dyDescent="0.35">
      <c r="A513" s="6" t="s">
        <v>530</v>
      </c>
      <c r="B513" s="6" t="s">
        <v>557</v>
      </c>
      <c r="C513" s="6">
        <v>3.9437789839078228</v>
      </c>
      <c r="D513" s="6">
        <v>-3.2816324075329617</v>
      </c>
      <c r="E513" s="6">
        <v>-1.8407767083594277</v>
      </c>
      <c r="F513" s="6">
        <v>-3.3257949436183329</v>
      </c>
      <c r="G513" s="6">
        <v>-1.1517665337742629</v>
      </c>
      <c r="H513" s="6">
        <v>-4.1389872571013449</v>
      </c>
      <c r="I513" s="6">
        <v>-3.1955508504483392</v>
      </c>
      <c r="J513" s="6">
        <v>-1.3777290584142614</v>
      </c>
      <c r="K513" s="6">
        <v>0.98362562489836625</v>
      </c>
      <c r="L513" s="6">
        <v>-0.44291120930194378</v>
      </c>
      <c r="N513" s="8">
        <f t="shared" si="21"/>
        <v>7.8678120346900196</v>
      </c>
      <c r="O513" s="8">
        <f t="shared" si="22"/>
        <v>12.982663936044837</v>
      </c>
      <c r="P513" s="12">
        <f t="shared" si="23"/>
        <v>0</v>
      </c>
      <c r="Q513" s="11">
        <f>IF(P513=Sheet1!M513, 1, 0)</f>
        <v>0</v>
      </c>
    </row>
    <row r="514" spans="1:17" x14ac:dyDescent="0.35">
      <c r="A514" s="6" t="s">
        <v>530</v>
      </c>
      <c r="B514" s="6" t="s">
        <v>558</v>
      </c>
      <c r="C514" s="6">
        <v>3.8001826554747109</v>
      </c>
      <c r="D514" s="6">
        <v>-3.1834279910522945</v>
      </c>
      <c r="E514" s="6">
        <v>-2.0820734691981486</v>
      </c>
      <c r="F514" s="6">
        <v>-3.0762074554561685</v>
      </c>
      <c r="G514" s="6">
        <v>-1.2475823201430574</v>
      </c>
      <c r="H514" s="6">
        <v>-4.1583780955759</v>
      </c>
      <c r="I514" s="6">
        <v>5.953268564334614E-3</v>
      </c>
      <c r="J514" s="6">
        <v>-1.6206683104650963</v>
      </c>
      <c r="K514" s="6">
        <v>2.4327240965603236</v>
      </c>
      <c r="L514" s="6">
        <v>-0.4413609034268911</v>
      </c>
      <c r="N514" s="8">
        <f t="shared" si="21"/>
        <v>7.304577481135059</v>
      </c>
      <c r="O514" s="8">
        <f t="shared" si="22"/>
        <v>12.619098886288578</v>
      </c>
      <c r="P514" s="12">
        <f t="shared" si="23"/>
        <v>0</v>
      </c>
      <c r="Q514" s="11">
        <f>IF(P514=Sheet1!M514, 1, 0)</f>
        <v>0</v>
      </c>
    </row>
    <row r="515" spans="1:17" x14ac:dyDescent="0.35">
      <c r="A515" s="6" t="s">
        <v>530</v>
      </c>
      <c r="B515" s="6" t="s">
        <v>559</v>
      </c>
      <c r="C515" s="6">
        <v>-0.11852088681211596</v>
      </c>
      <c r="D515" s="6">
        <v>1.923201665942408</v>
      </c>
      <c r="E515" s="6">
        <v>1.6991020319448029</v>
      </c>
      <c r="F515" s="6">
        <v>1.5688930186730139</v>
      </c>
      <c r="G515" s="6">
        <v>0.25062815762355645</v>
      </c>
      <c r="H515" s="6">
        <v>0.43671198849154513</v>
      </c>
      <c r="I515" s="6">
        <v>0.76266083313383681</v>
      </c>
      <c r="J515" s="6">
        <v>2.5092989743990963</v>
      </c>
      <c r="K515" s="6">
        <v>-0.89425576386442862</v>
      </c>
      <c r="L515" s="6">
        <v>1.855737795368476E-2</v>
      </c>
      <c r="N515" s="8">
        <f t="shared" ref="N515" si="24">SQRT((C515-$C$520)^2+(D515-$D$520)^2+(E515-$E$520)^2+(F515-$F$520)^2+(G515-$G$520)^2+(H515-$H$520)^2+(I515-$I$520)^2+(J515-$J$520)^2+(K515-$K$520)^2+(L515-$L$520)^2)</f>
        <v>5.0268359377066849</v>
      </c>
      <c r="O515" s="8">
        <f t="shared" ref="O515" si="25">SQRT((C515-$C$521)^2+(D515-$D$521)^2+(E515-$E$521)^2+(F515-$F$521)^2+(G515-$G$521)^2+(H515-$H$521)^2+(I515-$I$521)^2+(J515-$J$521)^2+(K515-$K$521)^2+(L515-$L$521)^2)</f>
        <v>1.9876284282500409</v>
      </c>
      <c r="P515" s="12">
        <f t="shared" ref="P515" si="26">IF(N515&lt;=O515, 0, 1)</f>
        <v>1</v>
      </c>
      <c r="Q515" s="11">
        <f>IF(P515=Sheet1!M515, 1, 0)</f>
        <v>0</v>
      </c>
    </row>
    <row r="516" spans="1:17" x14ac:dyDescent="0.35">
      <c r="M516" s="10"/>
      <c r="P516" s="15" t="s">
        <v>563</v>
      </c>
      <c r="Q516" s="15">
        <f>(SUM(Q2:Q515)/514)*100</f>
        <v>69.45525291828794</v>
      </c>
    </row>
    <row r="519" spans="1:17" x14ac:dyDescent="0.35">
      <c r="A519" s="1" t="s">
        <v>564</v>
      </c>
    </row>
    <row r="520" spans="1:17" x14ac:dyDescent="0.35">
      <c r="A520" s="9" t="s">
        <v>12</v>
      </c>
      <c r="B520" s="9" t="s">
        <v>13</v>
      </c>
      <c r="C520" s="9">
        <v>0.90007362983024741</v>
      </c>
      <c r="D520" s="9">
        <v>0.6404064756636908</v>
      </c>
      <c r="E520" s="9">
        <v>-1.1703032660289354</v>
      </c>
      <c r="F520" s="9">
        <v>-0.54181598615517224</v>
      </c>
      <c r="G520" s="9">
        <v>-1.2708103895657952</v>
      </c>
      <c r="H520" s="9">
        <v>-0.30391031435603855</v>
      </c>
      <c r="I520" s="9">
        <v>0.14747734550993657</v>
      </c>
      <c r="J520" s="9">
        <v>0.24692718967569677</v>
      </c>
      <c r="K520" s="9">
        <v>0.26377109253929582</v>
      </c>
      <c r="L520" s="9">
        <v>-0.42450280274635355</v>
      </c>
    </row>
    <row r="521" spans="1:17" x14ac:dyDescent="0.35">
      <c r="A521" s="9" t="s">
        <v>12</v>
      </c>
      <c r="B521" s="9" t="s">
        <v>31</v>
      </c>
      <c r="C521" s="9">
        <v>-0.625805112491712</v>
      </c>
      <c r="D521" s="9">
        <v>2.6965614457276632</v>
      </c>
      <c r="E521" s="9">
        <v>2.418940002446881</v>
      </c>
      <c r="F521" s="9">
        <v>2.4316645826903738</v>
      </c>
      <c r="G521" s="9">
        <v>0.5409790254077842</v>
      </c>
      <c r="H521" s="9">
        <v>1.2215023123089479</v>
      </c>
      <c r="I521" s="9">
        <v>0.90737238928992603</v>
      </c>
      <c r="J521" s="9">
        <v>1.4730112273697538</v>
      </c>
      <c r="K521" s="9">
        <v>-1.0116233506621033</v>
      </c>
      <c r="L521" s="9">
        <v>-0.13602043540229192</v>
      </c>
    </row>
    <row r="524" spans="1:17" x14ac:dyDescent="0.35">
      <c r="A524" s="1" t="s">
        <v>565</v>
      </c>
    </row>
    <row r="525" spans="1:17" x14ac:dyDescent="0.35">
      <c r="A525" s="9" t="s">
        <v>12</v>
      </c>
      <c r="B525" s="9" t="s">
        <v>13</v>
      </c>
      <c r="C525" s="9">
        <f>AVERAGEIF($P$2:$P$515, 0, C$2:C$515)</f>
        <v>0.1705454758541543</v>
      </c>
      <c r="D525" s="9">
        <f t="shared" ref="D525:L525" si="27">AVERAGEIF($P$2:$P$515, 0, D$2:D$515)</f>
        <v>-0.30904448707414589</v>
      </c>
      <c r="E525" s="9">
        <f t="shared" si="27"/>
        <v>-0.32220509231254268</v>
      </c>
      <c r="F525" s="9">
        <f t="shared" si="27"/>
        <v>-0.31828005156896555</v>
      </c>
      <c r="G525" s="9">
        <f t="shared" si="27"/>
        <v>-0.21781381522164026</v>
      </c>
      <c r="H525" s="9">
        <f t="shared" si="27"/>
        <v>-0.18155417500254253</v>
      </c>
      <c r="I525" s="9">
        <f t="shared" si="27"/>
        <v>-0.17504686355801413</v>
      </c>
      <c r="J525" s="9">
        <f t="shared" si="27"/>
        <v>-0.26586705569398561</v>
      </c>
      <c r="K525" s="9">
        <f t="shared" si="27"/>
        <v>0.13890766654661832</v>
      </c>
      <c r="L525" s="9">
        <f t="shared" si="27"/>
        <v>-0.17179168135150547</v>
      </c>
    </row>
    <row r="526" spans="1:17" x14ac:dyDescent="0.35">
      <c r="A526" s="9" t="s">
        <v>12</v>
      </c>
      <c r="B526" s="9" t="s">
        <v>31</v>
      </c>
      <c r="C526" s="9">
        <f>AVERAGEIF($P$2:$P$515, 1, C$2:C$515)</f>
        <v>-0.75219530929358747</v>
      </c>
      <c r="D526" s="9">
        <f t="shared" ref="D526:L526" si="28">AVERAGEIF($P$2:$P$515, 1, D$2:D$515)</f>
        <v>1.3630488429901804</v>
      </c>
      <c r="E526" s="9">
        <f t="shared" si="28"/>
        <v>1.4210940387258464</v>
      </c>
      <c r="F526" s="9">
        <f t="shared" si="28"/>
        <v>1.4037825432357816</v>
      </c>
      <c r="G526" s="9">
        <f t="shared" si="28"/>
        <v>0.96067356397757697</v>
      </c>
      <c r="H526" s="9">
        <f t="shared" si="28"/>
        <v>0.80074946659016299</v>
      </c>
      <c r="I526" s="9">
        <f t="shared" si="28"/>
        <v>0.77204879821903849</v>
      </c>
      <c r="J526" s="9">
        <f t="shared" si="28"/>
        <v>1.1726136456397911</v>
      </c>
      <c r="K526" s="9">
        <f t="shared" si="28"/>
        <v>-0.61265591876881476</v>
      </c>
      <c r="L526" s="9">
        <f t="shared" si="28"/>
        <v>0.75769173143453472</v>
      </c>
    </row>
  </sheetData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D1FF-9F7F-4E85-9318-3A87C56A9795}">
  <dimension ref="A1:Q526"/>
  <sheetViews>
    <sheetView topLeftCell="A501" zoomScale="86" workbookViewId="0">
      <selection sqref="A1:L515"/>
    </sheetView>
  </sheetViews>
  <sheetFormatPr defaultRowHeight="14.5" x14ac:dyDescent="0.35"/>
  <cols>
    <col min="12" max="12" width="52.26953125" bestFit="1" customWidth="1"/>
  </cols>
  <sheetData>
    <row r="1" spans="1:17" x14ac:dyDescent="0.35">
      <c r="A1" s="5" t="s">
        <v>560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N1" s="13" t="s">
        <v>566</v>
      </c>
      <c r="O1" s="13" t="s">
        <v>567</v>
      </c>
      <c r="P1" s="14" t="s">
        <v>569</v>
      </c>
      <c r="Q1" s="15" t="s">
        <v>568</v>
      </c>
    </row>
    <row r="2" spans="1:17" x14ac:dyDescent="0.35">
      <c r="A2" s="6" t="s">
        <v>12</v>
      </c>
      <c r="B2" s="6" t="s">
        <v>13</v>
      </c>
      <c r="C2" s="6">
        <v>0.90007362983024741</v>
      </c>
      <c r="D2" s="6">
        <v>0.6404064756636908</v>
      </c>
      <c r="E2" s="6">
        <v>-1.1703032660289354</v>
      </c>
      <c r="F2" s="6">
        <v>-0.54181598615517224</v>
      </c>
      <c r="G2" s="6">
        <v>-1.2708103895657952</v>
      </c>
      <c r="H2" s="6">
        <v>-0.30391031435603855</v>
      </c>
      <c r="I2" s="6">
        <v>0.14747734550993657</v>
      </c>
      <c r="J2" s="6">
        <v>0.24692718967569677</v>
      </c>
      <c r="K2" s="6">
        <v>0.26377109253929582</v>
      </c>
      <c r="L2" s="6">
        <v>-0.42450280274635355</v>
      </c>
      <c r="N2" s="8">
        <f>SQRT((C2-Sheet2!$C$525)^2+(D2-Sheet2!$D$525)^2+(E2-Sheet2!$E$525)^2+(F2-Sheet2!$F$525)^2+(G2-Sheet2!$G$525)^2+(H2-Sheet2!$H$525)^2+(I2-Sheet2!$I$525)^2+(J2-Sheet2!$J$525)^2+(K2-Sheet2!$K$525)^2+(L2-Sheet2!$L$525)^2)</f>
        <v>1.9424504329234344</v>
      </c>
      <c r="O2" s="8">
        <f>SQRT((C2-Sheet2!$C$526)^2+(D2-Sheet2!$D$526)^2+(E2-Sheet2!$E$526)^2+(F2-Sheet2!$F$526)^2+(G2-Sheet2!$G$526)^2+(H2-Sheet2!$H$526)^2+(I2-Sheet2!$I$526)^2+(J2-Sheet2!$J$526)^2+(K2-Sheet2!$K$526)^2+(L2-Sheet2!$L$526)^2)</f>
        <v>4.8337754675368458</v>
      </c>
      <c r="P2" s="12">
        <f>IF(N2&lt;=O2, 0, 1)</f>
        <v>0</v>
      </c>
      <c r="Q2" s="11">
        <f>IF(P2=Sheet1!$M2, 1, 0)</f>
        <v>1</v>
      </c>
    </row>
    <row r="3" spans="1:17" x14ac:dyDescent="0.35">
      <c r="A3" s="6" t="s">
        <v>12</v>
      </c>
      <c r="B3" s="6" t="s">
        <v>14</v>
      </c>
      <c r="C3" s="6">
        <v>1.0852726328561315</v>
      </c>
      <c r="D3" s="6">
        <v>0.14938439326035369</v>
      </c>
      <c r="E3" s="6">
        <v>-0.57056108794429738</v>
      </c>
      <c r="F3" s="6">
        <v>-0.1088895406393177</v>
      </c>
      <c r="G3" s="6">
        <v>-0.64655602382970401</v>
      </c>
      <c r="H3" s="6">
        <v>-0.41163719477023253</v>
      </c>
      <c r="I3" s="6">
        <v>-0.41798146643037459</v>
      </c>
      <c r="J3" s="6">
        <v>1.2528475301986848</v>
      </c>
      <c r="K3" s="6">
        <v>-1.0350968680216379</v>
      </c>
      <c r="L3" s="6">
        <v>-0.42173791125360344</v>
      </c>
      <c r="N3" s="8">
        <f>SQRT((C3-Sheet2!$C$525)^2+(D3-Sheet2!$D$525)^2+(E3-Sheet2!$E$525)^2+(F3-Sheet2!$F$525)^2+(G3-Sheet2!$G$525)^2+(H3-Sheet2!$H$525)^2+(I3-Sheet2!$I$525)^2+(J3-Sheet2!$J$525)^2+(K3-Sheet2!$K$525)^2+(L3-Sheet2!$L$525)^2)</f>
        <v>2.2793501165568704</v>
      </c>
      <c r="O3" s="8">
        <f>SQRT((C3-Sheet2!$C$526)^2+(D3-Sheet2!$D$526)^2+(E3-Sheet2!$E$526)^2+(F3-Sheet2!$F$526)^2+(G3-Sheet2!$G$526)^2+(H3-Sheet2!$H$526)^2+(I3-Sheet2!$I$526)^2+(J3-Sheet2!$J$526)^2+(K3-Sheet2!$K$526)^2+(L3-Sheet2!$L$526)^2)</f>
        <v>4.2602024976672475</v>
      </c>
      <c r="P3" s="12">
        <f t="shared" ref="P3:P66" si="0">IF(N3&lt;=O3, 0, 1)</f>
        <v>0</v>
      </c>
      <c r="Q3" s="11">
        <f>IF(P3=Sheet1!$M3, 1, 0)</f>
        <v>0</v>
      </c>
    </row>
    <row r="4" spans="1:17" x14ac:dyDescent="0.35">
      <c r="A4" s="6" t="s">
        <v>12</v>
      </c>
      <c r="B4" s="6" t="s">
        <v>15</v>
      </c>
      <c r="C4" s="6">
        <v>0.12170100841711061</v>
      </c>
      <c r="D4" s="6">
        <v>0.27213991386118852</v>
      </c>
      <c r="E4" s="6">
        <v>-0.79012272070746958</v>
      </c>
      <c r="F4" s="6">
        <v>-0.38312764491626466</v>
      </c>
      <c r="G4" s="6">
        <v>-1.5263191532159142</v>
      </c>
      <c r="H4" s="6">
        <v>-0.78921991062198271</v>
      </c>
      <c r="I4" s="6">
        <v>-0.34976941132596229</v>
      </c>
      <c r="J4" s="6">
        <v>0.53162162567276894</v>
      </c>
      <c r="K4" s="6">
        <v>-1.3480770994821039</v>
      </c>
      <c r="L4" s="6">
        <v>-0.36813456289920671</v>
      </c>
      <c r="N4" s="8">
        <f>SQRT((C4-Sheet2!$C$525)^2+(D4-Sheet2!$D$525)^2+(E4-Sheet2!$E$525)^2+(F4-Sheet2!$F$525)^2+(G4-Sheet2!$G$525)^2+(H4-Sheet2!$H$525)^2+(I4-Sheet2!$I$525)^2+(J4-Sheet2!$J$525)^2+(K4-Sheet2!$K$525)^2+(L4-Sheet2!$L$525)^2)</f>
        <v>2.3581661222575949</v>
      </c>
      <c r="O4" s="8">
        <f>SQRT((C4-Sheet2!$C$526)^2+(D4-Sheet2!$D$526)^2+(E4-Sheet2!$E$526)^2+(F4-Sheet2!$F$526)^2+(G4-Sheet2!$G$526)^2+(H4-Sheet2!$H$526)^2+(I4-Sheet2!$I$526)^2+(J4-Sheet2!$J$526)^2+(K4-Sheet2!$K$526)^2+(L4-Sheet2!$L$526)^2)</f>
        <v>4.714564249462617</v>
      </c>
      <c r="P4" s="12">
        <f t="shared" si="0"/>
        <v>0</v>
      </c>
      <c r="Q4" s="11">
        <f>IF(P4=Sheet1!$M4, 1, 0)</f>
        <v>1</v>
      </c>
    </row>
    <row r="5" spans="1:17" x14ac:dyDescent="0.35">
      <c r="A5" s="6" t="s">
        <v>12</v>
      </c>
      <c r="B5" s="6" t="s">
        <v>16</v>
      </c>
      <c r="C5" s="6">
        <v>0.1525675089214247</v>
      </c>
      <c r="D5" s="6">
        <v>0.75702422023448301</v>
      </c>
      <c r="E5" s="6">
        <v>-0.8453815208995431</v>
      </c>
      <c r="F5" s="6">
        <v>-7.4994943481493007E-2</v>
      </c>
      <c r="G5" s="6">
        <v>-0.41717883828016644</v>
      </c>
      <c r="H5" s="6">
        <v>-0.78060176018884708</v>
      </c>
      <c r="I5" s="6">
        <v>0.10030265319473533</v>
      </c>
      <c r="J5" s="6">
        <v>0.52023384823288588</v>
      </c>
      <c r="K5" s="6">
        <v>2.4341215472039265E-2</v>
      </c>
      <c r="L5" s="6">
        <v>-0.38607558968778871</v>
      </c>
      <c r="N5" s="8">
        <f>SQRT((C5-Sheet2!$C$525)^2+(D5-Sheet2!$D$525)^2+(E5-Sheet2!$E$525)^2+(F5-Sheet2!$F$525)^2+(G5-Sheet2!$G$525)^2+(H5-Sheet2!$H$525)^2+(I5-Sheet2!$I$525)^2+(J5-Sheet2!$J$525)^2+(K5-Sheet2!$K$525)^2+(L5-Sheet2!$L$525)^2)</f>
        <v>1.6189954878241295</v>
      </c>
      <c r="O5" s="8">
        <f>SQRT((C5-Sheet2!$C$526)^2+(D5-Sheet2!$D$526)^2+(E5-Sheet2!$E$526)^2+(F5-Sheet2!$F$526)^2+(G5-Sheet2!$G$526)^2+(H5-Sheet2!$H$526)^2+(I5-Sheet2!$I$526)^2+(J5-Sheet2!$J$526)^2+(K5-Sheet2!$K$526)^2+(L5-Sheet2!$L$526)^2)</f>
        <v>3.9369424913722875</v>
      </c>
      <c r="P5" s="12">
        <f t="shared" si="0"/>
        <v>0</v>
      </c>
      <c r="Q5" s="11">
        <f>IF(P5=Sheet1!$M5, 1, 0)</f>
        <v>1</v>
      </c>
    </row>
    <row r="6" spans="1:17" x14ac:dyDescent="0.35">
      <c r="A6" s="6" t="s">
        <v>12</v>
      </c>
      <c r="B6" s="6" t="s">
        <v>17</v>
      </c>
      <c r="C6" s="6">
        <v>0.29213777207136638</v>
      </c>
      <c r="D6" s="6">
        <v>-0.13909108015160596</v>
      </c>
      <c r="E6" s="6">
        <v>-0.64387109619911498</v>
      </c>
      <c r="F6" s="6">
        <v>-0.32304176813648411</v>
      </c>
      <c r="G6" s="6">
        <v>-0.2661963870323692</v>
      </c>
      <c r="H6" s="6">
        <v>-0.56299346175217524</v>
      </c>
      <c r="I6" s="6">
        <v>-0.12600837074980831</v>
      </c>
      <c r="J6" s="6">
        <v>0.78594865516348666</v>
      </c>
      <c r="K6" s="6">
        <v>-1.5624685580325237</v>
      </c>
      <c r="L6" s="6">
        <v>-0.2827211194286291</v>
      </c>
      <c r="N6" s="8">
        <f>SQRT((C6-Sheet2!$C$525)^2+(D6-Sheet2!$D$525)^2+(E6-Sheet2!$E$525)^2+(F6-Sheet2!$F$525)^2+(G6-Sheet2!$G$525)^2+(H6-Sheet2!$H$525)^2+(I6-Sheet2!$I$525)^2+(J6-Sheet2!$J$525)^2+(K6-Sheet2!$K$525)^2+(L6-Sheet2!$L$525)^2)</f>
        <v>2.0762236880776741</v>
      </c>
      <c r="O6" s="8">
        <f>SQRT((C6-Sheet2!$C$526)^2+(D6-Sheet2!$D$526)^2+(E6-Sheet2!$E$526)^2+(F6-Sheet2!$F$526)^2+(G6-Sheet2!$G$526)^2+(H6-Sheet2!$H$526)^2+(I6-Sheet2!$I$526)^2+(J6-Sheet2!$J$526)^2+(K6-Sheet2!$K$526)^2+(L6-Sheet2!$L$526)^2)</f>
        <v>4.1108008026623191</v>
      </c>
      <c r="P6" s="12">
        <f t="shared" si="0"/>
        <v>0</v>
      </c>
      <c r="Q6" s="11">
        <f>IF(P6=Sheet1!$M6, 1, 0)</f>
        <v>1</v>
      </c>
    </row>
    <row r="7" spans="1:17" x14ac:dyDescent="0.35">
      <c r="A7" s="6" t="s">
        <v>12</v>
      </c>
      <c r="B7" s="6" t="s">
        <v>18</v>
      </c>
      <c r="C7" s="6">
        <v>0.40084153471699413</v>
      </c>
      <c r="D7" s="6">
        <v>0.87364196480527523</v>
      </c>
      <c r="E7" s="6">
        <v>0.167696482621805</v>
      </c>
      <c r="F7" s="6">
        <v>0.5304858148378343</v>
      </c>
      <c r="G7" s="6">
        <v>-0.23135428289826052</v>
      </c>
      <c r="H7" s="6">
        <v>0.72057231838294611</v>
      </c>
      <c r="I7" s="6">
        <v>0.31641374366572228</v>
      </c>
      <c r="J7" s="6">
        <v>-0.92980981244553462</v>
      </c>
      <c r="K7" s="6">
        <v>1.0696951885499939</v>
      </c>
      <c r="L7" s="6">
        <v>-0.33454928972214776</v>
      </c>
      <c r="N7" s="8">
        <f>SQRT((C7-Sheet2!$C$525)^2+(D7-Sheet2!$D$525)^2+(E7-Sheet2!$E$525)^2+(F7-Sheet2!$F$525)^2+(G7-Sheet2!$G$525)^2+(H7-Sheet2!$H$525)^2+(I7-Sheet2!$I$525)^2+(J7-Sheet2!$J$525)^2+(K7-Sheet2!$K$525)^2+(L7-Sheet2!$L$525)^2)</f>
        <v>2.1912131536013373</v>
      </c>
      <c r="O7" s="8">
        <f>SQRT((C7-Sheet2!$C$526)^2+(D7-Sheet2!$D$526)^2+(E7-Sheet2!$E$526)^2+(F7-Sheet2!$F$526)^2+(G7-Sheet2!$G$526)^2+(H7-Sheet2!$H$526)^2+(I7-Sheet2!$I$526)^2+(J7-Sheet2!$J$526)^2+(K7-Sheet2!$K$526)^2+(L7-Sheet2!$L$526)^2)</f>
        <v>3.739131961431728</v>
      </c>
      <c r="P7" s="12">
        <f t="shared" si="0"/>
        <v>0</v>
      </c>
      <c r="Q7" s="11">
        <f>IF(P7=Sheet1!$M7, 1, 0)</f>
        <v>1</v>
      </c>
    </row>
    <row r="8" spans="1:17" x14ac:dyDescent="0.35">
      <c r="A8" s="6" t="s">
        <v>12</v>
      </c>
      <c r="B8" s="6" t="s">
        <v>19</v>
      </c>
      <c r="C8" s="6">
        <v>0.87725925989227593</v>
      </c>
      <c r="D8" s="6">
        <v>0.68337090787398302</v>
      </c>
      <c r="E8" s="6">
        <v>-0.2695848228981369</v>
      </c>
      <c r="F8" s="6">
        <v>0.26857301861827798</v>
      </c>
      <c r="G8" s="6">
        <v>-0.48395953787053997</v>
      </c>
      <c r="H8" s="6">
        <v>0.66778614697999084</v>
      </c>
      <c r="I8" s="6">
        <v>0.57906203060981287</v>
      </c>
      <c r="J8" s="6">
        <v>0.77076495191030947</v>
      </c>
      <c r="K8" s="6">
        <v>-1.4732691920662908</v>
      </c>
      <c r="L8" s="6">
        <v>-0.30252259684734706</v>
      </c>
      <c r="N8" s="8">
        <f>SQRT((C8-Sheet2!$C$525)^2+(D8-Sheet2!$D$525)^2+(E8-Sheet2!$E$525)^2+(F8-Sheet2!$F$525)^2+(G8-Sheet2!$G$525)^2+(H8-Sheet2!$H$525)^2+(I8-Sheet2!$I$525)^2+(J8-Sheet2!$J$525)^2+(K8-Sheet2!$K$525)^2+(L8-Sheet2!$L$525)^2)</f>
        <v>2.62358563321588</v>
      </c>
      <c r="O8" s="8">
        <f>SQRT((C8-Sheet2!$C$526)^2+(D8-Sheet2!$D$526)^2+(E8-Sheet2!$E$526)^2+(F8-Sheet2!$F$526)^2+(G8-Sheet2!$G$526)^2+(H8-Sheet2!$H$526)^2+(I8-Sheet2!$I$526)^2+(J8-Sheet2!$J$526)^2+(K8-Sheet2!$K$526)^2+(L8-Sheet2!$L$526)^2)</f>
        <v>3.3811625076237299</v>
      </c>
      <c r="P8" s="12">
        <f t="shared" si="0"/>
        <v>0</v>
      </c>
      <c r="Q8" s="11">
        <f>IF(P8=Sheet1!$M8, 1, 0)</f>
        <v>1</v>
      </c>
    </row>
    <row r="9" spans="1:17" x14ac:dyDescent="0.35">
      <c r="A9" s="6" t="s">
        <v>12</v>
      </c>
      <c r="B9" s="6" t="s">
        <v>20</v>
      </c>
      <c r="C9" s="6">
        <v>0.23845690162908126</v>
      </c>
      <c r="D9" s="6">
        <v>1.1621174382172359</v>
      </c>
      <c r="E9" s="6">
        <v>-0.25079683083283189</v>
      </c>
      <c r="F9" s="6">
        <v>0.56283974848848439</v>
      </c>
      <c r="G9" s="6">
        <v>3.8672024141073208E-2</v>
      </c>
      <c r="H9" s="6">
        <v>0.54928657852437801</v>
      </c>
      <c r="I9" s="6">
        <v>-0.17700803811759264</v>
      </c>
      <c r="J9" s="6">
        <v>1.0023164265212616</v>
      </c>
      <c r="K9" s="6">
        <v>-1.2197552045833129</v>
      </c>
      <c r="L9" s="6">
        <v>-0.2445237933602567</v>
      </c>
      <c r="N9" s="8">
        <f>SQRT((C9-Sheet2!$C$525)^2+(D9-Sheet2!$D$525)^2+(E9-Sheet2!$E$525)^2+(F9-Sheet2!$F$525)^2+(G9-Sheet2!$G$525)^2+(H9-Sheet2!$H$525)^2+(I9-Sheet2!$I$525)^2+(J9-Sheet2!$J$525)^2+(K9-Sheet2!$K$525)^2+(L9-Sheet2!$L$525)^2)</f>
        <v>2.6476143516610535</v>
      </c>
      <c r="O9" s="8">
        <f>SQRT((C9-Sheet2!$C$526)^2+(D9-Sheet2!$D$526)^2+(E9-Sheet2!$E$526)^2+(F9-Sheet2!$F$526)^2+(G9-Sheet2!$G$526)^2+(H9-Sheet2!$H$526)^2+(I9-Sheet2!$I$526)^2+(J9-Sheet2!$J$526)^2+(K9-Sheet2!$K$526)^2+(L9-Sheet2!$L$526)^2)</f>
        <v>2.7821223988403729</v>
      </c>
      <c r="P9" s="12">
        <f t="shared" si="0"/>
        <v>0</v>
      </c>
      <c r="Q9" s="11">
        <f>IF(P9=Sheet1!$M9, 1, 0)</f>
        <v>1</v>
      </c>
    </row>
    <row r="10" spans="1:17" x14ac:dyDescent="0.35">
      <c r="A10" s="6" t="s">
        <v>12</v>
      </c>
      <c r="B10" s="6" t="s">
        <v>21</v>
      </c>
      <c r="C10" s="6">
        <v>0.9819369572547324</v>
      </c>
      <c r="D10" s="6">
        <v>0.34579322622168857</v>
      </c>
      <c r="E10" s="6">
        <v>-0.17122415855624601</v>
      </c>
      <c r="F10" s="6">
        <v>0.11912865842241392</v>
      </c>
      <c r="G10" s="6">
        <v>-0.7859244403661344</v>
      </c>
      <c r="H10" s="6">
        <v>-1.2443659803719522</v>
      </c>
      <c r="I10" s="6">
        <v>0.26158910124535395</v>
      </c>
      <c r="J10" s="6">
        <v>0.8428875423629012</v>
      </c>
      <c r="K10" s="6">
        <v>-1.4357115642910345</v>
      </c>
      <c r="L10" s="6">
        <v>-0.2922999599351695</v>
      </c>
      <c r="N10" s="8">
        <f>SQRT((C10-Sheet2!$C$525)^2+(D10-Sheet2!$D$525)^2+(E10-Sheet2!$E$525)^2+(F10-Sheet2!$F$525)^2+(G10-Sheet2!$G$525)^2+(H10-Sheet2!$H$525)^2+(I10-Sheet2!$I$525)^2+(J10-Sheet2!$J$525)^2+(K10-Sheet2!$K$525)^2+(L10-Sheet2!$L$525)^2)</f>
        <v>2.5821588829148094</v>
      </c>
      <c r="O10" s="8">
        <f>SQRT((C10-Sheet2!$C$526)^2+(D10-Sheet2!$D$526)^2+(E10-Sheet2!$E$526)^2+(F10-Sheet2!$F$526)^2+(G10-Sheet2!$G$526)^2+(H10-Sheet2!$H$526)^2+(I10-Sheet2!$I$526)^2+(J10-Sheet2!$J$526)^2+(K10-Sheet2!$K$526)^2+(L10-Sheet2!$L$526)^2)</f>
        <v>4.1964425274345603</v>
      </c>
      <c r="P10" s="12">
        <f t="shared" si="0"/>
        <v>0</v>
      </c>
      <c r="Q10" s="11">
        <f>IF(P10=Sheet1!$M10, 1, 0)</f>
        <v>1</v>
      </c>
    </row>
    <row r="11" spans="1:17" x14ac:dyDescent="0.35">
      <c r="A11" s="6" t="s">
        <v>12</v>
      </c>
      <c r="B11" s="6" t="s">
        <v>22</v>
      </c>
      <c r="C11" s="6">
        <v>0.13109516074451058</v>
      </c>
      <c r="D11" s="6">
        <v>0.52378873109289759</v>
      </c>
      <c r="E11" s="6">
        <v>-0.53703741582777276</v>
      </c>
      <c r="F11" s="6">
        <v>0.3702568100917521</v>
      </c>
      <c r="G11" s="6">
        <v>0.4654877997838876</v>
      </c>
      <c r="H11" s="6">
        <v>0.25249902298327331</v>
      </c>
      <c r="I11" s="6">
        <v>0.53507481750509889</v>
      </c>
      <c r="J11" s="6">
        <v>-0.28070649837221007</v>
      </c>
      <c r="K11" s="6">
        <v>-0.55623711388712604</v>
      </c>
      <c r="L11" s="6">
        <v>-0.24216485028101861</v>
      </c>
      <c r="N11" s="8">
        <f>SQRT((C11-Sheet2!$C$525)^2+(D11-Sheet2!$D$525)^2+(E11-Sheet2!$E$525)^2+(F11-Sheet2!$F$525)^2+(G11-Sheet2!$G$525)^2+(H11-Sheet2!$H$525)^2+(I11-Sheet2!$I$525)^2+(J11-Sheet2!$J$525)^2+(K11-Sheet2!$K$525)^2+(L11-Sheet2!$L$525)^2)</f>
        <v>1.6921519935078251</v>
      </c>
      <c r="O11" s="8">
        <f>SQRT((C11-Sheet2!$C$526)^2+(D11-Sheet2!$D$526)^2+(E11-Sheet2!$E$526)^2+(F11-Sheet2!$F$526)^2+(G11-Sheet2!$G$526)^2+(H11-Sheet2!$H$526)^2+(I11-Sheet2!$I$526)^2+(J11-Sheet2!$J$526)^2+(K11-Sheet2!$K$526)^2+(L11-Sheet2!$L$526)^2)</f>
        <v>3.1786779780768986</v>
      </c>
      <c r="P11" s="12">
        <f t="shared" si="0"/>
        <v>0</v>
      </c>
      <c r="Q11" s="11">
        <f>IF(P11=Sheet1!$M11, 1, 0)</f>
        <v>1</v>
      </c>
    </row>
    <row r="12" spans="1:17" x14ac:dyDescent="0.35">
      <c r="A12" s="6" t="s">
        <v>12</v>
      </c>
      <c r="B12" s="6" t="s">
        <v>23</v>
      </c>
      <c r="C12" s="6">
        <v>0.69206025686639183</v>
      </c>
      <c r="D12" s="6">
        <v>0.12483328914018736</v>
      </c>
      <c r="E12" s="6">
        <v>-0.78238648868057925</v>
      </c>
      <c r="F12" s="6">
        <v>-7.1913616467145905E-2</v>
      </c>
      <c r="G12" s="6">
        <v>-0.24587182628747109</v>
      </c>
      <c r="H12" s="6">
        <v>0.14908121778564698</v>
      </c>
      <c r="I12" s="6">
        <v>0.37952583203335621</v>
      </c>
      <c r="J12" s="6">
        <v>1.2338679011322136</v>
      </c>
      <c r="K12" s="6">
        <v>-1.7205235749200585</v>
      </c>
      <c r="L12" s="6">
        <v>-0.10531035851903973</v>
      </c>
      <c r="N12" s="8">
        <f>SQRT((C12-Sheet2!$C$525)^2+(D12-Sheet2!$D$525)^2+(E12-Sheet2!$E$525)^2+(F12-Sheet2!$F$525)^2+(G12-Sheet2!$G$525)^2+(H12-Sheet2!$H$525)^2+(I12-Sheet2!$I$525)^2+(J12-Sheet2!$J$525)^2+(K12-Sheet2!$K$525)^2+(L12-Sheet2!$L$525)^2)</f>
        <v>2.6194385023920574</v>
      </c>
      <c r="O12" s="8">
        <f>SQRT((C12-Sheet2!$C$526)^2+(D12-Sheet2!$D$526)^2+(E12-Sheet2!$E$526)^2+(F12-Sheet2!$F$526)^2+(G12-Sheet2!$G$526)^2+(H12-Sheet2!$H$526)^2+(I12-Sheet2!$I$526)^2+(J12-Sheet2!$J$526)^2+(K12-Sheet2!$K$526)^2+(L12-Sheet2!$L$526)^2)</f>
        <v>3.8291579345177968</v>
      </c>
      <c r="P12" s="12">
        <f t="shared" si="0"/>
        <v>0</v>
      </c>
      <c r="Q12" s="11">
        <f>IF(P12=Sheet1!$M12, 1, 0)</f>
        <v>1</v>
      </c>
    </row>
    <row r="13" spans="1:17" x14ac:dyDescent="0.35">
      <c r="A13" s="6" t="s">
        <v>12</v>
      </c>
      <c r="B13" s="6" t="s">
        <v>24</v>
      </c>
      <c r="C13" s="6">
        <v>0.54577988491116447</v>
      </c>
      <c r="D13" s="6">
        <v>0.1432466172303121</v>
      </c>
      <c r="E13" s="6">
        <v>-0.69876150438990803</v>
      </c>
      <c r="F13" s="6">
        <v>-0.45245750273908869</v>
      </c>
      <c r="G13" s="6">
        <v>-1.3346875804783249</v>
      </c>
      <c r="H13" s="6">
        <v>-0.61901143956755644</v>
      </c>
      <c r="I13" s="6">
        <v>0.65046156492471141</v>
      </c>
      <c r="J13" s="6">
        <v>-0.38699242114445043</v>
      </c>
      <c r="K13" s="6">
        <v>-1.8081580397289894</v>
      </c>
      <c r="L13" s="6">
        <v>-0.39479616732192818</v>
      </c>
      <c r="N13" s="8">
        <f>SQRT((C13-Sheet2!$C$525)^2+(D13-Sheet2!$D$525)^2+(E13-Sheet2!$E$525)^2+(F13-Sheet2!$F$525)^2+(G13-Sheet2!$G$525)^2+(H13-Sheet2!$H$525)^2+(I13-Sheet2!$I$525)^2+(J13-Sheet2!$J$525)^2+(K13-Sheet2!$K$525)^2+(L13-Sheet2!$L$525)^2)</f>
        <v>2.5457560125551582</v>
      </c>
      <c r="O13" s="8">
        <f>SQRT((C13-Sheet2!$C$526)^2+(D13-Sheet2!$D$526)^2+(E13-Sheet2!$E$526)^2+(F13-Sheet2!$F$526)^2+(G13-Sheet2!$G$526)^2+(H13-Sheet2!$H$526)^2+(I13-Sheet2!$I$526)^2+(J13-Sheet2!$J$526)^2+(K13-Sheet2!$K$526)^2+(L13-Sheet2!$L$526)^2)</f>
        <v>4.858094661251612</v>
      </c>
      <c r="P13" s="12">
        <f t="shared" si="0"/>
        <v>0</v>
      </c>
      <c r="Q13" s="11">
        <f>IF(P13=Sheet1!$M13, 1, 0)</f>
        <v>1</v>
      </c>
    </row>
    <row r="14" spans="1:17" x14ac:dyDescent="0.35">
      <c r="A14" s="6" t="s">
        <v>12</v>
      </c>
      <c r="B14" s="6" t="s">
        <v>25</v>
      </c>
      <c r="C14" s="6">
        <v>0.98864706606001818</v>
      </c>
      <c r="D14" s="6">
        <v>-2.247333558081379E-2</v>
      </c>
      <c r="E14" s="6">
        <v>-0.54108972784185816</v>
      </c>
      <c r="F14" s="6">
        <v>-0.36463968283017767</v>
      </c>
      <c r="G14" s="6">
        <v>-1.1982226726197382</v>
      </c>
      <c r="H14" s="6">
        <v>-1.5928624385118697</v>
      </c>
      <c r="I14" s="6">
        <v>-2.9109002751017063E-2</v>
      </c>
      <c r="J14" s="6">
        <v>-1.2220961000691954</v>
      </c>
      <c r="K14" s="6">
        <v>1.49065359986432</v>
      </c>
      <c r="L14" s="6">
        <v>-0.4175284008878361</v>
      </c>
      <c r="N14" s="8">
        <f>SQRT((C14-Sheet2!$C$525)^2+(D14-Sheet2!$D$525)^2+(E14-Sheet2!$E$525)^2+(F14-Sheet2!$F$525)^2+(G14-Sheet2!$G$525)^2+(H14-Sheet2!$H$525)^2+(I14-Sheet2!$I$525)^2+(J14-Sheet2!$J$525)^2+(K14-Sheet2!$K$525)^2+(L14-Sheet2!$L$525)^2)</f>
        <v>2.5647106905564381</v>
      </c>
      <c r="O14" s="8">
        <f>SQRT((C14-Sheet2!$C$526)^2+(D14-Sheet2!$D$526)^2+(E14-Sheet2!$E$526)^2+(F14-Sheet2!$F$526)^2+(G14-Sheet2!$G$526)^2+(H14-Sheet2!$H$526)^2+(I14-Sheet2!$I$526)^2+(J14-Sheet2!$J$526)^2+(K14-Sheet2!$K$526)^2+(L14-Sheet2!$L$526)^2)</f>
        <v>5.8736223046806799</v>
      </c>
      <c r="P14" s="12">
        <f t="shared" si="0"/>
        <v>0</v>
      </c>
      <c r="Q14" s="11">
        <f>IF(P14=Sheet1!$M14, 1, 0)</f>
        <v>1</v>
      </c>
    </row>
    <row r="15" spans="1:17" x14ac:dyDescent="0.35">
      <c r="A15" s="6" t="s">
        <v>12</v>
      </c>
      <c r="B15" s="6" t="s">
        <v>26</v>
      </c>
      <c r="C15" s="6">
        <v>0.14317335659402475</v>
      </c>
      <c r="D15" s="6">
        <v>0.29055324195131327</v>
      </c>
      <c r="E15" s="6">
        <v>-0.72123341646801797</v>
      </c>
      <c r="F15" s="6">
        <v>-6.8832289452796611E-2</v>
      </c>
      <c r="G15" s="6">
        <v>-7.7841147044063561E-3</v>
      </c>
      <c r="H15" s="6">
        <v>0.55197975053473269</v>
      </c>
      <c r="I15" s="6">
        <v>-0.12855835411819702</v>
      </c>
      <c r="J15" s="6">
        <v>0.30766200268840554</v>
      </c>
      <c r="K15" s="6">
        <v>-0.47486225370740337</v>
      </c>
      <c r="L15" s="6">
        <v>-0.33226333294146831</v>
      </c>
      <c r="N15" s="8">
        <f>SQRT((C15-Sheet2!$C$525)^2+(D15-Sheet2!$D$525)^2+(E15-Sheet2!$E$525)^2+(F15-Sheet2!$F$525)^2+(G15-Sheet2!$G$525)^2+(H15-Sheet2!$H$525)^2+(I15-Sheet2!$I$525)^2+(J15-Sheet2!$J$525)^2+(K15-Sheet2!$K$525)^2+(L15-Sheet2!$L$525)^2)</f>
        <v>1.3774833510331155</v>
      </c>
      <c r="O15" s="8">
        <f>SQRT((C15-Sheet2!$C$526)^2+(D15-Sheet2!$D$526)^2+(E15-Sheet2!$E$526)^2+(F15-Sheet2!$F$526)^2+(G15-Sheet2!$G$526)^2+(H15-Sheet2!$H$526)^2+(I15-Sheet2!$I$526)^2+(J15-Sheet2!$J$526)^2+(K15-Sheet2!$K$526)^2+(L15-Sheet2!$L$526)^2)</f>
        <v>3.5321542440602087</v>
      </c>
      <c r="P15" s="12">
        <f t="shared" si="0"/>
        <v>0</v>
      </c>
      <c r="Q15" s="11">
        <f>IF(P15=Sheet1!$M15, 1, 0)</f>
        <v>1</v>
      </c>
    </row>
    <row r="16" spans="1:17" x14ac:dyDescent="0.35">
      <c r="A16" s="6" t="s">
        <v>12</v>
      </c>
      <c r="B16" s="6" t="s">
        <v>27</v>
      </c>
      <c r="C16" s="6">
        <v>0.79942199775096245</v>
      </c>
      <c r="D16" s="6">
        <v>0.15552216929039525</v>
      </c>
      <c r="E16" s="6">
        <v>-0.74886281656405473</v>
      </c>
      <c r="F16" s="6">
        <v>-9.5023569074752456E-2</v>
      </c>
      <c r="G16" s="6">
        <v>-0.12102095314025532</v>
      </c>
      <c r="H16" s="6">
        <v>-0.12616096167261864</v>
      </c>
      <c r="I16" s="6">
        <v>0.31832623119201425</v>
      </c>
      <c r="J16" s="6">
        <v>-2.6379468881492351E-2</v>
      </c>
      <c r="K16" s="6">
        <v>-0.70020802035894059</v>
      </c>
      <c r="L16" s="6">
        <v>-0.31036742247885551</v>
      </c>
      <c r="N16" s="8">
        <f>SQRT((C16-Sheet2!$C$525)^2+(D16-Sheet2!$D$525)^2+(E16-Sheet2!$E$525)^2+(F16-Sheet2!$F$525)^2+(G16-Sheet2!$G$525)^2+(H16-Sheet2!$H$525)^2+(I16-Sheet2!$I$525)^2+(J16-Sheet2!$J$525)^2+(K16-Sheet2!$K$525)^2+(L16-Sheet2!$L$525)^2)</f>
        <v>1.3710270171558689</v>
      </c>
      <c r="O16" s="8">
        <f>SQRT((C16-Sheet2!$C$526)^2+(D16-Sheet2!$D$526)^2+(E16-Sheet2!$E$526)^2+(F16-Sheet2!$F$526)^2+(G16-Sheet2!$G$526)^2+(H16-Sheet2!$H$526)^2+(I16-Sheet2!$I$526)^2+(J16-Sheet2!$J$526)^2+(K16-Sheet2!$K$526)^2+(L16-Sheet2!$L$526)^2)</f>
        <v>3.954979115617534</v>
      </c>
      <c r="P16" s="12">
        <f t="shared" si="0"/>
        <v>0</v>
      </c>
      <c r="Q16" s="11">
        <f>IF(P16=Sheet1!$M16, 1, 0)</f>
        <v>1</v>
      </c>
    </row>
    <row r="17" spans="1:17" x14ac:dyDescent="0.35">
      <c r="A17" s="6" t="s">
        <v>12</v>
      </c>
      <c r="B17" s="6" t="s">
        <v>28</v>
      </c>
      <c r="C17" s="6">
        <v>0.12841111722239637</v>
      </c>
      <c r="D17" s="6">
        <v>0.16779772135047949</v>
      </c>
      <c r="E17" s="6">
        <v>-0.24269220680466111</v>
      </c>
      <c r="F17" s="6">
        <v>-1.33684031945378E-2</v>
      </c>
      <c r="G17" s="6">
        <v>-0.71624023209792131</v>
      </c>
      <c r="H17" s="6">
        <v>0.23687862532321483</v>
      </c>
      <c r="I17" s="6">
        <v>7.7990298721329954E-2</v>
      </c>
      <c r="J17" s="6">
        <v>-0.60336019250222517</v>
      </c>
      <c r="K17" s="6">
        <v>0.48911685919083081</v>
      </c>
      <c r="L17" s="6">
        <v>-0.41644259126728067</v>
      </c>
      <c r="N17" s="8">
        <f>SQRT((C17-Sheet2!$C$525)^2+(D17-Sheet2!$D$525)^2+(E17-Sheet2!$E$525)^2+(F17-Sheet2!$F$525)^2+(G17-Sheet2!$G$525)^2+(H17-Sheet2!$H$525)^2+(I17-Sheet2!$I$525)^2+(J17-Sheet2!$J$525)^2+(K17-Sheet2!$K$525)^2+(L17-Sheet2!$L$525)^2)</f>
        <v>1.0546999947091795</v>
      </c>
      <c r="O17" s="8">
        <f>SQRT((C17-Sheet2!$C$526)^2+(D17-Sheet2!$D$526)^2+(E17-Sheet2!$E$526)^2+(F17-Sheet2!$F$526)^2+(G17-Sheet2!$G$526)^2+(H17-Sheet2!$H$526)^2+(I17-Sheet2!$I$526)^2+(J17-Sheet2!$J$526)^2+(K17-Sheet2!$K$526)^2+(L17-Sheet2!$L$526)^2)</f>
        <v>4.0421379911595992</v>
      </c>
      <c r="P17" s="12">
        <f t="shared" si="0"/>
        <v>0</v>
      </c>
      <c r="Q17" s="11">
        <f>IF(P17=Sheet1!$M17, 1, 0)</f>
        <v>1</v>
      </c>
    </row>
    <row r="18" spans="1:17" x14ac:dyDescent="0.35">
      <c r="A18" s="6" t="s">
        <v>12</v>
      </c>
      <c r="B18" s="6" t="s">
        <v>29</v>
      </c>
      <c r="C18" s="6">
        <v>0.9242300215292758</v>
      </c>
      <c r="D18" s="6">
        <v>0.95957082922585946</v>
      </c>
      <c r="E18" s="6">
        <v>0.29221297905461069</v>
      </c>
      <c r="F18" s="6">
        <v>0.51507917976609441</v>
      </c>
      <c r="G18" s="6">
        <v>-0.1152139357845678</v>
      </c>
      <c r="H18" s="6">
        <v>0.51104353597733876</v>
      </c>
      <c r="I18" s="6">
        <v>0.2915514058239273</v>
      </c>
      <c r="J18" s="6">
        <v>-1.4498516488668529</v>
      </c>
      <c r="K18" s="6">
        <v>1.2621780308981809</v>
      </c>
      <c r="L18" s="6">
        <v>-0.38070686550254335</v>
      </c>
      <c r="N18" s="8">
        <f>SQRT((C18-Sheet2!$C$525)^2+(D18-Sheet2!$D$525)^2+(E18-Sheet2!$E$525)^2+(F18-Sheet2!$F$525)^2+(G18-Sheet2!$G$525)^2+(H18-Sheet2!$H$525)^2+(I18-Sheet2!$I$525)^2+(J18-Sheet2!$J$525)^2+(K18-Sheet2!$K$525)^2+(L18-Sheet2!$L$525)^2)</f>
        <v>2.5815801444056974</v>
      </c>
      <c r="O18" s="8">
        <f>SQRT((C18-Sheet2!$C$526)^2+(D18-Sheet2!$D$526)^2+(E18-Sheet2!$E$526)^2+(F18-Sheet2!$F$526)^2+(G18-Sheet2!$G$526)^2+(H18-Sheet2!$H$526)^2+(I18-Sheet2!$I$526)^2+(J18-Sheet2!$J$526)^2+(K18-Sheet2!$K$526)^2+(L18-Sheet2!$L$526)^2)</f>
        <v>4.2659092372250251</v>
      </c>
      <c r="P18" s="12">
        <f t="shared" si="0"/>
        <v>0</v>
      </c>
      <c r="Q18" s="11">
        <f>IF(P18=Sheet1!$M18, 1, 0)</f>
        <v>1</v>
      </c>
    </row>
    <row r="19" spans="1:17" x14ac:dyDescent="0.35">
      <c r="A19" s="6" t="s">
        <v>12</v>
      </c>
      <c r="B19" s="6" t="s">
        <v>30</v>
      </c>
      <c r="C19" s="6">
        <v>0.97656887021050398</v>
      </c>
      <c r="D19" s="6">
        <v>0.55447761124310657</v>
      </c>
      <c r="E19" s="6">
        <v>-1.2815598005635205E-2</v>
      </c>
      <c r="F19" s="6">
        <v>0.56592107550283144</v>
      </c>
      <c r="G19" s="6">
        <v>0.15190886257692218</v>
      </c>
      <c r="H19" s="6">
        <v>-0.15632448818859307</v>
      </c>
      <c r="I19" s="6">
        <v>0.53061234661041723</v>
      </c>
      <c r="J19" s="6">
        <v>-0.5654009343692824</v>
      </c>
      <c r="K19" s="6">
        <v>-1.8300666559312209</v>
      </c>
      <c r="L19" s="6">
        <v>-0.40387062298423521</v>
      </c>
      <c r="N19" s="8">
        <f>SQRT((C19-Sheet2!$C$525)^2+(D19-Sheet2!$D$525)^2+(E19-Sheet2!$E$525)^2+(F19-Sheet2!$F$525)^2+(G19-Sheet2!$G$525)^2+(H19-Sheet2!$H$525)^2+(I19-Sheet2!$I$525)^2+(J19-Sheet2!$J$525)^2+(K19-Sheet2!$K$525)^2+(L19-Sheet2!$L$525)^2)</f>
        <v>2.6322243440683368</v>
      </c>
      <c r="O19" s="8">
        <f>SQRT((C19-Sheet2!$C$526)^2+(D19-Sheet2!$D$526)^2+(E19-Sheet2!$E$526)^2+(F19-Sheet2!$F$526)^2+(G19-Sheet2!$G$526)^2+(H19-Sheet2!$H$526)^2+(I19-Sheet2!$I$526)^2+(J19-Sheet2!$J$526)^2+(K19-Sheet2!$K$526)^2+(L19-Sheet2!$L$526)^2)</f>
        <v>3.7257099799053957</v>
      </c>
      <c r="P19" s="12">
        <f t="shared" si="0"/>
        <v>0</v>
      </c>
      <c r="Q19" s="11">
        <f>IF(P19=Sheet1!$M19, 1, 0)</f>
        <v>1</v>
      </c>
    </row>
    <row r="20" spans="1:17" x14ac:dyDescent="0.35">
      <c r="A20" s="6" t="s">
        <v>12</v>
      </c>
      <c r="B20" s="6" t="s">
        <v>31</v>
      </c>
      <c r="C20" s="6">
        <v>-0.625805112491712</v>
      </c>
      <c r="D20" s="6">
        <v>2.6965614457276632</v>
      </c>
      <c r="E20" s="6">
        <v>2.418940002446881</v>
      </c>
      <c r="F20" s="6">
        <v>2.4316645826903738</v>
      </c>
      <c r="G20" s="6">
        <v>0.5409790254077842</v>
      </c>
      <c r="H20" s="6">
        <v>1.2215023123089479</v>
      </c>
      <c r="I20" s="6">
        <v>0.90737238928992603</v>
      </c>
      <c r="J20" s="6">
        <v>1.4730112273697538</v>
      </c>
      <c r="K20" s="6">
        <v>-1.0116233506621033</v>
      </c>
      <c r="L20" s="6">
        <v>-0.13602043540229192</v>
      </c>
      <c r="N20" s="8">
        <f>SQRT((C20-Sheet2!$C$525)^2+(D20-Sheet2!$D$525)^2+(E20-Sheet2!$E$525)^2+(F20-Sheet2!$F$525)^2+(G20-Sheet2!$G$525)^2+(H20-Sheet2!$H$525)^2+(I20-Sheet2!$I$525)^2+(J20-Sheet2!$J$525)^2+(K20-Sheet2!$K$525)^2+(L20-Sheet2!$L$525)^2)</f>
        <v>5.7278772343938762</v>
      </c>
      <c r="O20" s="8">
        <f>SQRT((C20-Sheet2!$C$526)^2+(D20-Sheet2!$D$526)^2+(E20-Sheet2!$E$526)^2+(F20-Sheet2!$F$526)^2+(G20-Sheet2!$G$526)^2+(H20-Sheet2!$H$526)^2+(I20-Sheet2!$I$526)^2+(J20-Sheet2!$J$526)^2+(K20-Sheet2!$K$526)^2+(L20-Sheet2!$L$526)^2)</f>
        <v>2.2947968300078339</v>
      </c>
      <c r="P20" s="12">
        <f t="shared" si="0"/>
        <v>1</v>
      </c>
      <c r="Q20" s="11">
        <f>IF(P20=Sheet1!$M20, 1, 0)</f>
        <v>0</v>
      </c>
    </row>
    <row r="21" spans="1:17" x14ac:dyDescent="0.35">
      <c r="A21" s="6" t="s">
        <v>12</v>
      </c>
      <c r="B21" s="6" t="s">
        <v>32</v>
      </c>
      <c r="C21" s="6">
        <v>0.40889366528333698</v>
      </c>
      <c r="D21" s="6">
        <v>1.6838284007707809</v>
      </c>
      <c r="E21" s="6">
        <v>0.38799489938753817</v>
      </c>
      <c r="F21" s="6">
        <v>0.95262761580347066</v>
      </c>
      <c r="G21" s="6">
        <v>0.2622421923349274</v>
      </c>
      <c r="H21" s="6">
        <v>0.81052426352879814</v>
      </c>
      <c r="I21" s="6">
        <v>0.70401121566088543</v>
      </c>
      <c r="J21" s="6">
        <v>-0.56919686018257654</v>
      </c>
      <c r="K21" s="6">
        <v>-0.90051536849363778</v>
      </c>
      <c r="L21" s="6">
        <v>-0.43485045455239779</v>
      </c>
      <c r="N21" s="8">
        <f>SQRT((C21-Sheet2!$C$525)^2+(D21-Sheet2!$D$525)^2+(E21-Sheet2!$E$525)^2+(F21-Sheet2!$F$525)^2+(G21-Sheet2!$G$525)^2+(H21-Sheet2!$H$525)^2+(I21-Sheet2!$I$525)^2+(J21-Sheet2!$J$525)^2+(K21-Sheet2!$K$525)^2+(L21-Sheet2!$L$525)^2)</f>
        <v>3.0621835629432286</v>
      </c>
      <c r="O21" s="8">
        <f>SQRT((C21-Sheet2!$C$526)^2+(D21-Sheet2!$D$526)^2+(E21-Sheet2!$E$526)^2+(F21-Sheet2!$F$526)^2+(G21-Sheet2!$G$526)^2+(H21-Sheet2!$H$526)^2+(I21-Sheet2!$I$526)^2+(J21-Sheet2!$J$526)^2+(K21-Sheet2!$K$526)^2+(L21-Sheet2!$L$526)^2)</f>
        <v>2.7844777855748357</v>
      </c>
      <c r="P21" s="12">
        <f t="shared" si="0"/>
        <v>1</v>
      </c>
      <c r="Q21" s="11">
        <f>IF(P21=Sheet1!$M21, 1, 0)</f>
        <v>0</v>
      </c>
    </row>
    <row r="22" spans="1:17" x14ac:dyDescent="0.35">
      <c r="A22" s="6" t="s">
        <v>12</v>
      </c>
      <c r="B22" s="6" t="s">
        <v>33</v>
      </c>
      <c r="C22" s="6">
        <v>-0.1762278225375726</v>
      </c>
      <c r="D22" s="6">
        <v>1.6470017445905305</v>
      </c>
      <c r="E22" s="6">
        <v>0.64181698826979594</v>
      </c>
      <c r="F22" s="6">
        <v>1.1575358622575935</v>
      </c>
      <c r="G22" s="6">
        <v>-6.5854288261248589E-2</v>
      </c>
      <c r="H22" s="6">
        <v>0.78682434983767557</v>
      </c>
      <c r="I22" s="6">
        <v>0.76521081650222644</v>
      </c>
      <c r="J22" s="6">
        <v>0.81631606166984105</v>
      </c>
      <c r="K22" s="6">
        <v>-0.37940328311196136</v>
      </c>
      <c r="L22" s="6">
        <v>-0.37589016680301823</v>
      </c>
      <c r="N22" s="8">
        <f>SQRT((C22-Sheet2!$C$525)^2+(D22-Sheet2!$D$525)^2+(E22-Sheet2!$E$525)^2+(F22-Sheet2!$F$525)^2+(G22-Sheet2!$G$525)^2+(H22-Sheet2!$H$525)^2+(I22-Sheet2!$I$525)^2+(J22-Sheet2!$J$525)^2+(K22-Sheet2!$K$525)^2+(L22-Sheet2!$L$525)^2)</f>
        <v>3.22181558537511</v>
      </c>
      <c r="O22" s="8">
        <f>SQRT((C22-Sheet2!$C$526)^2+(D22-Sheet2!$D$526)^2+(E22-Sheet2!$E$526)^2+(F22-Sheet2!$F$526)^2+(G22-Sheet2!$G$526)^2+(H22-Sheet2!$H$526)^2+(I22-Sheet2!$I$526)^2+(J22-Sheet2!$J$526)^2+(K22-Sheet2!$K$526)^2+(L22-Sheet2!$L$526)^2)</f>
        <v>1.8975354342081956</v>
      </c>
      <c r="P22" s="12">
        <f t="shared" si="0"/>
        <v>1</v>
      </c>
      <c r="Q22" s="11">
        <f>IF(P22=Sheet1!$M22, 1, 0)</f>
        <v>0</v>
      </c>
    </row>
    <row r="23" spans="1:17" x14ac:dyDescent="0.35">
      <c r="A23" s="6" t="s">
        <v>12</v>
      </c>
      <c r="B23" s="6" t="s">
        <v>34</v>
      </c>
      <c r="C23" s="6">
        <v>-0.14938738731643006</v>
      </c>
      <c r="D23" s="6">
        <v>1.6408639685604889</v>
      </c>
      <c r="E23" s="6">
        <v>0.39241560340290405</v>
      </c>
      <c r="F23" s="6">
        <v>1.1775644878508531</v>
      </c>
      <c r="G23" s="6">
        <v>0.5758211295418928</v>
      </c>
      <c r="H23" s="6">
        <v>0.8563081877048303</v>
      </c>
      <c r="I23" s="6">
        <v>0.59308693913595356</v>
      </c>
      <c r="J23" s="6">
        <v>2.3157067579210877</v>
      </c>
      <c r="K23" s="6">
        <v>-0.86921734534759187</v>
      </c>
      <c r="L23" s="6">
        <v>-0.3073902167062158</v>
      </c>
      <c r="N23" s="8">
        <f>SQRT((C23-Sheet2!$C$525)^2+(D23-Sheet2!$D$525)^2+(E23-Sheet2!$E$525)^2+(F23-Sheet2!$F$525)^2+(G23-Sheet2!$G$525)^2+(H23-Sheet2!$H$525)^2+(I23-Sheet2!$I$525)^2+(J23-Sheet2!$J$525)^2+(K23-Sheet2!$K$525)^2+(L23-Sheet2!$L$525)^2)</f>
        <v>4.0803191361711466</v>
      </c>
      <c r="O23" s="8">
        <f>SQRT((C23-Sheet2!$C$526)^2+(D23-Sheet2!$D$526)^2+(E23-Sheet2!$E$526)^2+(F23-Sheet2!$F$526)^2+(G23-Sheet2!$G$526)^2+(H23-Sheet2!$H$526)^2+(I23-Sheet2!$I$526)^2+(J23-Sheet2!$J$526)^2+(K23-Sheet2!$K$526)^2+(L23-Sheet2!$L$526)^2)</f>
        <v>2.0591316778371604</v>
      </c>
      <c r="P23" s="12">
        <f t="shared" si="0"/>
        <v>1</v>
      </c>
      <c r="Q23" s="11">
        <f>IF(P23=Sheet1!$M23, 1, 0)</f>
        <v>0</v>
      </c>
    </row>
    <row r="24" spans="1:17" x14ac:dyDescent="0.35">
      <c r="A24" s="6" t="s">
        <v>12</v>
      </c>
      <c r="B24" s="6" t="s">
        <v>35</v>
      </c>
      <c r="C24" s="6">
        <v>0.72158473560964864</v>
      </c>
      <c r="D24" s="6">
        <v>-0.24957104869235763</v>
      </c>
      <c r="E24" s="6">
        <v>-1.0829943617254594</v>
      </c>
      <c r="F24" s="6">
        <v>-0.71745162597299217</v>
      </c>
      <c r="G24" s="6">
        <v>-1.6221349395847131</v>
      </c>
      <c r="H24" s="6">
        <v>-0.40355767873916848</v>
      </c>
      <c r="I24" s="6">
        <v>-1.5469866027847046</v>
      </c>
      <c r="J24" s="6">
        <v>0.45570310940688291</v>
      </c>
      <c r="K24" s="6">
        <v>-0.88956106039252147</v>
      </c>
      <c r="L24" s="6">
        <v>-0.42887193015612018</v>
      </c>
      <c r="N24" s="8">
        <f>SQRT((C24-Sheet2!$C$525)^2+(D24-Sheet2!$D$525)^2+(E24-Sheet2!$E$525)^2+(F24-Sheet2!$F$525)^2+(G24-Sheet2!$G$525)^2+(H24-Sheet2!$H$525)^2+(I24-Sheet2!$I$525)^2+(J24-Sheet2!$J$525)^2+(K24-Sheet2!$K$525)^2+(L24-Sheet2!$L$525)^2)</f>
        <v>2.5677701061008009</v>
      </c>
      <c r="O24" s="8">
        <f>SQRT((C24-Sheet2!$C$526)^2+(D24-Sheet2!$D$526)^2+(E24-Sheet2!$E$526)^2+(F24-Sheet2!$F$526)^2+(G24-Sheet2!$G$526)^2+(H24-Sheet2!$H$526)^2+(I24-Sheet2!$I$526)^2+(J24-Sheet2!$J$526)^2+(K24-Sheet2!$K$526)^2+(L24-Sheet2!$L$526)^2)</f>
        <v>5.5713925376515316</v>
      </c>
      <c r="P24" s="12">
        <f t="shared" si="0"/>
        <v>0</v>
      </c>
      <c r="Q24" s="11">
        <f>IF(P24=Sheet1!$M24, 1, 0)</f>
        <v>1</v>
      </c>
    </row>
    <row r="25" spans="1:17" x14ac:dyDescent="0.35">
      <c r="A25" s="6" t="s">
        <v>36</v>
      </c>
      <c r="B25" s="6" t="s">
        <v>37</v>
      </c>
      <c r="C25" s="6">
        <v>0.61019692944190684</v>
      </c>
      <c r="D25" s="6">
        <v>-1.7164995198723259</v>
      </c>
      <c r="E25" s="6">
        <v>-1.2266672422248506</v>
      </c>
      <c r="F25" s="6">
        <v>-1.1072394932879774</v>
      </c>
      <c r="G25" s="6">
        <v>3.5768515463229449E-2</v>
      </c>
      <c r="H25" s="6">
        <v>-3.0848797322484565</v>
      </c>
      <c r="I25" s="6">
        <v>-2.3808311642479811</v>
      </c>
      <c r="J25" s="6">
        <v>-0.73621759596752556</v>
      </c>
      <c r="K25" s="6">
        <v>1.928825923908974</v>
      </c>
      <c r="L25" s="6">
        <v>-0.40321581490400876</v>
      </c>
      <c r="N25" s="8">
        <f>SQRT((C25-Sheet2!$C$525)^2+(D25-Sheet2!$D$525)^2+(E25-Sheet2!$E$525)^2+(F25-Sheet2!$F$525)^2+(G25-Sheet2!$G$525)^2+(H25-Sheet2!$H$525)^2+(I25-Sheet2!$I$525)^2+(J25-Sheet2!$J$525)^2+(K25-Sheet2!$K$525)^2+(L25-Sheet2!$L$525)^2)</f>
        <v>4.522434482733912</v>
      </c>
      <c r="O25" s="8">
        <f>SQRT((C25-Sheet2!$C$526)^2+(D25-Sheet2!$D$526)^2+(E25-Sheet2!$E$526)^2+(F25-Sheet2!$F$526)^2+(G25-Sheet2!$G$526)^2+(H25-Sheet2!$H$526)^2+(I25-Sheet2!$I$526)^2+(J25-Sheet2!$J$526)^2+(K25-Sheet2!$K$526)^2+(L25-Sheet2!$L$526)^2)</f>
        <v>7.8740263445259604</v>
      </c>
      <c r="P25" s="12">
        <f t="shared" si="0"/>
        <v>0</v>
      </c>
      <c r="Q25" s="11">
        <f>IF(P25=Sheet1!$M25, 1, 0)</f>
        <v>1</v>
      </c>
    </row>
    <row r="26" spans="1:17" x14ac:dyDescent="0.35">
      <c r="A26" s="6" t="s">
        <v>36</v>
      </c>
      <c r="B26" s="6" t="s">
        <v>38</v>
      </c>
      <c r="C26" s="6">
        <v>-0.37350502141297115</v>
      </c>
      <c r="D26" s="6">
        <v>0.11869551311014578</v>
      </c>
      <c r="E26" s="6">
        <v>-0.20401104667020964</v>
      </c>
      <c r="F26" s="6">
        <v>-0.42164423259561112</v>
      </c>
      <c r="G26" s="6">
        <v>-2.0344331718383146</v>
      </c>
      <c r="H26" s="6">
        <v>-2.2338373769763242</v>
      </c>
      <c r="I26" s="6">
        <v>-0.72397947063708157</v>
      </c>
      <c r="J26" s="6">
        <v>0.4025601480207629</v>
      </c>
      <c r="K26" s="6">
        <v>5.094453514617913E-2</v>
      </c>
      <c r="L26" s="6">
        <v>-0.25864226462504314</v>
      </c>
      <c r="N26" s="8">
        <f>SQRT((C26-Sheet2!$C$525)^2+(D26-Sheet2!$D$525)^2+(E26-Sheet2!$E$525)^2+(F26-Sheet2!$F$525)^2+(G26-Sheet2!$G$525)^2+(H26-Sheet2!$H$525)^2+(I26-Sheet2!$I$525)^2+(J26-Sheet2!$J$525)^2+(K26-Sheet2!$K$525)^2+(L26-Sheet2!$L$525)^2)</f>
        <v>2.9629345479943154</v>
      </c>
      <c r="O26" s="8">
        <f>SQRT((C26-Sheet2!$C$526)^2+(D26-Sheet2!$D$526)^2+(E26-Sheet2!$E$526)^2+(F26-Sheet2!$F$526)^2+(G26-Sheet2!$G$526)^2+(H26-Sheet2!$H$526)^2+(I26-Sheet2!$I$526)^2+(J26-Sheet2!$J$526)^2+(K26-Sheet2!$K$526)^2+(L26-Sheet2!$L$526)^2)</f>
        <v>5.490786463767467</v>
      </c>
      <c r="P26" s="12">
        <f t="shared" si="0"/>
        <v>0</v>
      </c>
      <c r="Q26" s="11">
        <f>IF(P26=Sheet1!$M26, 1, 0)</f>
        <v>1</v>
      </c>
    </row>
    <row r="27" spans="1:17" x14ac:dyDescent="0.35">
      <c r="A27" s="6" t="s">
        <v>36</v>
      </c>
      <c r="B27" s="6" t="s">
        <v>39</v>
      </c>
      <c r="C27" s="6">
        <v>-0.4661045229259132</v>
      </c>
      <c r="D27" s="6">
        <v>0.52378873109289759</v>
      </c>
      <c r="E27" s="6">
        <v>0.36073389129278188</v>
      </c>
      <c r="F27" s="6">
        <v>6.212410865698046E-2</v>
      </c>
      <c r="G27" s="6">
        <v>-1.3608191585789065</v>
      </c>
      <c r="H27" s="6">
        <v>-1.6585758355645284</v>
      </c>
      <c r="I27" s="6">
        <v>-1.1313393137372605</v>
      </c>
      <c r="J27" s="6">
        <v>-0.40217612439762762</v>
      </c>
      <c r="K27" s="6">
        <v>0.7692341663479465</v>
      </c>
      <c r="L27" s="6">
        <v>-0.24922251878704715</v>
      </c>
      <c r="N27" s="8">
        <f>SQRT((C27-Sheet2!$C$525)^2+(D27-Sheet2!$D$525)^2+(E27-Sheet2!$E$525)^2+(F27-Sheet2!$F$525)^2+(G27-Sheet2!$G$525)^2+(H27-Sheet2!$H$525)^2+(I27-Sheet2!$I$525)^2+(J27-Sheet2!$J$525)^2+(K27-Sheet2!$K$525)^2+(L27-Sheet2!$L$525)^2)</f>
        <v>2.5562636825658669</v>
      </c>
      <c r="O27" s="8">
        <f>SQRT((C27-Sheet2!$C$526)^2+(D27-Sheet2!$D$526)^2+(E27-Sheet2!$E$526)^2+(F27-Sheet2!$F$526)^2+(G27-Sheet2!$G$526)^2+(H27-Sheet2!$H$526)^2+(I27-Sheet2!$I$526)^2+(J27-Sheet2!$J$526)^2+(K27-Sheet2!$K$526)^2+(L27-Sheet2!$L$526)^2)</f>
        <v>4.9167643336550482</v>
      </c>
      <c r="P27" s="12">
        <f t="shared" si="0"/>
        <v>0</v>
      </c>
      <c r="Q27" s="11">
        <f>IF(P27=Sheet1!$M27, 1, 0)</f>
        <v>1</v>
      </c>
    </row>
    <row r="28" spans="1:17" x14ac:dyDescent="0.35">
      <c r="A28" s="6" t="s">
        <v>36</v>
      </c>
      <c r="B28" s="6" t="s">
        <v>40</v>
      </c>
      <c r="C28" s="6">
        <v>5.3257898603196893E-2</v>
      </c>
      <c r="D28" s="6">
        <v>0.2475888097410211</v>
      </c>
      <c r="E28" s="6">
        <v>-6.8811182200269716E-2</v>
      </c>
      <c r="F28" s="6">
        <v>-4.8803663859537154E-2</v>
      </c>
      <c r="G28" s="6">
        <v>-0.70172268870871068</v>
      </c>
      <c r="H28" s="6">
        <v>-1.0579984772553965</v>
      </c>
      <c r="I28" s="6">
        <v>-1.0408149041594428</v>
      </c>
      <c r="J28" s="6">
        <v>0.827703839109724</v>
      </c>
      <c r="K28" s="6">
        <v>0.87408254388720275</v>
      </c>
      <c r="L28" s="6">
        <v>-0.30955535849168592</v>
      </c>
      <c r="N28" s="8">
        <f>SQRT((C28-Sheet2!$C$525)^2+(D28-Sheet2!$D$525)^2+(E28-Sheet2!$E$525)^2+(F28-Sheet2!$F$525)^2+(G28-Sheet2!$G$525)^2+(H28-Sheet2!$H$525)^2+(I28-Sheet2!$I$525)^2+(J28-Sheet2!$J$525)^2+(K28-Sheet2!$K$525)^2+(L28-Sheet2!$L$525)^2)</f>
        <v>1.9918980762095226</v>
      </c>
      <c r="O28" s="8">
        <f>SQRT((C28-Sheet2!$C$526)^2+(D28-Sheet2!$D$526)^2+(E28-Sheet2!$E$526)^2+(F28-Sheet2!$F$526)^2+(G28-Sheet2!$G$526)^2+(H28-Sheet2!$H$526)^2+(I28-Sheet2!$I$526)^2+(J28-Sheet2!$J$526)^2+(K28-Sheet2!$K$526)^2+(L28-Sheet2!$L$526)^2)</f>
        <v>4.3813446129365579</v>
      </c>
      <c r="P28" s="12">
        <f t="shared" si="0"/>
        <v>0</v>
      </c>
      <c r="Q28" s="11">
        <f>IF(P28=Sheet1!$M28, 1, 0)</f>
        <v>1</v>
      </c>
    </row>
    <row r="29" spans="1:17" x14ac:dyDescent="0.35">
      <c r="A29" s="6" t="s">
        <v>36</v>
      </c>
      <c r="B29" s="6" t="s">
        <v>41</v>
      </c>
      <c r="C29" s="6">
        <v>-0.34263852090865704</v>
      </c>
      <c r="D29" s="6">
        <v>0.95343305319581784</v>
      </c>
      <c r="E29" s="6">
        <v>0.51030104381266095</v>
      </c>
      <c r="F29" s="6">
        <v>0.59057169161761491</v>
      </c>
      <c r="G29" s="6">
        <v>-0.26038936967668164</v>
      </c>
      <c r="H29" s="6">
        <v>0.35483955937675787</v>
      </c>
      <c r="I29" s="6">
        <v>0.25011417608760289</v>
      </c>
      <c r="J29" s="6">
        <v>-1.3359738744680241</v>
      </c>
      <c r="K29" s="6">
        <v>2.0602776211223679</v>
      </c>
      <c r="L29" s="6">
        <v>-0.33235046516734568</v>
      </c>
      <c r="N29" s="8">
        <f>SQRT((C29-Sheet2!$C$525)^2+(D29-Sheet2!$D$525)^2+(E29-Sheet2!$E$525)^2+(F29-Sheet2!$F$525)^2+(G29-Sheet2!$G$525)^2+(H29-Sheet2!$H$525)^2+(I29-Sheet2!$I$525)^2+(J29-Sheet2!$J$525)^2+(K29-Sheet2!$K$525)^2+(L29-Sheet2!$L$525)^2)</f>
        <v>2.9511266266874339</v>
      </c>
      <c r="O29" s="8">
        <f>SQRT((C29-Sheet2!$C$526)^2+(D29-Sheet2!$D$526)^2+(E29-Sheet2!$E$526)^2+(F29-Sheet2!$F$526)^2+(G29-Sheet2!$G$526)^2+(H29-Sheet2!$H$526)^2+(I29-Sheet2!$I$526)^2+(J29-Sheet2!$J$526)^2+(K29-Sheet2!$K$526)^2+(L29-Sheet2!$L$526)^2)</f>
        <v>4.2912003862668717</v>
      </c>
      <c r="P29" s="12">
        <f t="shared" si="0"/>
        <v>0</v>
      </c>
      <c r="Q29" s="11">
        <f>IF(P29=Sheet1!$M29, 1, 0)</f>
        <v>1</v>
      </c>
    </row>
    <row r="30" spans="1:17" x14ac:dyDescent="0.35">
      <c r="A30" s="6" t="s">
        <v>36</v>
      </c>
      <c r="B30" s="6" t="s">
        <v>42</v>
      </c>
      <c r="C30" s="6">
        <v>-0.44060610946582773</v>
      </c>
      <c r="D30" s="6">
        <v>1.309424062938237</v>
      </c>
      <c r="E30" s="6">
        <v>0.69965453247083287</v>
      </c>
      <c r="F30" s="6">
        <v>0.84169984328695302</v>
      </c>
      <c r="G30" s="6">
        <v>0.18384745803318706</v>
      </c>
      <c r="H30" s="6">
        <v>0.66455434056756557</v>
      </c>
      <c r="I30" s="6">
        <v>0.63133668966179246</v>
      </c>
      <c r="J30" s="6">
        <v>-1.6054846072119191</v>
      </c>
      <c r="K30" s="6">
        <v>1.7081748607293439</v>
      </c>
      <c r="L30" s="6">
        <v>-0.3409016886790065</v>
      </c>
      <c r="N30" s="8">
        <f>SQRT((C30-Sheet2!$C$525)^2+(D30-Sheet2!$D$525)^2+(E30-Sheet2!$E$525)^2+(F30-Sheet2!$F$525)^2+(G30-Sheet2!$G$525)^2+(H30-Sheet2!$H$525)^2+(I30-Sheet2!$I$525)^2+(J30-Sheet2!$J$525)^2+(K30-Sheet2!$K$525)^2+(L30-Sheet2!$L$525)^2)</f>
        <v>3.3460358479786732</v>
      </c>
      <c r="O30" s="8">
        <f>SQRT((C30-Sheet2!$C$526)^2+(D30-Sheet2!$D$526)^2+(E30-Sheet2!$E$526)^2+(F30-Sheet2!$F$526)^2+(G30-Sheet2!$G$526)^2+(H30-Sheet2!$H$526)^2+(I30-Sheet2!$I$526)^2+(J30-Sheet2!$J$526)^2+(K30-Sheet2!$K$526)^2+(L30-Sheet2!$L$526)^2)</f>
        <v>3.9861229396816587</v>
      </c>
      <c r="P30" s="12">
        <f t="shared" si="0"/>
        <v>0</v>
      </c>
      <c r="Q30" s="11">
        <f>IF(P30=Sheet1!$M30, 1, 0)</f>
        <v>1</v>
      </c>
    </row>
    <row r="31" spans="1:17" x14ac:dyDescent="0.35">
      <c r="A31" s="6" t="s">
        <v>36</v>
      </c>
      <c r="B31" s="6" t="s">
        <v>43</v>
      </c>
      <c r="C31" s="6">
        <v>-0.47415665349225605</v>
      </c>
      <c r="D31" s="6">
        <v>0.49923762697273127</v>
      </c>
      <c r="E31" s="6">
        <v>0.32684182717497678</v>
      </c>
      <c r="F31" s="6">
        <v>0.33328088591958027</v>
      </c>
      <c r="G31" s="6">
        <v>8.5128162986548656E-2</v>
      </c>
      <c r="H31" s="6">
        <v>0.23149228130250543</v>
      </c>
      <c r="I31" s="6">
        <v>0.58671198071498076</v>
      </c>
      <c r="J31" s="6">
        <v>0.22794756060922539</v>
      </c>
      <c r="K31" s="6">
        <v>-1.1931518849091729</v>
      </c>
      <c r="L31" s="6">
        <v>4.5623906934026598E-2</v>
      </c>
      <c r="N31" s="8">
        <f>SQRT((C31-Sheet2!$C$525)^2+(D31-Sheet2!$D$525)^2+(E31-Sheet2!$E$525)^2+(F31-Sheet2!$F$525)^2+(G31-Sheet2!$G$525)^2+(H31-Sheet2!$H$525)^2+(I31-Sheet2!$I$525)^2+(J31-Sheet2!$J$525)^2+(K31-Sheet2!$K$525)^2+(L31-Sheet2!$L$525)^2)</f>
        <v>2.196114110517231</v>
      </c>
      <c r="O31" s="8">
        <f>SQRT((C31-Sheet2!$C$526)^2+(D31-Sheet2!$D$526)^2+(E31-Sheet2!$E$526)^2+(F31-Sheet2!$F$526)^2+(G31-Sheet2!$G$526)^2+(H31-Sheet2!$H$526)^2+(I31-Sheet2!$I$526)^2+(J31-Sheet2!$J$526)^2+(K31-Sheet2!$K$526)^2+(L31-Sheet2!$L$526)^2)</f>
        <v>2.4552454878402377</v>
      </c>
      <c r="P31" s="12">
        <f t="shared" si="0"/>
        <v>0</v>
      </c>
      <c r="Q31" s="11">
        <f>IF(P31=Sheet1!$M31, 1, 0)</f>
        <v>1</v>
      </c>
    </row>
    <row r="32" spans="1:17" x14ac:dyDescent="0.35">
      <c r="A32" s="6" t="s">
        <v>36</v>
      </c>
      <c r="B32" s="6" t="s">
        <v>44</v>
      </c>
      <c r="C32" s="6">
        <v>-0.39229332606777106</v>
      </c>
      <c r="D32" s="6">
        <v>0.22303770562085479</v>
      </c>
      <c r="E32" s="6">
        <v>0.25979448294192758</v>
      </c>
      <c r="F32" s="6">
        <v>8.6774724771761666E-2</v>
      </c>
      <c r="G32" s="6">
        <v>-0.37362620811253061</v>
      </c>
      <c r="H32" s="6">
        <v>0.64031579247437176</v>
      </c>
      <c r="I32" s="6">
        <v>0.67851138197699279</v>
      </c>
      <c r="J32" s="6">
        <v>0.50505014497970868</v>
      </c>
      <c r="K32" s="6">
        <v>-1.0084935483474982</v>
      </c>
      <c r="L32" s="6">
        <v>0.11106764719439023</v>
      </c>
      <c r="N32" s="8">
        <f>SQRT((C32-Sheet2!$C$525)^2+(D32-Sheet2!$D$525)^2+(E32-Sheet2!$E$525)^2+(F32-Sheet2!$F$525)^2+(G32-Sheet2!$G$525)^2+(H32-Sheet2!$H$525)^2+(I32-Sheet2!$I$525)^2+(J32-Sheet2!$J$525)^2+(K32-Sheet2!$K$525)^2+(L32-Sheet2!$L$525)^2)</f>
        <v>2.1264650375411844</v>
      </c>
      <c r="O32" s="8">
        <f>SQRT((C32-Sheet2!$C$526)^2+(D32-Sheet2!$D$526)^2+(E32-Sheet2!$E$526)^2+(F32-Sheet2!$F$526)^2+(G32-Sheet2!$G$526)^2+(H32-Sheet2!$H$526)^2+(I32-Sheet2!$I$526)^2+(J32-Sheet2!$J$526)^2+(K32-Sheet2!$K$526)^2+(L32-Sheet2!$L$526)^2)</f>
        <v>2.7106413151809527</v>
      </c>
      <c r="P32" s="12">
        <f t="shared" si="0"/>
        <v>0</v>
      </c>
      <c r="Q32" s="11">
        <f>IF(P32=Sheet1!$M32, 1, 0)</f>
        <v>1</v>
      </c>
    </row>
    <row r="33" spans="1:17" x14ac:dyDescent="0.35">
      <c r="A33" s="6" t="s">
        <v>36</v>
      </c>
      <c r="B33" s="6" t="s">
        <v>45</v>
      </c>
      <c r="C33" s="6">
        <v>-0.46476250116485612</v>
      </c>
      <c r="D33" s="6">
        <v>0.72019756405423241</v>
      </c>
      <c r="E33" s="6">
        <v>0.38725811538497718</v>
      </c>
      <c r="F33" s="6">
        <v>0.53510780535935609</v>
      </c>
      <c r="G33" s="6">
        <v>0.49742639524015247</v>
      </c>
      <c r="H33" s="6">
        <v>0.78359254342524964</v>
      </c>
      <c r="I33" s="6">
        <v>0.93095973544752575</v>
      </c>
      <c r="J33" s="6">
        <v>-0.33764538557162466</v>
      </c>
      <c r="K33" s="6">
        <v>0.48285725456162054</v>
      </c>
      <c r="L33" s="6">
        <v>0.13967700163327057</v>
      </c>
      <c r="N33" s="8">
        <f>SQRT((C33-Sheet2!$C$525)^2+(D33-Sheet2!$D$525)^2+(E33-Sheet2!$E$525)^2+(F33-Sheet2!$F$525)^2+(G33-Sheet2!$G$525)^2+(H33-Sheet2!$H$525)^2+(I33-Sheet2!$I$525)^2+(J33-Sheet2!$J$525)^2+(K33-Sheet2!$K$525)^2+(L33-Sheet2!$L$525)^2)</f>
        <v>2.3624897533994211</v>
      </c>
      <c r="O33" s="8">
        <f>SQRT((C33-Sheet2!$C$526)^2+(D33-Sheet2!$D$526)^2+(E33-Sheet2!$E$526)^2+(F33-Sheet2!$F$526)^2+(G33-Sheet2!$G$526)^2+(H33-Sheet2!$H$526)^2+(I33-Sheet2!$I$526)^2+(J33-Sheet2!$J$526)^2+(K33-Sheet2!$K$526)^2+(L33-Sheet2!$L$526)^2)</f>
        <v>2.5342467418361521</v>
      </c>
      <c r="P33" s="12">
        <f t="shared" si="0"/>
        <v>0</v>
      </c>
      <c r="Q33" s="11">
        <f>IF(P33=Sheet1!$M33, 1, 0)</f>
        <v>1</v>
      </c>
    </row>
    <row r="34" spans="1:17" x14ac:dyDescent="0.35">
      <c r="A34" s="6" t="s">
        <v>36</v>
      </c>
      <c r="B34" s="6" t="s">
        <v>46</v>
      </c>
      <c r="C34" s="6">
        <v>-0.53186358921771271</v>
      </c>
      <c r="D34" s="6">
        <v>0.70792201199414928</v>
      </c>
      <c r="E34" s="6">
        <v>6.6020290268389709E-2</v>
      </c>
      <c r="F34" s="6">
        <v>0.29476429824023381</v>
      </c>
      <c r="G34" s="6">
        <v>-0.1355384965294659</v>
      </c>
      <c r="H34" s="6">
        <v>0.8159106075495075</v>
      </c>
      <c r="I34" s="6">
        <v>0.43116299524323815</v>
      </c>
      <c r="J34" s="6">
        <v>-1.3549535035344955</v>
      </c>
      <c r="K34" s="6">
        <v>2.5453969798860911</v>
      </c>
      <c r="L34" s="6">
        <v>-0.3201618995731787</v>
      </c>
      <c r="N34" s="8">
        <f>SQRT((C34-Sheet2!$C$525)^2+(D34-Sheet2!$D$525)^2+(E34-Sheet2!$E$525)^2+(F34-Sheet2!$F$525)^2+(G34-Sheet2!$G$525)^2+(H34-Sheet2!$H$525)^2+(I34-Sheet2!$I$525)^2+(J34-Sheet2!$J$525)^2+(K34-Sheet2!$K$525)^2+(L34-Sheet2!$L$525)^2)</f>
        <v>3.2284130960245605</v>
      </c>
      <c r="O34" s="8">
        <f>SQRT((C34-Sheet2!$C$526)^2+(D34-Sheet2!$D$526)^2+(E34-Sheet2!$E$526)^2+(F34-Sheet2!$F$526)^2+(G34-Sheet2!$G$526)^2+(H34-Sheet2!$H$526)^2+(I34-Sheet2!$I$526)^2+(J34-Sheet2!$J$526)^2+(K34-Sheet2!$K$526)^2+(L34-Sheet2!$L$526)^2)</f>
        <v>4.7313486121490751</v>
      </c>
      <c r="P34" s="12">
        <f t="shared" si="0"/>
        <v>0</v>
      </c>
      <c r="Q34" s="11">
        <f>IF(P34=Sheet1!$M34, 1, 0)</f>
        <v>1</v>
      </c>
    </row>
    <row r="35" spans="1:17" x14ac:dyDescent="0.35">
      <c r="A35" s="6" t="s">
        <v>36</v>
      </c>
      <c r="B35" s="6" t="s">
        <v>47</v>
      </c>
      <c r="C35" s="6">
        <v>-0.46744654468697056</v>
      </c>
      <c r="D35" s="6">
        <v>0.95957082922585946</v>
      </c>
      <c r="E35" s="6">
        <v>0.76891222871156506</v>
      </c>
      <c r="F35" s="6">
        <v>0.75542268688521663</v>
      </c>
      <c r="G35" s="6">
        <v>0.55840007747483844</v>
      </c>
      <c r="H35" s="6">
        <v>0.38392581708858986</v>
      </c>
      <c r="I35" s="6">
        <v>0.40120069066466485</v>
      </c>
      <c r="J35" s="6">
        <v>-1.1803409161229579</v>
      </c>
      <c r="K35" s="6">
        <v>2.3623035444817186</v>
      </c>
      <c r="L35" s="6">
        <v>-0.15424168527990051</v>
      </c>
      <c r="N35" s="8">
        <f>SQRT((C35-Sheet2!$C$525)^2+(D35-Sheet2!$D$525)^2+(E35-Sheet2!$E$525)^2+(F35-Sheet2!$F$525)^2+(G35-Sheet2!$G$525)^2+(H35-Sheet2!$H$525)^2+(I35-Sheet2!$I$525)^2+(J35-Sheet2!$J$525)^2+(K35-Sheet2!$K$525)^2+(L35-Sheet2!$L$525)^2)</f>
        <v>3.3755280718777541</v>
      </c>
      <c r="O35" s="8">
        <f>SQRT((C35-Sheet2!$C$526)^2+(D35-Sheet2!$D$526)^2+(E35-Sheet2!$E$526)^2+(F35-Sheet2!$F$526)^2+(G35-Sheet2!$G$526)^2+(H35-Sheet2!$H$526)^2+(I35-Sheet2!$I$526)^2+(J35-Sheet2!$J$526)^2+(K35-Sheet2!$K$526)^2+(L35-Sheet2!$L$526)^2)</f>
        <v>4.0964721101216668</v>
      </c>
      <c r="P35" s="12">
        <f t="shared" si="0"/>
        <v>0</v>
      </c>
      <c r="Q35" s="11">
        <f>IF(P35=Sheet1!$M35, 1, 0)</f>
        <v>1</v>
      </c>
    </row>
    <row r="36" spans="1:17" x14ac:dyDescent="0.35">
      <c r="A36" s="6" t="s">
        <v>36</v>
      </c>
      <c r="B36" s="6" t="s">
        <v>48</v>
      </c>
      <c r="C36" s="6">
        <v>-1.1089329464722797</v>
      </c>
      <c r="D36" s="6">
        <v>1.0209485895262764</v>
      </c>
      <c r="E36" s="6">
        <v>0.72433679655662575</v>
      </c>
      <c r="F36" s="6">
        <v>0.86326913238738712</v>
      </c>
      <c r="G36" s="6">
        <v>0.61356674235384112</v>
      </c>
      <c r="H36" s="6">
        <v>1.032441637182038</v>
      </c>
      <c r="I36" s="6">
        <v>0.83151038408034672</v>
      </c>
      <c r="J36" s="6">
        <v>1.5451338178223459</v>
      </c>
      <c r="K36" s="6">
        <v>-0.42009071320182273</v>
      </c>
      <c r="L36" s="6">
        <v>1.0491293672015534</v>
      </c>
      <c r="N36" s="8">
        <f>SQRT((C36-Sheet2!$C$525)^2+(D36-Sheet2!$D$525)^2+(E36-Sheet2!$E$525)^2+(F36-Sheet2!$F$525)^2+(G36-Sheet2!$G$525)^2+(H36-Sheet2!$H$525)^2+(I36-Sheet2!$I$525)^2+(J36-Sheet2!$J$525)^2+(K36-Sheet2!$K$525)^2+(L36-Sheet2!$L$525)^2)</f>
        <v>3.7627441491280669</v>
      </c>
      <c r="O36" s="8">
        <f>SQRT((C36-Sheet2!$C$526)^2+(D36-Sheet2!$D$526)^2+(E36-Sheet2!$E$526)^2+(F36-Sheet2!$F$526)^2+(G36-Sheet2!$G$526)^2+(H36-Sheet2!$H$526)^2+(I36-Sheet2!$I$526)^2+(J36-Sheet2!$J$526)^2+(K36-Sheet2!$K$526)^2+(L36-Sheet2!$L$526)^2)</f>
        <v>1.2084735608882895</v>
      </c>
      <c r="P36" s="12">
        <f t="shared" si="0"/>
        <v>1</v>
      </c>
      <c r="Q36" s="11">
        <f>IF(P36=Sheet1!$M36, 1, 0)</f>
        <v>0</v>
      </c>
    </row>
    <row r="37" spans="1:17" x14ac:dyDescent="0.35">
      <c r="A37" s="6" t="s">
        <v>36</v>
      </c>
      <c r="B37" s="6" t="s">
        <v>49</v>
      </c>
      <c r="C37" s="6">
        <v>-0.28895765046637195</v>
      </c>
      <c r="D37" s="6">
        <v>0.13710884120027053</v>
      </c>
      <c r="E37" s="6">
        <v>0.30105438708534249</v>
      </c>
      <c r="F37" s="6">
        <v>0.21927178638871339</v>
      </c>
      <c r="G37" s="6">
        <v>-0.19941568744199564</v>
      </c>
      <c r="H37" s="6">
        <v>0.19163333554925394</v>
      </c>
      <c r="I37" s="6">
        <v>0.47005024161117381</v>
      </c>
      <c r="J37" s="6">
        <v>2.296756669133344E-2</v>
      </c>
      <c r="K37" s="6">
        <v>-5.3903842393077189E-2</v>
      </c>
      <c r="L37" s="6">
        <v>0.17307994488155118</v>
      </c>
      <c r="N37" s="8">
        <f>SQRT((C37-Sheet2!$C$525)^2+(D37-Sheet2!$D$525)^2+(E37-Sheet2!$E$525)^2+(F37-Sheet2!$F$525)^2+(G37-Sheet2!$G$525)^2+(H37-Sheet2!$H$525)^2+(I37-Sheet2!$I$525)^2+(J37-Sheet2!$J$525)^2+(K37-Sheet2!$K$525)^2+(L37-Sheet2!$L$525)^2)</f>
        <v>1.3721902610293126</v>
      </c>
      <c r="O37" s="8">
        <f>SQRT((C37-Sheet2!$C$526)^2+(D37-Sheet2!$D$526)^2+(E37-Sheet2!$E$526)^2+(F37-Sheet2!$F$526)^2+(G37-Sheet2!$G$526)^2+(H37-Sheet2!$H$526)^2+(I37-Sheet2!$I$526)^2+(J37-Sheet2!$J$526)^2+(K37-Sheet2!$K$526)^2+(L37-Sheet2!$L$526)^2)</f>
        <v>2.8563553984224188</v>
      </c>
      <c r="P37" s="12">
        <f t="shared" si="0"/>
        <v>0</v>
      </c>
      <c r="Q37" s="11">
        <f>IF(P37=Sheet1!$M37, 1, 0)</f>
        <v>1</v>
      </c>
    </row>
    <row r="38" spans="1:17" x14ac:dyDescent="0.35">
      <c r="A38" s="6" t="s">
        <v>36</v>
      </c>
      <c r="B38" s="6" t="s">
        <v>50</v>
      </c>
      <c r="C38" s="6">
        <v>0.62361714705247839</v>
      </c>
      <c r="D38" s="6">
        <v>-1.4587129266105743</v>
      </c>
      <c r="E38" s="6">
        <v>-1.209721210165948</v>
      </c>
      <c r="F38" s="6">
        <v>-1.1673253700677579</v>
      </c>
      <c r="G38" s="6">
        <v>-0.23135428289826052</v>
      </c>
      <c r="H38" s="6">
        <v>-3.450612491254645</v>
      </c>
      <c r="I38" s="6">
        <v>-1.2065638231047431</v>
      </c>
      <c r="J38" s="6">
        <v>-0.4363394567172762</v>
      </c>
      <c r="K38" s="6">
        <v>0.43591021984255107</v>
      </c>
      <c r="L38" s="6">
        <v>-0.36840949954862978</v>
      </c>
      <c r="N38" s="8">
        <f>SQRT((C38-Sheet2!$C$525)^2+(D38-Sheet2!$D$525)^2+(E38-Sheet2!$E$525)^2+(F38-Sheet2!$F$525)^2+(G38-Sheet2!$G$525)^2+(H38-Sheet2!$H$525)^2+(I38-Sheet2!$I$525)^2+(J38-Sheet2!$J$525)^2+(K38-Sheet2!$K$525)^2+(L38-Sheet2!$L$525)^2)</f>
        <v>3.8655474453413285</v>
      </c>
      <c r="O38" s="8">
        <f>SQRT((C38-Sheet2!$C$526)^2+(D38-Sheet2!$D$526)^2+(E38-Sheet2!$E$526)^2+(F38-Sheet2!$F$526)^2+(G38-Sheet2!$G$526)^2+(H38-Sheet2!$H$526)^2+(I38-Sheet2!$I$526)^2+(J38-Sheet2!$J$526)^2+(K38-Sheet2!$K$526)^2+(L38-Sheet2!$L$526)^2)</f>
        <v>7.1939715025651081</v>
      </c>
      <c r="P38" s="12">
        <f t="shared" si="0"/>
        <v>0</v>
      </c>
      <c r="Q38" s="11">
        <f>IF(P38=Sheet1!$M38, 1, 0)</f>
        <v>1</v>
      </c>
    </row>
    <row r="39" spans="1:17" x14ac:dyDescent="0.35">
      <c r="A39" s="6" t="s">
        <v>36</v>
      </c>
      <c r="B39" s="6" t="s">
        <v>51</v>
      </c>
      <c r="C39" s="6">
        <v>-0.35203267323605703</v>
      </c>
      <c r="D39" s="6">
        <v>0.78157532435465038</v>
      </c>
      <c r="E39" s="6">
        <v>-0.85053900891747003</v>
      </c>
      <c r="F39" s="6">
        <v>-7.9616934003014755E-2</v>
      </c>
      <c r="G39" s="6">
        <v>-4.2626218838510872E-2</v>
      </c>
      <c r="H39" s="6">
        <v>0.77820619940454028</v>
      </c>
      <c r="I39" s="6">
        <v>0.43435047445372454</v>
      </c>
      <c r="J39" s="6">
        <v>-1.1841368419362523</v>
      </c>
      <c r="K39" s="6">
        <v>2.3012723993469275</v>
      </c>
      <c r="L39" s="6">
        <v>-0.37078083337365808</v>
      </c>
      <c r="N39" s="8">
        <f>SQRT((C39-Sheet2!$C$525)^2+(D39-Sheet2!$D$525)^2+(E39-Sheet2!$E$525)^2+(F39-Sheet2!$F$525)^2+(G39-Sheet2!$G$525)^2+(H39-Sheet2!$H$525)^2+(I39-Sheet2!$I$525)^2+(J39-Sheet2!$J$525)^2+(K39-Sheet2!$K$525)^2+(L39-Sheet2!$L$525)^2)</f>
        <v>2.9462636359463348</v>
      </c>
      <c r="O39" s="8">
        <f>SQRT((C39-Sheet2!$C$526)^2+(D39-Sheet2!$D$526)^2+(E39-Sheet2!$E$526)^2+(F39-Sheet2!$F$526)^2+(G39-Sheet2!$G$526)^2+(H39-Sheet2!$H$526)^2+(I39-Sheet2!$I$526)^2+(J39-Sheet2!$J$526)^2+(K39-Sheet2!$K$526)^2+(L39-Sheet2!$L$526)^2)</f>
        <v>4.9293906869600166</v>
      </c>
      <c r="P39" s="12">
        <f t="shared" si="0"/>
        <v>0</v>
      </c>
      <c r="Q39" s="11">
        <f>IF(P39=Sheet1!$M39, 1, 0)</f>
        <v>1</v>
      </c>
    </row>
    <row r="40" spans="1:17" x14ac:dyDescent="0.35">
      <c r="A40" s="6" t="s">
        <v>36</v>
      </c>
      <c r="B40" s="6" t="s">
        <v>52</v>
      </c>
      <c r="C40" s="6">
        <v>-0.39229332606777106</v>
      </c>
      <c r="D40" s="6">
        <v>0.43172209064227285</v>
      </c>
      <c r="E40" s="6">
        <v>-0.76286171261271329</v>
      </c>
      <c r="F40" s="6">
        <v>-0.30609446955757175</v>
      </c>
      <c r="G40" s="6">
        <v>-1.0733717994725225</v>
      </c>
      <c r="H40" s="6">
        <v>0.69687240469182354</v>
      </c>
      <c r="I40" s="6">
        <v>-0.92096568584514948</v>
      </c>
      <c r="J40" s="6">
        <v>-1.4043005391073213</v>
      </c>
      <c r="K40" s="6">
        <v>2.8536825078746499</v>
      </c>
      <c r="L40" s="6">
        <v>-0.44071092209586799</v>
      </c>
      <c r="N40" s="8">
        <f>SQRT((C40-Sheet2!$C$525)^2+(D40-Sheet2!$D$525)^2+(E40-Sheet2!$E$525)^2+(F40-Sheet2!$F$525)^2+(G40-Sheet2!$G$525)^2+(H40-Sheet2!$H$525)^2+(I40-Sheet2!$I$525)^2+(J40-Sheet2!$J$525)^2+(K40-Sheet2!$K$525)^2+(L40-Sheet2!$L$525)^2)</f>
        <v>3.4435748558891408</v>
      </c>
      <c r="O40" s="8">
        <f>SQRT((C40-Sheet2!$C$526)^2+(D40-Sheet2!$D$526)^2+(E40-Sheet2!$E$526)^2+(F40-Sheet2!$F$526)^2+(G40-Sheet2!$G$526)^2+(H40-Sheet2!$H$526)^2+(I40-Sheet2!$I$526)^2+(J40-Sheet2!$J$526)^2+(K40-Sheet2!$K$526)^2+(L40-Sheet2!$L$526)^2)</f>
        <v>5.983045030018574</v>
      </c>
      <c r="P40" s="12">
        <f t="shared" si="0"/>
        <v>0</v>
      </c>
      <c r="Q40" s="11">
        <f>IF(P40=Sheet1!$M40, 1, 0)</f>
        <v>1</v>
      </c>
    </row>
    <row r="41" spans="1:17" x14ac:dyDescent="0.35">
      <c r="A41" s="6" t="s">
        <v>36</v>
      </c>
      <c r="B41" s="6" t="s">
        <v>53</v>
      </c>
      <c r="C41" s="6">
        <v>5.4599920364253991E-2</v>
      </c>
      <c r="D41" s="6">
        <v>0.61585537154352343</v>
      </c>
      <c r="E41" s="6">
        <v>-0.6707637122925908</v>
      </c>
      <c r="F41" s="6">
        <v>0.13915728401567337</v>
      </c>
      <c r="G41" s="6">
        <v>0.50904042995151932</v>
      </c>
      <c r="H41" s="6">
        <v>0.74804267288856585</v>
      </c>
      <c r="I41" s="6">
        <v>-1.2429010861042891</v>
      </c>
      <c r="J41" s="6">
        <v>-1.6548316427847449</v>
      </c>
      <c r="K41" s="6">
        <v>2.3341353236502758</v>
      </c>
      <c r="L41" s="6">
        <v>-0.39286764072250963</v>
      </c>
      <c r="N41" s="8">
        <f>SQRT((C41-Sheet2!$C$525)^2+(D41-Sheet2!$D$525)^2+(E41-Sheet2!$E$525)^2+(F41-Sheet2!$F$525)^2+(G41-Sheet2!$G$525)^2+(H41-Sheet2!$H$525)^2+(I41-Sheet2!$I$525)^2+(J41-Sheet2!$J$525)^2+(K41-Sheet2!$K$525)^2+(L41-Sheet2!$L$525)^2)</f>
        <v>3.2449232429011441</v>
      </c>
      <c r="O41" s="8">
        <f>SQRT((C41-Sheet2!$C$526)^2+(D41-Sheet2!$D$526)^2+(E41-Sheet2!$E$526)^2+(F41-Sheet2!$F$526)^2+(G41-Sheet2!$G$526)^2+(H41-Sheet2!$H$526)^2+(I41-Sheet2!$I$526)^2+(J41-Sheet2!$J$526)^2+(K41-Sheet2!$K$526)^2+(L41-Sheet2!$L$526)^2)</f>
        <v>5.4270570669196072</v>
      </c>
      <c r="P41" s="12">
        <f t="shared" si="0"/>
        <v>0</v>
      </c>
      <c r="Q41" s="11">
        <f>IF(P41=Sheet1!$M41, 1, 0)</f>
        <v>1</v>
      </c>
    </row>
    <row r="42" spans="1:17" x14ac:dyDescent="0.35">
      <c r="A42" s="6" t="s">
        <v>36</v>
      </c>
      <c r="B42" s="6" t="s">
        <v>54</v>
      </c>
      <c r="C42" s="6">
        <v>-0.53320561097876984</v>
      </c>
      <c r="D42" s="6">
        <v>0.15552216929039525</v>
      </c>
      <c r="E42" s="6">
        <v>0.25500538692528119</v>
      </c>
      <c r="F42" s="6">
        <v>9.7559369321979811E-2</v>
      </c>
      <c r="G42" s="6">
        <v>-0.24296831760963145</v>
      </c>
      <c r="H42" s="6">
        <v>0.8611558973234692</v>
      </c>
      <c r="I42" s="6">
        <v>0.82896040071195709</v>
      </c>
      <c r="J42" s="6">
        <v>-0.4287476050906876</v>
      </c>
      <c r="K42" s="6">
        <v>-0.42478541667372988</v>
      </c>
      <c r="L42" s="6">
        <v>-4.3896974738430898E-2</v>
      </c>
      <c r="N42" s="8">
        <f>SQRT((C42-Sheet2!$C$525)^2+(D42-Sheet2!$D$525)^2+(E42-Sheet2!$E$525)^2+(F42-Sheet2!$F$525)^2+(G42-Sheet2!$G$525)^2+(H42-Sheet2!$H$525)^2+(I42-Sheet2!$I$525)^2+(J42-Sheet2!$J$525)^2+(K42-Sheet2!$K$525)^2+(L42-Sheet2!$L$525)^2)</f>
        <v>1.9166968419085948</v>
      </c>
      <c r="O42" s="8">
        <f>SQRT((C42-Sheet2!$C$526)^2+(D42-Sheet2!$D$526)^2+(E42-Sheet2!$E$526)^2+(F42-Sheet2!$F$526)^2+(G42-Sheet2!$G$526)^2+(H42-Sheet2!$H$526)^2+(I42-Sheet2!$I$526)^2+(J42-Sheet2!$J$526)^2+(K42-Sheet2!$K$526)^2+(L42-Sheet2!$L$526)^2)</f>
        <v>3.044650745297008</v>
      </c>
      <c r="P42" s="12">
        <f t="shared" si="0"/>
        <v>0</v>
      </c>
      <c r="Q42" s="11">
        <f>IF(P42=Sheet1!$M42, 1, 0)</f>
        <v>1</v>
      </c>
    </row>
    <row r="43" spans="1:17" x14ac:dyDescent="0.35">
      <c r="A43" s="6" t="s">
        <v>36</v>
      </c>
      <c r="B43" s="6" t="s">
        <v>55</v>
      </c>
      <c r="C43" s="6">
        <v>1.4339267532540168E-2</v>
      </c>
      <c r="D43" s="6">
        <v>-0.22501994457219024</v>
      </c>
      <c r="E43" s="6">
        <v>7.8914010313206856E-2</v>
      </c>
      <c r="F43" s="6">
        <v>-0.20749200509844473</v>
      </c>
      <c r="G43" s="6">
        <v>-0.73366128416497556</v>
      </c>
      <c r="H43" s="6">
        <v>0.58375918025692008</v>
      </c>
      <c r="I43" s="6">
        <v>0.80919802960694043</v>
      </c>
      <c r="J43" s="6">
        <v>0.59235643868547772</v>
      </c>
      <c r="K43" s="6">
        <v>8.3807459449527055E-2</v>
      </c>
      <c r="L43" s="6">
        <v>5.2696787013301813E-2</v>
      </c>
      <c r="N43" s="8">
        <f>SQRT((C43-Sheet2!$C$525)^2+(D43-Sheet2!$D$525)^2+(E43-Sheet2!$E$525)^2+(F43-Sheet2!$F$525)^2+(G43-Sheet2!$G$525)^2+(H43-Sheet2!$H$525)^2+(I43-Sheet2!$I$525)^2+(J43-Sheet2!$J$525)^2+(K43-Sheet2!$K$525)^2+(L43-Sheet2!$L$525)^2)</f>
        <v>1.6778411287198112</v>
      </c>
      <c r="O43" s="8">
        <f>SQRT((C43-Sheet2!$C$526)^2+(D43-Sheet2!$D$526)^2+(E43-Sheet2!$E$526)^2+(F43-Sheet2!$F$526)^2+(G43-Sheet2!$G$526)^2+(H43-Sheet2!$H$526)^2+(I43-Sheet2!$I$526)^2+(J43-Sheet2!$J$526)^2+(K43-Sheet2!$K$526)^2+(L43-Sheet2!$L$526)^2)</f>
        <v>3.4271276008848011</v>
      </c>
      <c r="P43" s="12">
        <f t="shared" si="0"/>
        <v>0</v>
      </c>
      <c r="Q43" s="11">
        <f>IF(P43=Sheet1!$M43, 1, 0)</f>
        <v>1</v>
      </c>
    </row>
    <row r="44" spans="1:17" x14ac:dyDescent="0.35">
      <c r="A44" s="6" t="s">
        <v>36</v>
      </c>
      <c r="B44" s="6" t="s">
        <v>56</v>
      </c>
      <c r="C44" s="6">
        <v>-0.3157980856875145</v>
      </c>
      <c r="D44" s="6">
        <v>0.57902871536327394</v>
      </c>
      <c r="E44" s="6">
        <v>-9.938771830655041E-2</v>
      </c>
      <c r="F44" s="6">
        <v>2.8229511499155757E-2</v>
      </c>
      <c r="G44" s="6">
        <v>-0.70752970606439414</v>
      </c>
      <c r="H44" s="6">
        <v>-0.54037081686519439</v>
      </c>
      <c r="I44" s="6">
        <v>-0.48173105064010524</v>
      </c>
      <c r="J44" s="6">
        <v>-0.70964611527446553</v>
      </c>
      <c r="K44" s="6">
        <v>1.1510700487297145</v>
      </c>
      <c r="L44" s="6">
        <v>-0.27937555538021203</v>
      </c>
      <c r="N44" s="8">
        <f>SQRT((C44-Sheet2!$C$525)^2+(D44-Sheet2!$D$525)^2+(E44-Sheet2!$E$525)^2+(F44-Sheet2!$F$525)^2+(G44-Sheet2!$G$525)^2+(H44-Sheet2!$H$525)^2+(I44-Sheet2!$I$525)^2+(J44-Sheet2!$J$525)^2+(K44-Sheet2!$K$525)^2+(L44-Sheet2!$L$525)^2)</f>
        <v>1.700156931169738</v>
      </c>
      <c r="O44" s="8">
        <f>SQRT((C44-Sheet2!$C$526)^2+(D44-Sheet2!$D$526)^2+(E44-Sheet2!$E$526)^2+(F44-Sheet2!$F$526)^2+(G44-Sheet2!$G$526)^2+(H44-Sheet2!$H$526)^2+(I44-Sheet2!$I$526)^2+(J44-Sheet2!$J$526)^2+(K44-Sheet2!$K$526)^2+(L44-Sheet2!$L$526)^2)</f>
        <v>4.3464641194342821</v>
      </c>
      <c r="P44" s="12">
        <f t="shared" si="0"/>
        <v>0</v>
      </c>
      <c r="Q44" s="11">
        <f>IF(P44=Sheet1!$M44, 1, 0)</f>
        <v>1</v>
      </c>
    </row>
    <row r="45" spans="1:17" x14ac:dyDescent="0.35">
      <c r="A45" s="6" t="s">
        <v>36</v>
      </c>
      <c r="B45" s="6" t="s">
        <v>57</v>
      </c>
      <c r="C45" s="6">
        <v>-0.48086676229754183</v>
      </c>
      <c r="D45" s="6">
        <v>0.35806877828177169</v>
      </c>
      <c r="E45" s="6">
        <v>-0.51714424775862633</v>
      </c>
      <c r="F45" s="6">
        <v>-0.19824802405540123</v>
      </c>
      <c r="G45" s="6">
        <v>-0.73366128416497556</v>
      </c>
      <c r="H45" s="6">
        <v>-0.94703979042877695</v>
      </c>
      <c r="I45" s="6">
        <v>-0.46515615874557492</v>
      </c>
      <c r="J45" s="6">
        <v>-0.37560464370456742</v>
      </c>
      <c r="K45" s="6">
        <v>0.90225076471864574</v>
      </c>
      <c r="L45" s="6">
        <v>-0.28421283567266015</v>
      </c>
      <c r="N45" s="8">
        <f>SQRT((C45-Sheet2!$C$525)^2+(D45-Sheet2!$D$525)^2+(E45-Sheet2!$E$525)^2+(F45-Sheet2!$F$525)^2+(G45-Sheet2!$G$525)^2+(H45-Sheet2!$H$525)^2+(I45-Sheet2!$I$525)^2+(J45-Sheet2!$J$525)^2+(K45-Sheet2!$K$525)^2+(L45-Sheet2!$L$525)^2)</f>
        <v>1.5701562840255063</v>
      </c>
      <c r="O45" s="8">
        <f>SQRT((C45-Sheet2!$C$526)^2+(D45-Sheet2!$D$526)^2+(E45-Sheet2!$E$526)^2+(F45-Sheet2!$F$526)^2+(G45-Sheet2!$G$526)^2+(H45-Sheet2!$H$526)^2+(I45-Sheet2!$I$526)^2+(J45-Sheet2!$J$526)^2+(K45-Sheet2!$K$526)^2+(L45-Sheet2!$L$526)^2)</f>
        <v>4.5431899512147771</v>
      </c>
      <c r="P45" s="12">
        <f t="shared" si="0"/>
        <v>0</v>
      </c>
      <c r="Q45" s="11">
        <f>IF(P45=Sheet1!$M45, 1, 0)</f>
        <v>1</v>
      </c>
    </row>
    <row r="46" spans="1:17" x14ac:dyDescent="0.35">
      <c r="A46" s="6" t="s">
        <v>36</v>
      </c>
      <c r="B46" s="6" t="s">
        <v>58</v>
      </c>
      <c r="C46" s="6">
        <v>-0.50233911047445601</v>
      </c>
      <c r="D46" s="6">
        <v>0.28441546592127165</v>
      </c>
      <c r="E46" s="6">
        <v>0.45577902762314837</v>
      </c>
      <c r="F46" s="6">
        <v>0.27165434563262508</v>
      </c>
      <c r="G46" s="6">
        <v>-0.24587182628747109</v>
      </c>
      <c r="H46" s="6">
        <v>0.41193480599628007</v>
      </c>
      <c r="I46" s="6">
        <v>-3.0383994435212329E-2</v>
      </c>
      <c r="J46" s="6">
        <v>-0.1326653916537327</v>
      </c>
      <c r="K46" s="6">
        <v>-0.48268675949391676</v>
      </c>
      <c r="L46" s="6">
        <v>-4.8971016482057997E-2</v>
      </c>
      <c r="N46" s="8">
        <f>SQRT((C46-Sheet2!$C$525)^2+(D46-Sheet2!$D$525)^2+(E46-Sheet2!$E$525)^2+(F46-Sheet2!$F$525)^2+(G46-Sheet2!$G$525)^2+(H46-Sheet2!$H$525)^2+(I46-Sheet2!$I$525)^2+(J46-Sheet2!$J$525)^2+(K46-Sheet2!$K$525)^2+(L46-Sheet2!$L$525)^2)</f>
        <v>1.597310634774346</v>
      </c>
      <c r="O46" s="8">
        <f>SQRT((C46-Sheet2!$C$526)^2+(D46-Sheet2!$D$526)^2+(E46-Sheet2!$E$526)^2+(F46-Sheet2!$F$526)^2+(G46-Sheet2!$G$526)^2+(H46-Sheet2!$H$526)^2+(I46-Sheet2!$I$526)^2+(J46-Sheet2!$J$526)^2+(K46-Sheet2!$K$526)^2+(L46-Sheet2!$L$526)^2)</f>
        <v>2.8392961365292897</v>
      </c>
      <c r="P46" s="12">
        <f t="shared" si="0"/>
        <v>0</v>
      </c>
      <c r="Q46" s="11">
        <f>IF(P46=Sheet1!$M46, 1, 0)</f>
        <v>1</v>
      </c>
    </row>
    <row r="47" spans="1:17" x14ac:dyDescent="0.35">
      <c r="A47" s="6" t="s">
        <v>36</v>
      </c>
      <c r="B47" s="6" t="s">
        <v>59</v>
      </c>
      <c r="C47" s="6">
        <v>-0.30237786807694322</v>
      </c>
      <c r="D47" s="6">
        <v>-1.6335559550772212E-2</v>
      </c>
      <c r="E47" s="6">
        <v>0.55819200397912461</v>
      </c>
      <c r="F47" s="6">
        <v>0.2993862887617556</v>
      </c>
      <c r="G47" s="6">
        <v>-2.8108675449300315E-2</v>
      </c>
      <c r="H47" s="6">
        <v>0.1372312609400857</v>
      </c>
      <c r="I47" s="6">
        <v>0.10285263656312495</v>
      </c>
      <c r="J47" s="6">
        <v>0.25831496711557977</v>
      </c>
      <c r="K47" s="6">
        <v>-0.58440533471856682</v>
      </c>
      <c r="L47" s="6">
        <v>-8.3471846671411373E-2</v>
      </c>
      <c r="N47" s="8">
        <f>SQRT((C47-Sheet2!$C$525)^2+(D47-Sheet2!$D$525)^2+(E47-Sheet2!$E$525)^2+(F47-Sheet2!$F$525)^2+(G47-Sheet2!$G$525)^2+(H47-Sheet2!$H$525)^2+(I47-Sheet2!$I$525)^2+(J47-Sheet2!$J$525)^2+(K47-Sheet2!$K$525)^2+(L47-Sheet2!$L$525)^2)</f>
        <v>1.5768750651366932</v>
      </c>
      <c r="O47" s="8">
        <f>SQRT((C47-Sheet2!$C$526)^2+(D47-Sheet2!$D$526)^2+(E47-Sheet2!$E$526)^2+(F47-Sheet2!$F$526)^2+(G47-Sheet2!$G$526)^2+(H47-Sheet2!$H$526)^2+(I47-Sheet2!$I$526)^2+(J47-Sheet2!$J$526)^2+(K47-Sheet2!$K$526)^2+(L47-Sheet2!$L$526)^2)</f>
        <v>2.7348481917749425</v>
      </c>
      <c r="P47" s="12">
        <f t="shared" si="0"/>
        <v>0</v>
      </c>
      <c r="Q47" s="11">
        <f>IF(P47=Sheet1!$M47, 1, 0)</f>
        <v>1</v>
      </c>
    </row>
    <row r="48" spans="1:17" x14ac:dyDescent="0.35">
      <c r="A48" s="6" t="s">
        <v>36</v>
      </c>
      <c r="B48" s="6" t="s">
        <v>60</v>
      </c>
      <c r="C48" s="6">
        <v>1.7965441662164117</v>
      </c>
      <c r="D48" s="6">
        <v>-1.0229308284776129</v>
      </c>
      <c r="E48" s="6">
        <v>-1.5361165233004623</v>
      </c>
      <c r="F48" s="6">
        <v>-1.0949141852305868</v>
      </c>
      <c r="G48" s="6">
        <v>-3.1012184127144078E-2</v>
      </c>
      <c r="H48" s="6">
        <v>-1.675812136430799</v>
      </c>
      <c r="I48" s="6">
        <v>-1.7191104801509769</v>
      </c>
      <c r="J48" s="6">
        <v>-0.78176870572705714</v>
      </c>
      <c r="K48" s="6">
        <v>0.75202025361762093</v>
      </c>
      <c r="L48" s="6">
        <v>-0.40843244425180542</v>
      </c>
      <c r="N48" s="8">
        <f>SQRT((C48-Sheet2!$C$525)^2+(D48-Sheet2!$D$525)^2+(E48-Sheet2!$E$525)^2+(F48-Sheet2!$F$525)^2+(G48-Sheet2!$G$525)^2+(H48-Sheet2!$H$525)^2+(I48-Sheet2!$I$525)^2+(J48-Sheet2!$J$525)^2+(K48-Sheet2!$K$525)^2+(L48-Sheet2!$L$525)^2)</f>
        <v>3.2527129528608718</v>
      </c>
      <c r="O48" s="8">
        <f>SQRT((C48-Sheet2!$C$526)^2+(D48-Sheet2!$D$526)^2+(E48-Sheet2!$E$526)^2+(F48-Sheet2!$F$526)^2+(G48-Sheet2!$G$526)^2+(H48-Sheet2!$H$526)^2+(I48-Sheet2!$I$526)^2+(J48-Sheet2!$J$526)^2+(K48-Sheet2!$K$526)^2+(L48-Sheet2!$L$526)^2)</f>
        <v>6.8950722350373876</v>
      </c>
      <c r="P48" s="12">
        <f t="shared" si="0"/>
        <v>0</v>
      </c>
      <c r="Q48" s="11">
        <f>IF(P48=Sheet1!$M48, 1, 0)</f>
        <v>0</v>
      </c>
    </row>
    <row r="49" spans="1:17" x14ac:dyDescent="0.35">
      <c r="A49" s="6" t="s">
        <v>36</v>
      </c>
      <c r="B49" s="6" t="s">
        <v>61</v>
      </c>
      <c r="C49" s="6">
        <v>1.898537820056754</v>
      </c>
      <c r="D49" s="6">
        <v>-1.072033036717946</v>
      </c>
      <c r="E49" s="6">
        <v>-1.6212150755962556</v>
      </c>
      <c r="F49" s="6">
        <v>-1.2227892563260168</v>
      </c>
      <c r="G49" s="6">
        <v>-0.16747709198573077</v>
      </c>
      <c r="H49" s="6">
        <v>-2.1104900989020718</v>
      </c>
      <c r="I49" s="6">
        <v>-0.86805353095107307</v>
      </c>
      <c r="J49" s="6">
        <v>-1.6396479395315677</v>
      </c>
      <c r="K49" s="6">
        <v>1.9742080574707404</v>
      </c>
      <c r="L49" s="6">
        <v>-0.43207582598116834</v>
      </c>
      <c r="N49" s="8">
        <f>SQRT((C49-Sheet2!$C$525)^2+(D49-Sheet2!$D$525)^2+(E49-Sheet2!$E$525)^2+(F49-Sheet2!$F$525)^2+(G49-Sheet2!$G$525)^2+(H49-Sheet2!$H$525)^2+(I49-Sheet2!$I$525)^2+(J49-Sheet2!$J$525)^2+(K49-Sheet2!$K$525)^2+(L49-Sheet2!$L$525)^2)</f>
        <v>3.9497605002845706</v>
      </c>
      <c r="O49" s="8">
        <f>SQRT((C49-Sheet2!$C$526)^2+(D49-Sheet2!$D$526)^2+(E49-Sheet2!$E$526)^2+(F49-Sheet2!$F$526)^2+(G49-Sheet2!$G$526)^2+(H49-Sheet2!$H$526)^2+(I49-Sheet2!$I$526)^2+(J49-Sheet2!$J$526)^2+(K49-Sheet2!$K$526)^2+(L49-Sheet2!$L$526)^2)</f>
        <v>7.5871428552071833</v>
      </c>
      <c r="P49" s="12">
        <f t="shared" si="0"/>
        <v>0</v>
      </c>
      <c r="Q49" s="11">
        <f>IF(P49=Sheet1!$M49, 1, 0)</f>
        <v>0</v>
      </c>
    </row>
    <row r="50" spans="1:17" x14ac:dyDescent="0.35">
      <c r="A50" s="6" t="s">
        <v>36</v>
      </c>
      <c r="B50" s="6" t="s">
        <v>62</v>
      </c>
      <c r="C50" s="6">
        <v>7.6291587272544108E-3</v>
      </c>
      <c r="D50" s="6">
        <v>1.2112196464575697</v>
      </c>
      <c r="E50" s="6">
        <v>0.44767440359497757</v>
      </c>
      <c r="F50" s="6">
        <v>0.61830363474674321</v>
      </c>
      <c r="G50" s="6">
        <v>-0.11811744446241156</v>
      </c>
      <c r="H50" s="6">
        <v>-2.4169730736804538</v>
      </c>
      <c r="I50" s="6">
        <v>0.46303778734810347</v>
      </c>
      <c r="J50" s="6">
        <v>1.3895008594772797</v>
      </c>
      <c r="K50" s="6">
        <v>0.27003069716850386</v>
      </c>
      <c r="L50" s="6">
        <v>-0.38380749814766685</v>
      </c>
      <c r="N50" s="8">
        <f>SQRT((C50-Sheet2!$C$525)^2+(D50-Sheet2!$D$525)^2+(E50-Sheet2!$E$525)^2+(F50-Sheet2!$F$525)^2+(G50-Sheet2!$G$525)^2+(H50-Sheet2!$H$525)^2+(I50-Sheet2!$I$525)^2+(J50-Sheet2!$J$525)^2+(K50-Sheet2!$K$525)^2+(L50-Sheet2!$L$525)^2)</f>
        <v>3.4675963047507783</v>
      </c>
      <c r="O50" s="8">
        <f>SQRT((C50-Sheet2!$C$526)^2+(D50-Sheet2!$D$526)^2+(E50-Sheet2!$E$526)^2+(F50-Sheet2!$F$526)^2+(G50-Sheet2!$G$526)^2+(H50-Sheet2!$H$526)^2+(I50-Sheet2!$I$526)^2+(J50-Sheet2!$J$526)^2+(K50-Sheet2!$K$526)^2+(L50-Sheet2!$L$526)^2)</f>
        <v>3.9883731816840058</v>
      </c>
      <c r="P50" s="12">
        <f t="shared" si="0"/>
        <v>0</v>
      </c>
      <c r="Q50" s="11">
        <f>IF(P50=Sheet1!$M50, 1, 0)</f>
        <v>1</v>
      </c>
    </row>
    <row r="51" spans="1:17" x14ac:dyDescent="0.35">
      <c r="A51" s="6" t="s">
        <v>36</v>
      </c>
      <c r="B51" s="6" t="s">
        <v>63</v>
      </c>
      <c r="C51" s="6">
        <v>0.1512254871603676</v>
      </c>
      <c r="D51" s="6">
        <v>0.62199314757356505</v>
      </c>
      <c r="E51" s="6">
        <v>0.33163092319162318</v>
      </c>
      <c r="F51" s="6">
        <v>-0.15202811884018591</v>
      </c>
      <c r="G51" s="6">
        <v>-1.8050559862887752</v>
      </c>
      <c r="H51" s="6">
        <v>0.63923852367022937</v>
      </c>
      <c r="I51" s="6">
        <v>0.13153994945750391</v>
      </c>
      <c r="J51" s="6">
        <v>0.58096866124559465</v>
      </c>
      <c r="K51" s="6">
        <v>-0.45295363750517287</v>
      </c>
      <c r="L51" s="6">
        <v>-0.33568409816037281</v>
      </c>
      <c r="N51" s="8">
        <f>SQRT((C51-Sheet2!$C$525)^2+(D51-Sheet2!$D$525)^2+(E51-Sheet2!$E$525)^2+(F51-Sheet2!$F$525)^2+(G51-Sheet2!$G$525)^2+(H51-Sheet2!$H$525)^2+(I51-Sheet2!$I$525)^2+(J51-Sheet2!$J$525)^2+(K51-Sheet2!$K$525)^2+(L51-Sheet2!$L$525)^2)</f>
        <v>2.3882358920611924</v>
      </c>
      <c r="O51" s="8">
        <f>SQRT((C51-Sheet2!$C$526)^2+(D51-Sheet2!$D$526)^2+(E51-Sheet2!$E$526)^2+(F51-Sheet2!$F$526)^2+(G51-Sheet2!$G$526)^2+(H51-Sheet2!$H$526)^2+(I51-Sheet2!$I$526)^2+(J51-Sheet2!$J$526)^2+(K51-Sheet2!$K$526)^2+(L51-Sheet2!$L$526)^2)</f>
        <v>3.824843264984449</v>
      </c>
      <c r="P51" s="12">
        <f t="shared" si="0"/>
        <v>0</v>
      </c>
      <c r="Q51" s="11">
        <f>IF(P51=Sheet1!$M51, 1, 0)</f>
        <v>1</v>
      </c>
    </row>
    <row r="52" spans="1:17" x14ac:dyDescent="0.35">
      <c r="A52" s="6" t="s">
        <v>36</v>
      </c>
      <c r="B52" s="6" t="s">
        <v>64</v>
      </c>
      <c r="C52" s="6">
        <v>-0.50368113223551303</v>
      </c>
      <c r="D52" s="6">
        <v>1.7513439371012394</v>
      </c>
      <c r="E52" s="6">
        <v>0.77775363674229681</v>
      </c>
      <c r="F52" s="6">
        <v>1.4240706489986716</v>
      </c>
      <c r="G52" s="6">
        <v>1.1942684779222965</v>
      </c>
      <c r="H52" s="6">
        <v>0.60799772835011312</v>
      </c>
      <c r="I52" s="6">
        <v>0.93350971881591538</v>
      </c>
      <c r="J52" s="6">
        <v>2.2549719449083789</v>
      </c>
      <c r="K52" s="6">
        <v>-0.10398067942675288</v>
      </c>
      <c r="L52" s="6">
        <v>-0.25944047521514879</v>
      </c>
      <c r="N52" s="8">
        <f>SQRT((C52-Sheet2!$C$525)^2+(D52-Sheet2!$D$525)^2+(E52-Sheet2!$E$525)^2+(F52-Sheet2!$F$525)^2+(G52-Sheet2!$G$525)^2+(H52-Sheet2!$H$525)^2+(I52-Sheet2!$I$525)^2+(J52-Sheet2!$J$525)^2+(K52-Sheet2!$K$525)^2+(L52-Sheet2!$L$525)^2)</f>
        <v>4.3832693027671557</v>
      </c>
      <c r="O52" s="8">
        <f>SQRT((C52-Sheet2!$C$526)^2+(D52-Sheet2!$D$526)^2+(E52-Sheet2!$E$526)^2+(F52-Sheet2!$F$526)^2+(G52-Sheet2!$G$526)^2+(H52-Sheet2!$H$526)^2+(I52-Sheet2!$I$526)^2+(J52-Sheet2!$J$526)^2+(K52-Sheet2!$K$526)^2+(L52-Sheet2!$L$526)^2)</f>
        <v>1.7914877098613069</v>
      </c>
      <c r="P52" s="12">
        <f t="shared" si="0"/>
        <v>1</v>
      </c>
      <c r="Q52" s="11">
        <f>IF(P52=Sheet1!$M52, 1, 0)</f>
        <v>0</v>
      </c>
    </row>
    <row r="53" spans="1:17" x14ac:dyDescent="0.35">
      <c r="A53" s="6" t="s">
        <v>36</v>
      </c>
      <c r="B53" s="6" t="s">
        <v>65</v>
      </c>
      <c r="C53" s="6">
        <v>-0.26480125876734334</v>
      </c>
      <c r="D53" s="6">
        <v>1.2296329745476944</v>
      </c>
      <c r="E53" s="6">
        <v>0.96305481338638343</v>
      </c>
      <c r="F53" s="6">
        <v>0.84632183380847481</v>
      </c>
      <c r="G53" s="6">
        <v>0.37547903077077632</v>
      </c>
      <c r="H53" s="6">
        <v>1.0060485514805599</v>
      </c>
      <c r="I53" s="6">
        <v>0.90609739760573083</v>
      </c>
      <c r="J53" s="6">
        <v>1.256643456011979</v>
      </c>
      <c r="K53" s="6">
        <v>-0.35592976575242774</v>
      </c>
      <c r="L53" s="6">
        <v>-0.37484201000525202</v>
      </c>
      <c r="N53" s="8">
        <f>SQRT((C53-Sheet2!$C$525)^2+(D53-Sheet2!$D$525)^2+(E53-Sheet2!$E$525)^2+(F53-Sheet2!$F$525)^2+(G53-Sheet2!$G$525)^2+(H53-Sheet2!$H$525)^2+(I53-Sheet2!$I$525)^2+(J53-Sheet2!$J$525)^2+(K53-Sheet2!$K$525)^2+(L53-Sheet2!$L$525)^2)</f>
        <v>3.3317633493391421</v>
      </c>
      <c r="O53" s="8">
        <f>SQRT((C53-Sheet2!$C$526)^2+(D53-Sheet2!$D$526)^2+(E53-Sheet2!$E$526)^2+(F53-Sheet2!$F$526)^2+(G53-Sheet2!$G$526)^2+(H53-Sheet2!$H$526)^2+(I53-Sheet2!$I$526)^2+(J53-Sheet2!$J$526)^2+(K53-Sheet2!$K$526)^2+(L53-Sheet2!$L$526)^2)</f>
        <v>1.5918814384458058</v>
      </c>
      <c r="P53" s="12">
        <f t="shared" si="0"/>
        <v>1</v>
      </c>
      <c r="Q53" s="11">
        <f>IF(P53=Sheet1!$M53, 1, 0)</f>
        <v>0</v>
      </c>
    </row>
    <row r="54" spans="1:17" x14ac:dyDescent="0.35">
      <c r="A54" s="6" t="s">
        <v>36</v>
      </c>
      <c r="B54" s="6" t="s">
        <v>66</v>
      </c>
      <c r="C54" s="6">
        <v>-0.52783752393454142</v>
      </c>
      <c r="D54" s="6">
        <v>1.8679616816720328</v>
      </c>
      <c r="E54" s="6">
        <v>1.7219423360241932</v>
      </c>
      <c r="F54" s="6">
        <v>1.7383660044621374</v>
      </c>
      <c r="G54" s="6">
        <v>1.0374790093188158</v>
      </c>
      <c r="H54" s="6">
        <v>0.83530144602406242</v>
      </c>
      <c r="I54" s="6">
        <v>0.87103512629037916</v>
      </c>
      <c r="J54" s="6">
        <v>2.1828493544557874</v>
      </c>
      <c r="K54" s="6">
        <v>-1.1430750478754994</v>
      </c>
      <c r="L54" s="6">
        <v>2.8359786330232621</v>
      </c>
      <c r="N54" s="8">
        <f>SQRT((C54-Sheet2!$C$525)^2+(D54-Sheet2!$D$525)^2+(E54-Sheet2!$E$525)^2+(F54-Sheet2!$F$525)^2+(G54-Sheet2!$G$525)^2+(H54-Sheet2!$H$525)^2+(I54-Sheet2!$I$525)^2+(J54-Sheet2!$J$525)^2+(K54-Sheet2!$K$525)^2+(L54-Sheet2!$L$525)^2)</f>
        <v>5.8331675221963302</v>
      </c>
      <c r="O54" s="8">
        <f>SQRT((C54-Sheet2!$C$526)^2+(D54-Sheet2!$D$526)^2+(E54-Sheet2!$E$526)^2+(F54-Sheet2!$F$526)^2+(G54-Sheet2!$G$526)^2+(H54-Sheet2!$H$526)^2+(I54-Sheet2!$I$526)^2+(J54-Sheet2!$J$526)^2+(K54-Sheet2!$K$526)^2+(L54-Sheet2!$L$526)^2)</f>
        <v>2.4790759316924813</v>
      </c>
      <c r="P54" s="12">
        <f t="shared" si="0"/>
        <v>1</v>
      </c>
      <c r="Q54" s="11">
        <f>IF(P54=Sheet1!$M54, 1, 0)</f>
        <v>0</v>
      </c>
    </row>
    <row r="55" spans="1:17" x14ac:dyDescent="0.35">
      <c r="A55" s="6" t="s">
        <v>36</v>
      </c>
      <c r="B55" s="6" t="s">
        <v>67</v>
      </c>
      <c r="C55" s="6">
        <v>-0.8673690294819959</v>
      </c>
      <c r="D55" s="6">
        <v>1.5365217760497798</v>
      </c>
      <c r="E55" s="6">
        <v>0.27195141898418373</v>
      </c>
      <c r="F55" s="6">
        <v>0.93722098073173299</v>
      </c>
      <c r="G55" s="6">
        <v>0.81100533244711792</v>
      </c>
      <c r="H55" s="6">
        <v>0.9699600465418049</v>
      </c>
      <c r="I55" s="6">
        <v>0.93223472713172106</v>
      </c>
      <c r="J55" s="6">
        <v>1.0630512395339704</v>
      </c>
      <c r="K55" s="6">
        <v>-1.0476160772800565</v>
      </c>
      <c r="L55" s="6">
        <v>-0.28837844560519771</v>
      </c>
      <c r="N55" s="8">
        <f>SQRT((C55-Sheet2!$C$525)^2+(D55-Sheet2!$D$525)^2+(E55-Sheet2!$E$525)^2+(F55-Sheet2!$F$525)^2+(G55-Sheet2!$G$525)^2+(H55-Sheet2!$H$525)^2+(I55-Sheet2!$I$525)^2+(J55-Sheet2!$J$525)^2+(K55-Sheet2!$K$525)^2+(L55-Sheet2!$L$525)^2)</f>
        <v>3.6346481837665046</v>
      </c>
      <c r="O55" s="8">
        <f>SQRT((C55-Sheet2!$C$526)^2+(D55-Sheet2!$D$526)^2+(E55-Sheet2!$E$526)^2+(F55-Sheet2!$F$526)^2+(G55-Sheet2!$G$526)^2+(H55-Sheet2!$H$526)^2+(I55-Sheet2!$I$526)^2+(J55-Sheet2!$J$526)^2+(K55-Sheet2!$K$526)^2+(L55-Sheet2!$L$526)^2)</f>
        <v>1.7186377465230107</v>
      </c>
      <c r="P55" s="12">
        <f t="shared" si="0"/>
        <v>1</v>
      </c>
      <c r="Q55" s="11">
        <f>IF(P55=Sheet1!$M55, 1, 0)</f>
        <v>0</v>
      </c>
    </row>
    <row r="56" spans="1:17" x14ac:dyDescent="0.35">
      <c r="A56" s="6" t="s">
        <v>36</v>
      </c>
      <c r="B56" s="6" t="s">
        <v>68</v>
      </c>
      <c r="C56" s="6">
        <v>-0.63654128658016906</v>
      </c>
      <c r="D56" s="6">
        <v>1.6285884165004056</v>
      </c>
      <c r="E56" s="6">
        <v>0.2358490028586957</v>
      </c>
      <c r="F56" s="6">
        <v>0.85556581485151828</v>
      </c>
      <c r="G56" s="6">
        <v>-4.5529727516354639E-2</v>
      </c>
      <c r="H56" s="6">
        <v>-1.3935677097456109</v>
      </c>
      <c r="I56" s="6">
        <v>-1.9766588003582888</v>
      </c>
      <c r="J56" s="6">
        <v>0.80492828422995799</v>
      </c>
      <c r="K56" s="6">
        <v>-0.12119459215707841</v>
      </c>
      <c r="L56" s="6">
        <v>-0.36811381414613809</v>
      </c>
      <c r="N56" s="8">
        <f>SQRT((C56-Sheet2!$C$525)^2+(D56-Sheet2!$D$525)^2+(E56-Sheet2!$E$525)^2+(F56-Sheet2!$F$525)^2+(G56-Sheet2!$G$525)^2+(H56-Sheet2!$H$525)^2+(I56-Sheet2!$I$525)^2+(J56-Sheet2!$J$525)^2+(K56-Sheet2!$K$525)^2+(L56-Sheet2!$L$525)^2)</f>
        <v>3.4774144437023908</v>
      </c>
      <c r="O56" s="8">
        <f>SQRT((C56-Sheet2!$C$526)^2+(D56-Sheet2!$D$526)^2+(E56-Sheet2!$E$526)^2+(F56-Sheet2!$F$526)^2+(G56-Sheet2!$G$526)^2+(H56-Sheet2!$H$526)^2+(I56-Sheet2!$I$526)^2+(J56-Sheet2!$J$526)^2+(K56-Sheet2!$K$526)^2+(L56-Sheet2!$L$526)^2)</f>
        <v>4.1007640480842422</v>
      </c>
      <c r="P56" s="12">
        <f t="shared" si="0"/>
        <v>0</v>
      </c>
      <c r="Q56" s="11">
        <f>IF(P56=Sheet1!$M56, 1, 0)</f>
        <v>1</v>
      </c>
    </row>
    <row r="57" spans="1:17" x14ac:dyDescent="0.35">
      <c r="A57" s="6" t="s">
        <v>36</v>
      </c>
      <c r="B57" s="6" t="s">
        <v>69</v>
      </c>
      <c r="C57" s="6">
        <v>0.56054212428279282</v>
      </c>
      <c r="D57" s="6">
        <v>0.11255773708010311</v>
      </c>
      <c r="E57" s="6">
        <v>-0.80706875276637213</v>
      </c>
      <c r="F57" s="6">
        <v>-4.8803663859537154E-2</v>
      </c>
      <c r="G57" s="6">
        <v>0.48290885185093779</v>
      </c>
      <c r="H57" s="6">
        <v>-1.7275210390296121</v>
      </c>
      <c r="I57" s="6">
        <v>-0.70294210784787048</v>
      </c>
      <c r="J57" s="6">
        <v>-9.8502059334084097E-2</v>
      </c>
      <c r="K57" s="6">
        <v>-1.0194478564486145</v>
      </c>
      <c r="L57" s="6">
        <v>-0.38540755506104418</v>
      </c>
      <c r="N57" s="8">
        <f>SQRT((C57-Sheet2!$C$525)^2+(D57-Sheet2!$D$525)^2+(E57-Sheet2!$E$525)^2+(F57-Sheet2!$F$525)^2+(G57-Sheet2!$G$525)^2+(H57-Sheet2!$H$525)^2+(I57-Sheet2!$I$525)^2+(J57-Sheet2!$J$525)^2+(K57-Sheet2!$K$525)^2+(L57-Sheet2!$L$525)^2)</f>
        <v>2.283130658740895</v>
      </c>
      <c r="O57" s="8">
        <f>SQRT((C57-Sheet2!$C$526)^2+(D57-Sheet2!$D$526)^2+(E57-Sheet2!$E$526)^2+(F57-Sheet2!$F$526)^2+(G57-Sheet2!$G$526)^2+(H57-Sheet2!$H$526)^2+(I57-Sheet2!$I$526)^2+(J57-Sheet2!$J$526)^2+(K57-Sheet2!$K$526)^2+(L57-Sheet2!$L$526)^2)</f>
        <v>4.716526638046953</v>
      </c>
      <c r="P57" s="12">
        <f t="shared" si="0"/>
        <v>0</v>
      </c>
      <c r="Q57" s="11">
        <f>IF(P57=Sheet1!$M57, 1, 0)</f>
        <v>1</v>
      </c>
    </row>
    <row r="58" spans="1:17" x14ac:dyDescent="0.35">
      <c r="A58" s="6" t="s">
        <v>70</v>
      </c>
      <c r="B58" s="6" t="s">
        <v>71</v>
      </c>
      <c r="C58" s="6">
        <v>0.34447662075259461</v>
      </c>
      <c r="D58" s="6">
        <v>-0.75900645918581899</v>
      </c>
      <c r="E58" s="6">
        <v>-1.4749634510879008</v>
      </c>
      <c r="F58" s="6">
        <v>-1.3213917207851438</v>
      </c>
      <c r="G58" s="6">
        <v>-1.4305033668471197</v>
      </c>
      <c r="H58" s="6">
        <v>-0.33138066886165829</v>
      </c>
      <c r="I58" s="6">
        <v>-1.891871853359347</v>
      </c>
      <c r="J58" s="6">
        <v>-0.86148314780623725</v>
      </c>
      <c r="K58" s="6">
        <v>2.0508882141785536</v>
      </c>
      <c r="L58" s="6">
        <v>-0.39538657695607449</v>
      </c>
      <c r="N58" s="8">
        <f>SQRT((C58-Sheet2!$C$525)^2+(D58-Sheet2!$D$525)^2+(E58-Sheet2!$E$525)^2+(F58-Sheet2!$F$525)^2+(G58-Sheet2!$G$525)^2+(H58-Sheet2!$H$525)^2+(I58-Sheet2!$I$525)^2+(J58-Sheet2!$J$525)^2+(K58-Sheet2!$K$525)^2+(L58-Sheet2!$L$525)^2)</f>
        <v>3.3269772268070765</v>
      </c>
      <c r="O58" s="8">
        <f>SQRT((C58-Sheet2!$C$526)^2+(D58-Sheet2!$D$526)^2+(E58-Sheet2!$E$526)^2+(F58-Sheet2!$F$526)^2+(G58-Sheet2!$G$526)^2+(H58-Sheet2!$H$526)^2+(I58-Sheet2!$I$526)^2+(J58-Sheet2!$J$526)^2+(K58-Sheet2!$K$526)^2+(L58-Sheet2!$L$526)^2)</f>
        <v>6.9409694910575483</v>
      </c>
      <c r="P58" s="12">
        <f t="shared" si="0"/>
        <v>0</v>
      </c>
      <c r="Q58" s="11">
        <f>IF(P58=Sheet1!$M58, 1, 0)</f>
        <v>1</v>
      </c>
    </row>
    <row r="59" spans="1:17" x14ac:dyDescent="0.35">
      <c r="A59" s="6" t="s">
        <v>70</v>
      </c>
      <c r="B59" s="6" t="s">
        <v>72</v>
      </c>
      <c r="C59" s="6">
        <v>-0.584202437898941</v>
      </c>
      <c r="D59" s="6">
        <v>-0.10226442397135649</v>
      </c>
      <c r="E59" s="6">
        <v>-0.38857543931173522</v>
      </c>
      <c r="F59" s="6">
        <v>1.5904203441765154E-2</v>
      </c>
      <c r="G59" s="6">
        <v>0.378382539448616</v>
      </c>
      <c r="H59" s="6">
        <v>-0.3125284647891739</v>
      </c>
      <c r="I59" s="6">
        <v>-0.56779298932324129</v>
      </c>
      <c r="J59" s="6">
        <v>0.34562126082134836</v>
      </c>
      <c r="K59" s="6">
        <v>-0.44982383519056662</v>
      </c>
      <c r="L59" s="6">
        <v>-0.25437004830966958</v>
      </c>
      <c r="N59" s="8">
        <f>SQRT((C59-Sheet2!$C$525)^2+(D59-Sheet2!$D$525)^2+(E59-Sheet2!$E$525)^2+(F59-Sheet2!$F$525)^2+(G59-Sheet2!$G$525)^2+(H59-Sheet2!$H$525)^2+(I59-Sheet2!$I$525)^2+(J59-Sheet2!$J$525)^2+(K59-Sheet2!$K$525)^2+(L59-Sheet2!$L$525)^2)</f>
        <v>1.408077538114318</v>
      </c>
      <c r="O59" s="8">
        <f>SQRT((C59-Sheet2!$C$526)^2+(D59-Sheet2!$D$526)^2+(E59-Sheet2!$E$526)^2+(F59-Sheet2!$F$526)^2+(G59-Sheet2!$G$526)^2+(H59-Sheet2!$H$526)^2+(I59-Sheet2!$I$526)^2+(J59-Sheet2!$J$526)^2+(K59-Sheet2!$K$526)^2+(L59-Sheet2!$L$526)^2)</f>
        <v>3.5333837640963917</v>
      </c>
      <c r="P59" s="12">
        <f t="shared" si="0"/>
        <v>0</v>
      </c>
      <c r="Q59" s="11">
        <f>IF(P59=Sheet1!$M59, 1, 0)</f>
        <v>1</v>
      </c>
    </row>
    <row r="60" spans="1:17" x14ac:dyDescent="0.35">
      <c r="A60" s="6" t="s">
        <v>70</v>
      </c>
      <c r="B60" s="6" t="s">
        <v>73</v>
      </c>
      <c r="C60" s="6">
        <v>-0.5721242420494268</v>
      </c>
      <c r="D60" s="6">
        <v>-0.34777546517302454</v>
      </c>
      <c r="E60" s="6">
        <v>-4.0444998101671972E-2</v>
      </c>
      <c r="F60" s="6">
        <v>-0.1058082136249706</v>
      </c>
      <c r="G60" s="6">
        <v>-0.25167884364315446</v>
      </c>
      <c r="H60" s="6">
        <v>-1.5928624385118697</v>
      </c>
      <c r="I60" s="6">
        <v>-0.44921876269314226</v>
      </c>
      <c r="J60" s="6">
        <v>-0.14784909490690989</v>
      </c>
      <c r="K60" s="6">
        <v>0.27316049948310789</v>
      </c>
      <c r="L60" s="6">
        <v>-0.2474859338247771</v>
      </c>
      <c r="N60" s="8">
        <f>SQRT((C60-Sheet2!$C$525)^2+(D60-Sheet2!$D$525)^2+(E60-Sheet2!$E$525)^2+(F60-Sheet2!$F$525)^2+(G60-Sheet2!$G$525)^2+(H60-Sheet2!$H$525)^2+(I60-Sheet2!$I$525)^2+(J60-Sheet2!$J$525)^2+(K60-Sheet2!$K$525)^2+(L60-Sheet2!$L$525)^2)</f>
        <v>1.6683468459276878</v>
      </c>
      <c r="O60" s="8">
        <f>SQRT((C60-Sheet2!$C$526)^2+(D60-Sheet2!$D$526)^2+(E60-Sheet2!$E$526)^2+(F60-Sheet2!$F$526)^2+(G60-Sheet2!$G$526)^2+(H60-Sheet2!$H$526)^2+(I60-Sheet2!$I$526)^2+(J60-Sheet2!$J$526)^2+(K60-Sheet2!$K$526)^2+(L60-Sheet2!$L$526)^2)</f>
        <v>4.4276010993121293</v>
      </c>
      <c r="P60" s="12">
        <f t="shared" si="0"/>
        <v>0</v>
      </c>
      <c r="Q60" s="11">
        <f>IF(P60=Sheet1!$M60, 1, 0)</f>
        <v>1</v>
      </c>
    </row>
    <row r="61" spans="1:17" x14ac:dyDescent="0.35">
      <c r="A61" s="6" t="s">
        <v>70</v>
      </c>
      <c r="B61" s="6" t="s">
        <v>74</v>
      </c>
      <c r="C61" s="6">
        <v>-0.73450887513733976</v>
      </c>
      <c r="D61" s="6">
        <v>-0.19433106442198234</v>
      </c>
      <c r="E61" s="6">
        <v>2.3655210121133328E-2</v>
      </c>
      <c r="F61" s="6">
        <v>-0.31841977761496232</v>
      </c>
      <c r="G61" s="6">
        <v>-0.95723145235882978</v>
      </c>
      <c r="H61" s="6">
        <v>-0.24627643333444516</v>
      </c>
      <c r="I61" s="6">
        <v>-1.3398004541030795</v>
      </c>
      <c r="J61" s="6">
        <v>-0.5654009343692824</v>
      </c>
      <c r="K61" s="6">
        <v>9.319686639334139E-2</v>
      </c>
      <c r="L61" s="6">
        <v>-0.31490596669615539</v>
      </c>
      <c r="N61" s="8">
        <f>SQRT((C61-Sheet2!$C$525)^2+(D61-Sheet2!$D$525)^2+(E61-Sheet2!$E$525)^2+(F61-Sheet2!$F$525)^2+(G61-Sheet2!$G$525)^2+(H61-Sheet2!$H$525)^2+(I61-Sheet2!$I$525)^2+(J61-Sheet2!$J$525)^2+(K61-Sheet2!$K$525)^2+(L61-Sheet2!$L$525)^2)</f>
        <v>1.7238828196323173</v>
      </c>
      <c r="O61" s="8">
        <f>SQRT((C61-Sheet2!$C$526)^2+(D61-Sheet2!$D$526)^2+(E61-Sheet2!$E$526)^2+(F61-Sheet2!$F$526)^2+(G61-Sheet2!$G$526)^2+(H61-Sheet2!$H$526)^2+(I61-Sheet2!$I$526)^2+(J61-Sheet2!$J$526)^2+(K61-Sheet2!$K$526)^2+(L61-Sheet2!$L$526)^2)</f>
        <v>4.6096073485293081</v>
      </c>
      <c r="P61" s="12">
        <f t="shared" si="0"/>
        <v>0</v>
      </c>
      <c r="Q61" s="11">
        <f>IF(P61=Sheet1!$M61, 1, 0)</f>
        <v>1</v>
      </c>
    </row>
    <row r="62" spans="1:17" x14ac:dyDescent="0.35">
      <c r="A62" s="6" t="s">
        <v>70</v>
      </c>
      <c r="B62" s="6" t="s">
        <v>75</v>
      </c>
      <c r="C62" s="6">
        <v>-1.0378057931362517</v>
      </c>
      <c r="D62" s="6">
        <v>0.11255773708010311</v>
      </c>
      <c r="E62" s="6">
        <v>0.10728019441180461</v>
      </c>
      <c r="F62" s="6">
        <v>0.39028543568501156</v>
      </c>
      <c r="G62" s="6">
        <v>0.13448781050986786</v>
      </c>
      <c r="H62" s="6">
        <v>-1.2642954532485782</v>
      </c>
      <c r="I62" s="6">
        <v>8.6915240510692285E-2</v>
      </c>
      <c r="J62" s="6">
        <v>-0.16303279816008709</v>
      </c>
      <c r="K62" s="6">
        <v>-0.40444170162880033</v>
      </c>
      <c r="L62" s="6">
        <v>-0.25226675577805963</v>
      </c>
      <c r="N62" s="8">
        <f>SQRT((C62-Sheet2!$C$525)^2+(D62-Sheet2!$D$525)^2+(E62-Sheet2!$E$525)^2+(F62-Sheet2!$F$525)^2+(G62-Sheet2!$G$525)^2+(H62-Sheet2!$H$525)^2+(I62-Sheet2!$I$525)^2+(J62-Sheet2!$J$525)^2+(K62-Sheet2!$K$525)^2+(L62-Sheet2!$L$525)^2)</f>
        <v>2.0004331528508659</v>
      </c>
      <c r="O62" s="8">
        <f>SQRT((C62-Sheet2!$C$526)^2+(D62-Sheet2!$D$526)^2+(E62-Sheet2!$E$526)^2+(F62-Sheet2!$F$526)^2+(G62-Sheet2!$G$526)^2+(H62-Sheet2!$H$526)^2+(I62-Sheet2!$I$526)^2+(J62-Sheet2!$J$526)^2+(K62-Sheet2!$K$526)^2+(L62-Sheet2!$L$526)^2)</f>
        <v>3.5584135088542204</v>
      </c>
      <c r="P62" s="12">
        <f t="shared" si="0"/>
        <v>0</v>
      </c>
      <c r="Q62" s="11">
        <f>IF(P62=Sheet1!$M62, 1, 0)</f>
        <v>1</v>
      </c>
    </row>
    <row r="63" spans="1:17" x14ac:dyDescent="0.35">
      <c r="A63" s="6" t="s">
        <v>70</v>
      </c>
      <c r="B63" s="6" t="s">
        <v>76</v>
      </c>
      <c r="C63" s="6">
        <v>-0.67814396117294018</v>
      </c>
      <c r="D63" s="6">
        <v>-0.34163768914298293</v>
      </c>
      <c r="E63" s="6">
        <v>0.26716232296753739</v>
      </c>
      <c r="F63" s="6">
        <v>0.12837263946545741</v>
      </c>
      <c r="G63" s="6">
        <v>-0.19941568744199564</v>
      </c>
      <c r="H63" s="6">
        <v>-1.1495663256074615</v>
      </c>
      <c r="I63" s="6">
        <v>6.0777910984702935E-2</v>
      </c>
      <c r="J63" s="6">
        <v>1.2718271592651564</v>
      </c>
      <c r="K63" s="6">
        <v>-0.75497956086452123</v>
      </c>
      <c r="L63" s="6">
        <v>-0.20402375270661169</v>
      </c>
      <c r="N63" s="8">
        <f>SQRT((C63-Sheet2!$C$525)^2+(D63-Sheet2!$D$525)^2+(E63-Sheet2!$E$525)^2+(F63-Sheet2!$F$525)^2+(G63-Sheet2!$G$525)^2+(H63-Sheet2!$H$525)^2+(I63-Sheet2!$I$525)^2+(J63-Sheet2!$J$525)^2+(K63-Sheet2!$K$525)^2+(L63-Sheet2!$L$525)^2)</f>
        <v>2.3293271074558826</v>
      </c>
      <c r="O63" s="8">
        <f>SQRT((C63-Sheet2!$C$526)^2+(D63-Sheet2!$D$526)^2+(E63-Sheet2!$E$526)^2+(F63-Sheet2!$F$526)^2+(G63-Sheet2!$G$526)^2+(H63-Sheet2!$H$526)^2+(I63-Sheet2!$I$526)^2+(J63-Sheet2!$J$526)^2+(K63-Sheet2!$K$526)^2+(L63-Sheet2!$L$526)^2)</f>
        <v>3.5327198658635424</v>
      </c>
      <c r="P63" s="12">
        <f t="shared" si="0"/>
        <v>0</v>
      </c>
      <c r="Q63" s="11">
        <f>IF(P63=Sheet1!$M63, 1, 0)</f>
        <v>1</v>
      </c>
    </row>
    <row r="64" spans="1:17" x14ac:dyDescent="0.35">
      <c r="A64" s="6" t="s">
        <v>70</v>
      </c>
      <c r="B64" s="6" t="s">
        <v>77</v>
      </c>
      <c r="C64" s="6">
        <v>-0.72779876633205409</v>
      </c>
      <c r="D64" s="6">
        <v>0.32737989813156382</v>
      </c>
      <c r="E64" s="6">
        <v>-0.24416577480978308</v>
      </c>
      <c r="F64" s="6">
        <v>0.40723273426392392</v>
      </c>
      <c r="G64" s="6">
        <v>0.83423340186985562</v>
      </c>
      <c r="H64" s="6">
        <v>2.5726604223432121E-3</v>
      </c>
      <c r="I64" s="6">
        <v>0.14811484135203332</v>
      </c>
      <c r="J64" s="6">
        <v>1.9201181156748245E-4</v>
      </c>
      <c r="K64" s="6">
        <v>-0.46547284676359124</v>
      </c>
      <c r="L64" s="6">
        <v>-0.1467784862607239</v>
      </c>
      <c r="N64" s="8">
        <f>SQRT((C64-Sheet2!$C$525)^2+(D64-Sheet2!$D$525)^2+(E64-Sheet2!$E$525)^2+(F64-Sheet2!$F$525)^2+(G64-Sheet2!$G$525)^2+(H64-Sheet2!$H$525)^2+(I64-Sheet2!$I$525)^2+(J64-Sheet2!$J$525)^2+(K64-Sheet2!$K$525)^2+(L64-Sheet2!$L$525)^2)</f>
        <v>1.8510390950140612</v>
      </c>
      <c r="O64" s="8">
        <f>SQRT((C64-Sheet2!$C$526)^2+(D64-Sheet2!$D$526)^2+(E64-Sheet2!$E$526)^2+(F64-Sheet2!$F$526)^2+(G64-Sheet2!$G$526)^2+(H64-Sheet2!$H$526)^2+(I64-Sheet2!$I$526)^2+(J64-Sheet2!$J$526)^2+(K64-Sheet2!$K$526)^2+(L64-Sheet2!$L$526)^2)</f>
        <v>2.8453603906838323</v>
      </c>
      <c r="P64" s="12">
        <f t="shared" si="0"/>
        <v>0</v>
      </c>
      <c r="Q64" s="11">
        <f>IF(P64=Sheet1!$M64, 1, 0)</f>
        <v>1</v>
      </c>
    </row>
    <row r="65" spans="1:17" x14ac:dyDescent="0.35">
      <c r="A65" s="6" t="s">
        <v>70</v>
      </c>
      <c r="B65" s="6" t="s">
        <v>78</v>
      </c>
      <c r="C65" s="6">
        <v>-0.66874980884554025</v>
      </c>
      <c r="D65" s="6">
        <v>-0.22501994457219024</v>
      </c>
      <c r="E65" s="6">
        <v>-0.24195542280210014</v>
      </c>
      <c r="F65" s="6">
        <v>-3.8019019309319002E-2</v>
      </c>
      <c r="G65" s="6">
        <v>5.3189567530283768E-2</v>
      </c>
      <c r="H65" s="6">
        <v>-1.1587231104426681</v>
      </c>
      <c r="I65" s="6">
        <v>-1.0331649540542749</v>
      </c>
      <c r="J65" s="6">
        <v>-1.0664631417241293</v>
      </c>
      <c r="K65" s="6">
        <v>0.29193931337073653</v>
      </c>
      <c r="L65" s="6">
        <v>-0.22009829020479904</v>
      </c>
      <c r="N65" s="8">
        <f>SQRT((C65-Sheet2!$C$525)^2+(D65-Sheet2!$D$525)^2+(E65-Sheet2!$E$525)^2+(F65-Sheet2!$F$525)^2+(G65-Sheet2!$G$525)^2+(H65-Sheet2!$H$525)^2+(I65-Sheet2!$I$525)^2+(J65-Sheet2!$J$525)^2+(K65-Sheet2!$K$525)^2+(L65-Sheet2!$L$525)^2)</f>
        <v>1.796618456925704</v>
      </c>
      <c r="O65" s="8">
        <f>SQRT((C65-Sheet2!$C$526)^2+(D65-Sheet2!$D$526)^2+(E65-Sheet2!$E$526)^2+(F65-Sheet2!$F$526)^2+(G65-Sheet2!$G$526)^2+(H65-Sheet2!$H$526)^2+(I65-Sheet2!$I$526)^2+(J65-Sheet2!$J$526)^2+(K65-Sheet2!$K$526)^2+(L65-Sheet2!$L$526)^2)</f>
        <v>4.6992699729115426</v>
      </c>
      <c r="P65" s="12">
        <f t="shared" si="0"/>
        <v>0</v>
      </c>
      <c r="Q65" s="11">
        <f>IF(P65=Sheet1!$M65, 1, 0)</f>
        <v>1</v>
      </c>
    </row>
    <row r="66" spans="1:17" x14ac:dyDescent="0.35">
      <c r="A66" s="6" t="s">
        <v>70</v>
      </c>
      <c r="B66" s="6" t="s">
        <v>79</v>
      </c>
      <c r="C66" s="6">
        <v>-0.64325139538545473</v>
      </c>
      <c r="D66" s="6">
        <v>-0.20660661648206549</v>
      </c>
      <c r="E66" s="6">
        <v>-0.69434080037454216</v>
      </c>
      <c r="F66" s="6">
        <v>-0.48635209989691341</v>
      </c>
      <c r="G66" s="6">
        <v>-0.6000998849842285</v>
      </c>
      <c r="H66" s="6">
        <v>-1.7205187918026899</v>
      </c>
      <c r="I66" s="6">
        <v>-0.1636206254335496</v>
      </c>
      <c r="J66" s="6">
        <v>-5.2950949574552521E-2</v>
      </c>
      <c r="K66" s="6">
        <v>-1.7911115775125219E-2</v>
      </c>
      <c r="L66" s="6">
        <v>-0.3266729335081815</v>
      </c>
      <c r="N66" s="8">
        <f>SQRT((C66-Sheet2!$C$525)^2+(D66-Sheet2!$D$525)^2+(E66-Sheet2!$E$525)^2+(F66-Sheet2!$F$525)^2+(G66-Sheet2!$G$525)^2+(H66-Sheet2!$H$525)^2+(I66-Sheet2!$I$525)^2+(J66-Sheet2!$J$525)^2+(K66-Sheet2!$K$525)^2+(L66-Sheet2!$L$525)^2)</f>
        <v>1.8569035931984619</v>
      </c>
      <c r="O66" s="8">
        <f>SQRT((C66-Sheet2!$C$526)^2+(D66-Sheet2!$D$526)^2+(E66-Sheet2!$E$526)^2+(F66-Sheet2!$F$526)^2+(G66-Sheet2!$G$526)^2+(H66-Sheet2!$H$526)^2+(I66-Sheet2!$I$526)^2+(J66-Sheet2!$J$526)^2+(K66-Sheet2!$K$526)^2+(L66-Sheet2!$L$526)^2)</f>
        <v>4.8190478219154196</v>
      </c>
      <c r="P66" s="12">
        <f t="shared" si="0"/>
        <v>0</v>
      </c>
      <c r="Q66" s="11">
        <f>IF(P66=Sheet1!$M66, 1, 0)</f>
        <v>1</v>
      </c>
    </row>
    <row r="67" spans="1:17" x14ac:dyDescent="0.35">
      <c r="A67" s="6" t="s">
        <v>70</v>
      </c>
      <c r="B67" s="6" t="s">
        <v>80</v>
      </c>
      <c r="C67" s="6">
        <v>-0.63788330834122631</v>
      </c>
      <c r="D67" s="6">
        <v>-7.1575543821147503E-2</v>
      </c>
      <c r="E67" s="6">
        <v>1.5550586092962542E-2</v>
      </c>
      <c r="F67" s="6">
        <v>-0.10734887713214306</v>
      </c>
      <c r="G67" s="6">
        <v>-0.47815252051485241</v>
      </c>
      <c r="H67" s="6">
        <v>-1.0035964026462287</v>
      </c>
      <c r="I67" s="6">
        <v>-0.26306997680072869</v>
      </c>
      <c r="J67" s="6">
        <v>-8.3318356080906902E-2</v>
      </c>
      <c r="K67" s="6">
        <v>0.41400160364031841</v>
      </c>
      <c r="L67" s="6">
        <v>-0.37411615886315913</v>
      </c>
      <c r="N67" s="8">
        <f>SQRT((C67-Sheet2!$C$525)^2+(D67-Sheet2!$D$525)^2+(E67-Sheet2!$E$525)^2+(F67-Sheet2!$F$525)^2+(G67-Sheet2!$G$525)^2+(H67-Sheet2!$H$525)^2+(I67-Sheet2!$I$525)^2+(J67-Sheet2!$J$525)^2+(K67-Sheet2!$K$525)^2+(L67-Sheet2!$L$525)^2)</f>
        <v>1.3303131536951589</v>
      </c>
      <c r="O67" s="8">
        <f>SQRT((C67-Sheet2!$C$526)^2+(D67-Sheet2!$D$526)^2+(E67-Sheet2!$E$526)^2+(F67-Sheet2!$F$526)^2+(G67-Sheet2!$G$526)^2+(H67-Sheet2!$H$526)^2+(I67-Sheet2!$I$526)^2+(J67-Sheet2!$J$526)^2+(K67-Sheet2!$K$526)^2+(L67-Sheet2!$L$526)^2)</f>
        <v>4.0792180977618822</v>
      </c>
      <c r="P67" s="12">
        <f t="shared" ref="P67:P130" si="1">IF(N67&lt;=O67, 0, 1)</f>
        <v>0</v>
      </c>
      <c r="Q67" s="11">
        <f>IF(P67=Sheet1!$M67, 1, 0)</f>
        <v>1</v>
      </c>
    </row>
    <row r="68" spans="1:17" x14ac:dyDescent="0.35">
      <c r="A68" s="6" t="s">
        <v>70</v>
      </c>
      <c r="B68" s="6" t="s">
        <v>81</v>
      </c>
      <c r="C68" s="6">
        <v>-0.75195515803108248</v>
      </c>
      <c r="D68" s="6">
        <v>6.9593304869812064E-2</v>
      </c>
      <c r="E68" s="6">
        <v>0.36810173131839169</v>
      </c>
      <c r="F68" s="6">
        <v>0.28243899018284324</v>
      </c>
      <c r="G68" s="6">
        <v>0.54388253408562792</v>
      </c>
      <c r="H68" s="6">
        <v>0.29666704395309246</v>
      </c>
      <c r="I68" s="6">
        <v>-0.94774051121323644</v>
      </c>
      <c r="J68" s="6">
        <v>-2.2583543068198139E-2</v>
      </c>
      <c r="K68" s="6">
        <v>0.55953741126943612</v>
      </c>
      <c r="L68" s="6">
        <v>-0.2978454768693713</v>
      </c>
      <c r="N68" s="8">
        <f>SQRT((C68-Sheet2!$C$525)^2+(D68-Sheet2!$D$525)^2+(E68-Sheet2!$E$525)^2+(F68-Sheet2!$F$525)^2+(G68-Sheet2!$G$525)^2+(H68-Sheet2!$H$525)^2+(I68-Sheet2!$I$525)^2+(J68-Sheet2!$J$525)^2+(K68-Sheet2!$K$525)^2+(L68-Sheet2!$L$525)^2)</f>
        <v>1.8680736119974641</v>
      </c>
      <c r="O68" s="8">
        <f>SQRT((C68-Sheet2!$C$526)^2+(D68-Sheet2!$D$526)^2+(E68-Sheet2!$E$526)^2+(F68-Sheet2!$F$526)^2+(G68-Sheet2!$G$526)^2+(H68-Sheet2!$H$526)^2+(I68-Sheet2!$I$526)^2+(J68-Sheet2!$J$526)^2+(K68-Sheet2!$K$526)^2+(L68-Sheet2!$L$526)^2)</f>
        <v>3.3677014255190119</v>
      </c>
      <c r="P68" s="12">
        <f t="shared" si="1"/>
        <v>0</v>
      </c>
      <c r="Q68" s="11">
        <f>IF(P68=Sheet1!$M68, 1, 0)</f>
        <v>1</v>
      </c>
    </row>
    <row r="69" spans="1:17" x14ac:dyDescent="0.35">
      <c r="A69" s="6" t="s">
        <v>70</v>
      </c>
      <c r="B69" s="6" t="s">
        <v>82</v>
      </c>
      <c r="C69" s="6">
        <v>-0.63922533010228344</v>
      </c>
      <c r="D69" s="6">
        <v>-0.10226442397135649</v>
      </c>
      <c r="E69" s="6">
        <v>-0.455254391543504</v>
      </c>
      <c r="F69" s="6">
        <v>-0.17976006196931421</v>
      </c>
      <c r="G69" s="6">
        <v>-0.49847708125975049</v>
      </c>
      <c r="H69" s="6">
        <v>-0.37285551782112281</v>
      </c>
      <c r="I69" s="6">
        <v>-0.23374516806425297</v>
      </c>
      <c r="J69" s="6">
        <v>-1.499169144160971E-2</v>
      </c>
      <c r="K69" s="6">
        <v>-0.39661719584228688</v>
      </c>
      <c r="L69" s="6">
        <v>-0.21483930665511911</v>
      </c>
      <c r="N69" s="8">
        <f>SQRT((C69-Sheet2!$C$525)^2+(D69-Sheet2!$D$525)^2+(E69-Sheet2!$E$525)^2+(F69-Sheet2!$F$525)^2+(G69-Sheet2!$G$525)^2+(H69-Sheet2!$H$525)^2+(I69-Sheet2!$I$525)^2+(J69-Sheet2!$J$525)^2+(K69-Sheet2!$K$525)^2+(L69-Sheet2!$L$525)^2)</f>
        <v>1.0980749721715937</v>
      </c>
      <c r="O69" s="8">
        <f>SQRT((C69-Sheet2!$C$526)^2+(D69-Sheet2!$D$526)^2+(E69-Sheet2!$E$526)^2+(F69-Sheet2!$F$526)^2+(G69-Sheet2!$G$526)^2+(H69-Sheet2!$H$526)^2+(I69-Sheet2!$I$526)^2+(J69-Sheet2!$J$526)^2+(K69-Sheet2!$K$526)^2+(L69-Sheet2!$L$526)^2)</f>
        <v>3.887053171087973</v>
      </c>
      <c r="P69" s="12">
        <f t="shared" si="1"/>
        <v>0</v>
      </c>
      <c r="Q69" s="11">
        <f>IF(P69=Sheet1!$M69, 1, 0)</f>
        <v>1</v>
      </c>
    </row>
    <row r="70" spans="1:17" x14ac:dyDescent="0.35">
      <c r="A70" s="6" t="s">
        <v>70</v>
      </c>
      <c r="B70" s="6" t="s">
        <v>83</v>
      </c>
      <c r="C70" s="6">
        <v>-0.98412492269396634</v>
      </c>
      <c r="D70" s="6">
        <v>1.9354772180024911</v>
      </c>
      <c r="E70" s="6">
        <v>1.5528504074364482</v>
      </c>
      <c r="F70" s="6">
        <v>1.9987381371745214</v>
      </c>
      <c r="G70" s="6">
        <v>1.1710404084995587</v>
      </c>
      <c r="H70" s="6">
        <v>0.1576993682187823</v>
      </c>
      <c r="I70" s="6">
        <v>0.66193649008246247</v>
      </c>
      <c r="J70" s="6">
        <v>3.1546063626591261</v>
      </c>
      <c r="K70" s="6">
        <v>-0.88956106039252147</v>
      </c>
      <c r="L70" s="6">
        <v>0.48609918582805522</v>
      </c>
      <c r="N70" s="8">
        <f>SQRT((C70-Sheet2!$C$525)^2+(D70-Sheet2!$D$525)^2+(E70-Sheet2!$E$525)^2+(F70-Sheet2!$F$525)^2+(G70-Sheet2!$G$525)^2+(H70-Sheet2!$H$525)^2+(I70-Sheet2!$I$525)^2+(J70-Sheet2!$J$525)^2+(K70-Sheet2!$K$525)^2+(L70-Sheet2!$L$525)^2)</f>
        <v>5.5848280819223524</v>
      </c>
      <c r="O70" s="8">
        <f>SQRT((C70-Sheet2!$C$526)^2+(D70-Sheet2!$D$526)^2+(E70-Sheet2!$E$526)^2+(F70-Sheet2!$F$526)^2+(G70-Sheet2!$G$526)^2+(H70-Sheet2!$H$526)^2+(I70-Sheet2!$I$526)^2+(J70-Sheet2!$J$526)^2+(K70-Sheet2!$K$526)^2+(L70-Sheet2!$L$526)^2)</f>
        <v>2.302482127366718</v>
      </c>
      <c r="P70" s="12">
        <f t="shared" si="1"/>
        <v>1</v>
      </c>
      <c r="Q70" s="11">
        <f>IF(P70=Sheet1!$M70, 1, 0)</f>
        <v>0</v>
      </c>
    </row>
    <row r="71" spans="1:17" x14ac:dyDescent="0.35">
      <c r="A71" s="6" t="s">
        <v>70</v>
      </c>
      <c r="B71" s="6" t="s">
        <v>84</v>
      </c>
      <c r="C71" s="6">
        <v>-1.2283728832063643</v>
      </c>
      <c r="D71" s="6">
        <v>1.5978995363501967</v>
      </c>
      <c r="E71" s="6">
        <v>0.6790245803991255</v>
      </c>
      <c r="F71" s="6">
        <v>1.3069802224534577</v>
      </c>
      <c r="G71" s="6">
        <v>1.1826544432109296</v>
      </c>
      <c r="H71" s="6">
        <v>0.76474033935276597</v>
      </c>
      <c r="I71" s="6">
        <v>0.72759856181848515</v>
      </c>
      <c r="J71" s="6">
        <v>3.4355344131216416E-2</v>
      </c>
      <c r="K71" s="6">
        <v>-0.462343044448985</v>
      </c>
      <c r="L71" s="6">
        <v>-0.39757472415657846</v>
      </c>
      <c r="N71" s="8">
        <f>SQRT((C71-Sheet2!$C$525)^2+(D71-Sheet2!$D$525)^2+(E71-Sheet2!$E$525)^2+(F71-Sheet2!$F$525)^2+(G71-Sheet2!$G$525)^2+(H71-Sheet2!$H$525)^2+(I71-Sheet2!$I$525)^2+(J71-Sheet2!$J$525)^2+(K71-Sheet2!$K$525)^2+(L71-Sheet2!$L$525)^2)</f>
        <v>3.6621724704881413</v>
      </c>
      <c r="O71" s="8">
        <f>SQRT((C71-Sheet2!$C$526)^2+(D71-Sheet2!$D$526)^2+(E71-Sheet2!$E$526)^2+(F71-Sheet2!$F$526)^2+(G71-Sheet2!$G$526)^2+(H71-Sheet2!$H$526)^2+(I71-Sheet2!$I$526)^2+(J71-Sheet2!$J$526)^2+(K71-Sheet2!$K$526)^2+(L71-Sheet2!$L$526)^2)</f>
        <v>1.8834415829588396</v>
      </c>
      <c r="P71" s="12">
        <f t="shared" si="1"/>
        <v>1</v>
      </c>
      <c r="Q71" s="11">
        <f>IF(P71=Sheet1!$M71, 1, 0)</f>
        <v>0</v>
      </c>
    </row>
    <row r="72" spans="1:17" x14ac:dyDescent="0.35">
      <c r="A72" s="6" t="s">
        <v>70</v>
      </c>
      <c r="B72" s="6" t="s">
        <v>85</v>
      </c>
      <c r="C72" s="6">
        <v>-1.3276824935245923</v>
      </c>
      <c r="D72" s="6">
        <v>1.1559796621871943</v>
      </c>
      <c r="E72" s="6">
        <v>-4.7812838127281779E-2</v>
      </c>
      <c r="F72" s="6">
        <v>0.45499330298631385</v>
      </c>
      <c r="G72" s="6">
        <v>0.12868079315418032</v>
      </c>
      <c r="H72" s="6">
        <v>0.4981163103276357</v>
      </c>
      <c r="I72" s="6">
        <v>0.19975200456191528</v>
      </c>
      <c r="J72" s="6">
        <v>0.50125421916641455</v>
      </c>
      <c r="K72" s="6">
        <v>-0.22134826622442755</v>
      </c>
      <c r="L72" s="6">
        <v>-0.39981546411788171</v>
      </c>
      <c r="N72" s="8">
        <f>SQRT((C72-Sheet2!$C$525)^2+(D72-Sheet2!$D$525)^2+(E72-Sheet2!$E$525)^2+(F72-Sheet2!$F$525)^2+(G72-Sheet2!$G$525)^2+(H72-Sheet2!$H$525)^2+(I72-Sheet2!$I$525)^2+(J72-Sheet2!$J$525)^2+(K72-Sheet2!$K$525)^2+(L72-Sheet2!$L$525)^2)</f>
        <v>2.5606570451591995</v>
      </c>
      <c r="O72" s="8">
        <f>SQRT((C72-Sheet2!$C$526)^2+(D72-Sheet2!$D$526)^2+(E72-Sheet2!$E$526)^2+(F72-Sheet2!$F$526)^2+(G72-Sheet2!$G$526)^2+(H72-Sheet2!$H$526)^2+(I72-Sheet2!$I$526)^2+(J72-Sheet2!$J$526)^2+(K72-Sheet2!$K$526)^2+(L72-Sheet2!$L$526)^2)</f>
        <v>2.5469475974868896</v>
      </c>
      <c r="P72" s="12">
        <f t="shared" si="1"/>
        <v>1</v>
      </c>
      <c r="Q72" s="11">
        <f>IF(P72=Sheet1!$M72, 1, 0)</f>
        <v>0</v>
      </c>
    </row>
    <row r="73" spans="1:17" x14ac:dyDescent="0.35">
      <c r="A73" s="6" t="s">
        <v>70</v>
      </c>
      <c r="B73" s="6" t="s">
        <v>86</v>
      </c>
      <c r="C73" s="6">
        <v>-0.85260679011036744</v>
      </c>
      <c r="D73" s="6">
        <v>1.9600283221226587</v>
      </c>
      <c r="E73" s="6">
        <v>0.15811829058851226</v>
      </c>
      <c r="F73" s="6">
        <v>1.2391910281378082</v>
      </c>
      <c r="G73" s="6">
        <v>0.91843515352727934</v>
      </c>
      <c r="H73" s="6">
        <v>-0.22419242284953481</v>
      </c>
      <c r="I73" s="6">
        <v>0.84872277181697375</v>
      </c>
      <c r="J73" s="6">
        <v>-6.0542801201140951E-2</v>
      </c>
      <c r="K73" s="6">
        <v>-0.5515424104152189</v>
      </c>
      <c r="L73" s="6">
        <v>-0.40395418216200102</v>
      </c>
      <c r="N73" s="8">
        <f>SQRT((C73-Sheet2!$C$525)^2+(D73-Sheet2!$D$525)^2+(E73-Sheet2!$E$525)^2+(F73-Sheet2!$F$525)^2+(G73-Sheet2!$G$525)^2+(H73-Sheet2!$H$525)^2+(I73-Sheet2!$I$525)^2+(J73-Sheet2!$J$525)^2+(K73-Sheet2!$K$525)^2+(L73-Sheet2!$L$525)^2)</f>
        <v>3.4301197471210281</v>
      </c>
      <c r="O73" s="8">
        <f>SQRT((C73-Sheet2!$C$526)^2+(D73-Sheet2!$D$526)^2+(E73-Sheet2!$E$526)^2+(F73-Sheet2!$F$526)^2+(G73-Sheet2!$G$526)^2+(H73-Sheet2!$H$526)^2+(I73-Sheet2!$I$526)^2+(J73-Sheet2!$J$526)^2+(K73-Sheet2!$K$526)^2+(L73-Sheet2!$L$526)^2)</f>
        <v>2.4332416323389379</v>
      </c>
      <c r="P73" s="12">
        <f t="shared" si="1"/>
        <v>1</v>
      </c>
      <c r="Q73" s="11">
        <f>IF(P73=Sheet1!$M73, 1, 0)</f>
        <v>0</v>
      </c>
    </row>
    <row r="74" spans="1:17" x14ac:dyDescent="0.35">
      <c r="A74" s="6" t="s">
        <v>70</v>
      </c>
      <c r="B74" s="6" t="s">
        <v>87</v>
      </c>
      <c r="C74" s="6">
        <v>-0.9572844874728238</v>
      </c>
      <c r="D74" s="6">
        <v>1.7820328172514484</v>
      </c>
      <c r="E74" s="6">
        <v>1.1074644778883356</v>
      </c>
      <c r="F74" s="6">
        <v>1.6597921655962722</v>
      </c>
      <c r="G74" s="6">
        <v>1.4062246114047838</v>
      </c>
      <c r="H74" s="6">
        <v>0.68556108224833345</v>
      </c>
      <c r="I74" s="6">
        <v>0.75947335392335047</v>
      </c>
      <c r="J74" s="6">
        <v>0.39117237058087995</v>
      </c>
      <c r="K74" s="6">
        <v>-0.31993703913447358</v>
      </c>
      <c r="L74" s="6">
        <v>-0.32807158334116754</v>
      </c>
      <c r="N74" s="8">
        <f>SQRT((C74-Sheet2!$C$525)^2+(D74-Sheet2!$D$525)^2+(E74-Sheet2!$E$525)^2+(F74-Sheet2!$F$525)^2+(G74-Sheet2!$G$525)^2+(H74-Sheet2!$H$525)^2+(I74-Sheet2!$I$525)^2+(J74-Sheet2!$J$525)^2+(K74-Sheet2!$K$525)^2+(L74-Sheet2!$L$525)^2)</f>
        <v>4.0657975714363923</v>
      </c>
      <c r="O74" s="8">
        <f>SQRT((C74-Sheet2!$C$526)^2+(D74-Sheet2!$D$526)^2+(E74-Sheet2!$E$526)^2+(F74-Sheet2!$F$526)^2+(G74-Sheet2!$G$526)^2+(H74-Sheet2!$H$526)^2+(I74-Sheet2!$I$526)^2+(J74-Sheet2!$J$526)^2+(K74-Sheet2!$K$526)^2+(L74-Sheet2!$L$526)^2)</f>
        <v>1.5712010043241094</v>
      </c>
      <c r="P74" s="12">
        <f t="shared" si="1"/>
        <v>1</v>
      </c>
      <c r="Q74" s="11">
        <f>IF(P74=Sheet1!$M74, 1, 0)</f>
        <v>0</v>
      </c>
    </row>
    <row r="75" spans="1:17" x14ac:dyDescent="0.35">
      <c r="A75" s="6" t="s">
        <v>70</v>
      </c>
      <c r="B75" s="6" t="s">
        <v>88</v>
      </c>
      <c r="C75" s="6">
        <v>-0.82039826784499625</v>
      </c>
      <c r="D75" s="6">
        <v>1.4567306876592383</v>
      </c>
      <c r="E75" s="6">
        <v>1.1023069898704088</v>
      </c>
      <c r="F75" s="6">
        <v>1.4102046774341064</v>
      </c>
      <c r="G75" s="6">
        <v>1.2145930386671946</v>
      </c>
      <c r="H75" s="6">
        <v>0.66186116855721011</v>
      </c>
      <c r="I75" s="6">
        <v>0.91119736434251009</v>
      </c>
      <c r="J75" s="6">
        <v>0.53541755148606307</v>
      </c>
      <c r="K75" s="6">
        <v>0.35453535966283062</v>
      </c>
      <c r="L75" s="6">
        <v>-0.36340930079930733</v>
      </c>
      <c r="N75" s="8">
        <f>SQRT((C75-Sheet2!$C$525)^2+(D75-Sheet2!$D$525)^2+(E75-Sheet2!$E$525)^2+(F75-Sheet2!$F$525)^2+(G75-Sheet2!$G$525)^2+(H75-Sheet2!$H$525)^2+(I75-Sheet2!$I$525)^2+(J75-Sheet2!$J$525)^2+(K75-Sheet2!$K$525)^2+(L75-Sheet2!$L$525)^2)</f>
        <v>3.7128372704517112</v>
      </c>
      <c r="O75" s="8">
        <f>SQRT((C75-Sheet2!$C$526)^2+(D75-Sheet2!$D$526)^2+(E75-Sheet2!$E$526)^2+(F75-Sheet2!$F$526)^2+(G75-Sheet2!$G$526)^2+(H75-Sheet2!$H$526)^2+(I75-Sheet2!$I$526)^2+(J75-Sheet2!$J$526)^2+(K75-Sheet2!$K$526)^2+(L75-Sheet2!$L$526)^2)</f>
        <v>1.6782631189022585</v>
      </c>
      <c r="P75" s="12">
        <f t="shared" si="1"/>
        <v>1</v>
      </c>
      <c r="Q75" s="11">
        <f>IF(P75=Sheet1!$M75, 1, 0)</f>
        <v>0</v>
      </c>
    </row>
    <row r="76" spans="1:17" x14ac:dyDescent="0.35">
      <c r="A76" s="6" t="s">
        <v>70</v>
      </c>
      <c r="B76" s="6" t="s">
        <v>89</v>
      </c>
      <c r="C76" s="6">
        <v>-1.0592781413131658</v>
      </c>
      <c r="D76" s="6">
        <v>1.3708018232386538</v>
      </c>
      <c r="E76" s="6">
        <v>0.91847938123144413</v>
      </c>
      <c r="F76" s="6">
        <v>1.1005313124921601</v>
      </c>
      <c r="G76" s="6">
        <v>0.20997903613376442</v>
      </c>
      <c r="H76" s="6">
        <v>0.12699720730073738</v>
      </c>
      <c r="I76" s="6">
        <v>0.80027308781757811</v>
      </c>
      <c r="J76" s="6">
        <v>0.39117237058087995</v>
      </c>
      <c r="K76" s="6">
        <v>-1.0585703853811728</v>
      </c>
      <c r="L76" s="6">
        <v>-0.38226283392752713</v>
      </c>
      <c r="N76" s="8">
        <f>SQRT((C76-Sheet2!$C$525)^2+(D76-Sheet2!$D$525)^2+(E76-Sheet2!$E$525)^2+(F76-Sheet2!$F$525)^2+(G76-Sheet2!$G$525)^2+(H76-Sheet2!$H$525)^2+(I76-Sheet2!$I$525)^2+(J76-Sheet2!$J$525)^2+(K76-Sheet2!$K$525)^2+(L76-Sheet2!$L$525)^2)</f>
        <v>3.3205550274968414</v>
      </c>
      <c r="O76" s="8">
        <f>SQRT((C76-Sheet2!$C$526)^2+(D76-Sheet2!$D$526)^2+(E76-Sheet2!$E$526)^2+(F76-Sheet2!$F$526)^2+(G76-Sheet2!$G$526)^2+(H76-Sheet2!$H$526)^2+(I76-Sheet2!$I$526)^2+(J76-Sheet2!$J$526)^2+(K76-Sheet2!$K$526)^2+(L76-Sheet2!$L$526)^2)</f>
        <v>1.888441250832261</v>
      </c>
      <c r="P76" s="12">
        <f t="shared" si="1"/>
        <v>1</v>
      </c>
      <c r="Q76" s="11">
        <f>IF(P76=Sheet1!$M76, 1, 0)</f>
        <v>0</v>
      </c>
    </row>
    <row r="77" spans="1:17" x14ac:dyDescent="0.35">
      <c r="A77" s="6" t="s">
        <v>90</v>
      </c>
      <c r="B77" s="6" t="s">
        <v>91</v>
      </c>
      <c r="C77" s="6">
        <v>-0.44329015298794194</v>
      </c>
      <c r="D77" s="6">
        <v>0.19234882547064583</v>
      </c>
      <c r="E77" s="6">
        <v>-5.8161499813058903E-3</v>
      </c>
      <c r="F77" s="6">
        <v>0.10372202335067403</v>
      </c>
      <c r="G77" s="6">
        <v>-0.30684550852216119</v>
      </c>
      <c r="H77" s="6">
        <v>0.58052737384449415</v>
      </c>
      <c r="I77" s="6">
        <v>4.1015539879686293E-2</v>
      </c>
      <c r="J77" s="6">
        <v>-1.1385857321767208</v>
      </c>
      <c r="K77" s="6">
        <v>-0.38253308542656761</v>
      </c>
      <c r="L77" s="6">
        <v>5.694794115033381E-2</v>
      </c>
      <c r="N77" s="8">
        <f>SQRT((C77-Sheet2!$C$525)^2+(D77-Sheet2!$D$525)^2+(E77-Sheet2!$E$525)^2+(F77-Sheet2!$F$525)^2+(G77-Sheet2!$G$525)^2+(H77-Sheet2!$H$525)^2+(I77-Sheet2!$I$525)^2+(J77-Sheet2!$J$525)^2+(K77-Sheet2!$K$525)^2+(L77-Sheet2!$L$525)^2)</f>
        <v>1.6209920418846371</v>
      </c>
      <c r="O77" s="8">
        <f>SQRT((C77-Sheet2!$C$526)^2+(D77-Sheet2!$D$526)^2+(E77-Sheet2!$E$526)^2+(F77-Sheet2!$F$526)^2+(G77-Sheet2!$G$526)^2+(H77-Sheet2!$H$526)^2+(I77-Sheet2!$I$526)^2+(J77-Sheet2!$J$526)^2+(K77-Sheet2!$K$526)^2+(L77-Sheet2!$L$526)^2)</f>
        <v>3.6424365340746245</v>
      </c>
      <c r="P77" s="12">
        <f t="shared" si="1"/>
        <v>0</v>
      </c>
      <c r="Q77" s="11">
        <f>IF(P77=Sheet1!$M77, 1, 0)</f>
        <v>1</v>
      </c>
    </row>
    <row r="78" spans="1:17" x14ac:dyDescent="0.35">
      <c r="A78" s="6" t="s">
        <v>90</v>
      </c>
      <c r="B78" s="6" t="s">
        <v>92</v>
      </c>
      <c r="C78" s="6">
        <v>-0.81771422432288199</v>
      </c>
      <c r="D78" s="6">
        <v>-2.8611111610855368E-2</v>
      </c>
      <c r="E78" s="6">
        <v>-2.3867358044049911E-2</v>
      </c>
      <c r="F78" s="6">
        <v>1.2822876427418053E-2</v>
      </c>
      <c r="G78" s="6">
        <v>0.17513693199965991</v>
      </c>
      <c r="H78" s="6">
        <v>0.30259202237587313</v>
      </c>
      <c r="I78" s="6">
        <v>-1.2939007534720735</v>
      </c>
      <c r="J78" s="6">
        <v>-0.6602990797016397</v>
      </c>
      <c r="K78" s="6">
        <v>-0.15875221993233349</v>
      </c>
      <c r="L78" s="6">
        <v>0.19249453014335188</v>
      </c>
      <c r="N78" s="8">
        <f>SQRT((C78-Sheet2!$C$525)^2+(D78-Sheet2!$D$525)^2+(E78-Sheet2!$E$525)^2+(F78-Sheet2!$F$525)^2+(G78-Sheet2!$G$525)^2+(H78-Sheet2!$H$525)^2+(I78-Sheet2!$I$525)^2+(J78-Sheet2!$J$525)^2+(K78-Sheet2!$K$525)^2+(L78-Sheet2!$L$525)^2)</f>
        <v>1.8087175004141112</v>
      </c>
      <c r="O78" s="8">
        <f>SQRT((C78-Sheet2!$C$526)^2+(D78-Sheet2!$D$526)^2+(E78-Sheet2!$E$526)^2+(F78-Sheet2!$F$526)^2+(G78-Sheet2!$G$526)^2+(H78-Sheet2!$H$526)^2+(I78-Sheet2!$I$526)^2+(J78-Sheet2!$J$526)^2+(K78-Sheet2!$K$526)^2+(L78-Sheet2!$L$526)^2)</f>
        <v>3.8706735954780558</v>
      </c>
      <c r="P78" s="12">
        <f t="shared" si="1"/>
        <v>0</v>
      </c>
      <c r="Q78" s="11">
        <f>IF(P78=Sheet1!$M78, 1, 0)</f>
        <v>1</v>
      </c>
    </row>
    <row r="79" spans="1:17" x14ac:dyDescent="0.35">
      <c r="A79" s="6" t="s">
        <v>90</v>
      </c>
      <c r="B79" s="6" t="s">
        <v>93</v>
      </c>
      <c r="C79" s="6">
        <v>-0.81771422432288199</v>
      </c>
      <c r="D79" s="6">
        <v>-0.73445535506565218</v>
      </c>
      <c r="E79" s="6">
        <v>-0.13991083844740435</v>
      </c>
      <c r="F79" s="6">
        <v>-0.50792138899734751</v>
      </c>
      <c r="G79" s="6">
        <v>-0.48686304654837959</v>
      </c>
      <c r="H79" s="6">
        <v>-1.4845969236956047</v>
      </c>
      <c r="I79" s="6">
        <v>0.28453895156085696</v>
      </c>
      <c r="J79" s="6">
        <v>-0.91083018337906307</v>
      </c>
      <c r="K79" s="6">
        <v>-0.14153830720200797</v>
      </c>
      <c r="L79" s="6">
        <v>0.52148086640447944</v>
      </c>
      <c r="N79" s="8">
        <f>SQRT((C79-Sheet2!$C$525)^2+(D79-Sheet2!$D$525)^2+(E79-Sheet2!$E$525)^2+(F79-Sheet2!$F$525)^2+(G79-Sheet2!$G$525)^2+(H79-Sheet2!$H$525)^2+(I79-Sheet2!$I$525)^2+(J79-Sheet2!$J$525)^2+(K79-Sheet2!$K$525)^2+(L79-Sheet2!$L$525)^2)</f>
        <v>2.0453869791430499</v>
      </c>
      <c r="O79" s="8">
        <f>SQRT((C79-Sheet2!$C$526)^2+(D79-Sheet2!$D$526)^2+(E79-Sheet2!$E$526)^2+(F79-Sheet2!$F$526)^2+(G79-Sheet2!$G$526)^2+(H79-Sheet2!$H$526)^2+(I79-Sheet2!$I$526)^2+(J79-Sheet2!$J$526)^2+(K79-Sheet2!$K$526)^2+(L79-Sheet2!$L$526)^2)</f>
        <v>4.7612484201646099</v>
      </c>
      <c r="P79" s="12">
        <f t="shared" si="1"/>
        <v>0</v>
      </c>
      <c r="Q79" s="11">
        <f>IF(P79=Sheet1!$M79, 1, 0)</f>
        <v>1</v>
      </c>
    </row>
    <row r="80" spans="1:17" x14ac:dyDescent="0.35">
      <c r="A80" s="6" t="s">
        <v>90</v>
      </c>
      <c r="B80" s="6" t="s">
        <v>94</v>
      </c>
      <c r="C80" s="6">
        <v>-0.35471671675817124</v>
      </c>
      <c r="D80" s="6">
        <v>0.16165994532043684</v>
      </c>
      <c r="E80" s="6">
        <v>0.49630214776400228</v>
      </c>
      <c r="F80" s="6">
        <v>0.33174022241240564</v>
      </c>
      <c r="G80" s="6">
        <v>0.45968078242820004</v>
      </c>
      <c r="H80" s="6">
        <v>0.2115628084258793</v>
      </c>
      <c r="I80" s="6">
        <v>-9.7321057855429327E-2</v>
      </c>
      <c r="J80" s="6">
        <v>-1.0322998094044806</v>
      </c>
      <c r="K80" s="6">
        <v>-4.4514435449262854E-2</v>
      </c>
      <c r="L80" s="6">
        <v>0.30453932205030315</v>
      </c>
      <c r="N80" s="8">
        <f>SQRT((C80-Sheet2!$C$525)^2+(D80-Sheet2!$D$525)^2+(E80-Sheet2!$E$525)^2+(F80-Sheet2!$F$525)^2+(G80-Sheet2!$G$525)^2+(H80-Sheet2!$H$525)^2+(I80-Sheet2!$I$525)^2+(J80-Sheet2!$J$525)^2+(K80-Sheet2!$K$525)^2+(L80-Sheet2!$L$525)^2)</f>
        <v>1.7485647668724382</v>
      </c>
      <c r="O80" s="8">
        <f>SQRT((C80-Sheet2!$C$526)^2+(D80-Sheet2!$D$526)^2+(E80-Sheet2!$E$526)^2+(F80-Sheet2!$F$526)^2+(G80-Sheet2!$G$526)^2+(H80-Sheet2!$H$526)^2+(I80-Sheet2!$I$526)^2+(J80-Sheet2!$J$526)^2+(K80-Sheet2!$K$526)^2+(L80-Sheet2!$L$526)^2)</f>
        <v>3.2170721349702549</v>
      </c>
      <c r="P80" s="12">
        <f t="shared" si="1"/>
        <v>0</v>
      </c>
      <c r="Q80" s="11">
        <f>IF(P80=Sheet1!$M80, 1, 0)</f>
        <v>1</v>
      </c>
    </row>
    <row r="81" spans="1:17" x14ac:dyDescent="0.35">
      <c r="A81" s="6" t="s">
        <v>90</v>
      </c>
      <c r="B81" s="6" t="s">
        <v>95</v>
      </c>
      <c r="C81" s="6">
        <v>-0.95191640042859527</v>
      </c>
      <c r="D81" s="6">
        <v>0.87364196480527523</v>
      </c>
      <c r="E81" s="6">
        <v>0.54603506793686851</v>
      </c>
      <c r="F81" s="6">
        <v>0.62446628877543953</v>
      </c>
      <c r="G81" s="6">
        <v>0.42774218697193517</v>
      </c>
      <c r="H81" s="6">
        <v>0.98073273458322441</v>
      </c>
      <c r="I81" s="6">
        <v>0.50957498382120625</v>
      </c>
      <c r="J81" s="6">
        <v>-0.27311464674562164</v>
      </c>
      <c r="K81" s="6">
        <v>-0.74715505507801006</v>
      </c>
      <c r="L81" s="6">
        <v>0.68074315478483682</v>
      </c>
      <c r="N81" s="8">
        <f>SQRT((C81-Sheet2!$C$525)^2+(D81-Sheet2!$D$525)^2+(E81-Sheet2!$E$525)^2+(F81-Sheet2!$F$525)^2+(G81-Sheet2!$G$525)^2+(H81-Sheet2!$H$525)^2+(I81-Sheet2!$I$525)^2+(J81-Sheet2!$J$525)^2+(K81-Sheet2!$K$525)^2+(L81-Sheet2!$L$525)^2)</f>
        <v>2.8371844057791615</v>
      </c>
      <c r="O81" s="8">
        <f>SQRT((C81-Sheet2!$C$526)^2+(D81-Sheet2!$D$526)^2+(E81-Sheet2!$E$526)^2+(F81-Sheet2!$F$526)^2+(G81-Sheet2!$G$526)^2+(H81-Sheet2!$H$526)^2+(I81-Sheet2!$I$526)^2+(J81-Sheet2!$J$526)^2+(K81-Sheet2!$K$526)^2+(L81-Sheet2!$L$526)^2)</f>
        <v>2.0376244410102484</v>
      </c>
      <c r="P81" s="12">
        <f t="shared" si="1"/>
        <v>1</v>
      </c>
      <c r="Q81" s="11">
        <f>IF(P81=Sheet1!$M81, 1, 0)</f>
        <v>0</v>
      </c>
    </row>
    <row r="82" spans="1:17" x14ac:dyDescent="0.35">
      <c r="A82" s="6" t="s">
        <v>90</v>
      </c>
      <c r="B82" s="6" t="s">
        <v>96</v>
      </c>
      <c r="C82" s="6">
        <v>-0.59762265550951221</v>
      </c>
      <c r="D82" s="6">
        <v>0.51151317903281446</v>
      </c>
      <c r="E82" s="6">
        <v>0.19643105872168323</v>
      </c>
      <c r="F82" s="6">
        <v>0.47656259208674795</v>
      </c>
      <c r="G82" s="6">
        <v>0.34063692663666773</v>
      </c>
      <c r="H82" s="6">
        <v>0.66886341578413333</v>
      </c>
      <c r="I82" s="6">
        <v>0.33617611477073894</v>
      </c>
      <c r="J82" s="6">
        <v>-0.29968612743868184</v>
      </c>
      <c r="K82" s="6">
        <v>-1.002233943718289</v>
      </c>
      <c r="L82" s="6">
        <v>0.6525994249314363</v>
      </c>
      <c r="N82" s="8">
        <f>SQRT((C82-Sheet2!$C$525)^2+(D82-Sheet2!$D$525)^2+(E82-Sheet2!$E$525)^2+(F82-Sheet2!$F$525)^2+(G82-Sheet2!$G$525)^2+(H82-Sheet2!$H$525)^2+(I82-Sheet2!$I$525)^2+(J82-Sheet2!$J$525)^2+(K82-Sheet2!$K$525)^2+(L82-Sheet2!$L$525)^2)</f>
        <v>2.3331417210631997</v>
      </c>
      <c r="O82" s="8">
        <f>SQRT((C82-Sheet2!$C$526)^2+(D82-Sheet2!$D$526)^2+(E82-Sheet2!$E$526)^2+(F82-Sheet2!$F$526)^2+(G82-Sheet2!$G$526)^2+(H82-Sheet2!$H$526)^2+(I82-Sheet2!$I$526)^2+(J82-Sheet2!$J$526)^2+(K82-Sheet2!$K$526)^2+(L82-Sheet2!$L$526)^2)</f>
        <v>2.4557785639438072</v>
      </c>
      <c r="P82" s="12">
        <f t="shared" si="1"/>
        <v>0</v>
      </c>
      <c r="Q82" s="11">
        <f>IF(P82=Sheet1!$M82, 1, 0)</f>
        <v>1</v>
      </c>
    </row>
    <row r="83" spans="1:17" x14ac:dyDescent="0.35">
      <c r="A83" s="6" t="s">
        <v>90</v>
      </c>
      <c r="B83" s="6" t="s">
        <v>97</v>
      </c>
      <c r="C83" s="6">
        <v>-0.25138104115677207</v>
      </c>
      <c r="D83" s="6">
        <v>6.3455528839769404E-2</v>
      </c>
      <c r="E83" s="6">
        <v>-0.33847412713758857</v>
      </c>
      <c r="F83" s="6">
        <v>-3.9559682816493649E-2</v>
      </c>
      <c r="G83" s="6">
        <v>0.15190886257692218</v>
      </c>
      <c r="H83" s="6">
        <v>0.62738856682466804</v>
      </c>
      <c r="I83" s="6">
        <v>0.44837538297986518</v>
      </c>
      <c r="J83" s="6">
        <v>-1.0664631417241293</v>
      </c>
      <c r="K83" s="6">
        <v>-0.46390794560628812</v>
      </c>
      <c r="L83" s="6">
        <v>0.10005350699294799</v>
      </c>
      <c r="N83" s="8">
        <f>SQRT((C83-Sheet2!$C$525)^2+(D83-Sheet2!$D$525)^2+(E83-Sheet2!$E$525)^2+(F83-Sheet2!$F$525)^2+(G83-Sheet2!$G$525)^2+(H83-Sheet2!$H$525)^2+(I83-Sheet2!$I$525)^2+(J83-Sheet2!$J$525)^2+(K83-Sheet2!$K$525)^2+(L83-Sheet2!$L$525)^2)</f>
        <v>1.6287133112443062</v>
      </c>
      <c r="O83" s="8">
        <f>SQRT((C83-Sheet2!$C$526)^2+(D83-Sheet2!$D$526)^2+(E83-Sheet2!$E$526)^2+(F83-Sheet2!$F$526)^2+(G83-Sheet2!$G$526)^2+(H83-Sheet2!$H$526)^2+(I83-Sheet2!$I$526)^2+(J83-Sheet2!$J$526)^2+(K83-Sheet2!$K$526)^2+(L83-Sheet2!$L$526)^2)</f>
        <v>3.657331308781004</v>
      </c>
      <c r="P83" s="12">
        <f t="shared" si="1"/>
        <v>0</v>
      </c>
      <c r="Q83" s="11">
        <f>IF(P83=Sheet1!$M83, 1, 0)</f>
        <v>1</v>
      </c>
    </row>
    <row r="84" spans="1:17" x14ac:dyDescent="0.35">
      <c r="A84" s="6" t="s">
        <v>90</v>
      </c>
      <c r="B84" s="6" t="s">
        <v>98</v>
      </c>
      <c r="C84" s="6">
        <v>-0.75598122331425388</v>
      </c>
      <c r="D84" s="6">
        <v>0.77543754832460776</v>
      </c>
      <c r="E84" s="6">
        <v>0.40162540343491632</v>
      </c>
      <c r="F84" s="6">
        <v>0.56283974848848439</v>
      </c>
      <c r="G84" s="6">
        <v>0.45968078242820004</v>
      </c>
      <c r="H84" s="6">
        <v>0.70764509273324305</v>
      </c>
      <c r="I84" s="6">
        <v>0.51786242976847185</v>
      </c>
      <c r="J84" s="6">
        <v>0.59615236449877185</v>
      </c>
      <c r="K84" s="6">
        <v>-0.42322051551642675</v>
      </c>
      <c r="L84" s="6">
        <v>1.0920919066446158</v>
      </c>
      <c r="N84" s="8">
        <f>SQRT((C84-Sheet2!$C$525)^2+(D84-Sheet2!$D$525)^2+(E84-Sheet2!$E$525)^2+(F84-Sheet2!$F$525)^2+(G84-Sheet2!$G$525)^2+(H84-Sheet2!$H$525)^2+(I84-Sheet2!$I$525)^2+(J84-Sheet2!$J$525)^2+(K84-Sheet2!$K$525)^2+(L84-Sheet2!$L$525)^2)</f>
        <v>2.7786904383596815</v>
      </c>
      <c r="O84" s="8">
        <f>SQRT((C84-Sheet2!$C$526)^2+(D84-Sheet2!$D$526)^2+(E84-Sheet2!$E$526)^2+(F84-Sheet2!$F$526)^2+(G84-Sheet2!$G$526)^2+(H84-Sheet2!$H$526)^2+(I84-Sheet2!$I$526)^2+(J84-Sheet2!$J$526)^2+(K84-Sheet2!$K$526)^2+(L84-Sheet2!$L$526)^2)</f>
        <v>1.7017908827131198</v>
      </c>
      <c r="P84" s="12">
        <f t="shared" si="1"/>
        <v>1</v>
      </c>
      <c r="Q84" s="11">
        <f>IF(P84=Sheet1!$M84, 1, 0)</f>
        <v>0</v>
      </c>
    </row>
    <row r="85" spans="1:17" x14ac:dyDescent="0.35">
      <c r="A85" s="6" t="s">
        <v>90</v>
      </c>
      <c r="B85" s="6" t="s">
        <v>99</v>
      </c>
      <c r="C85" s="6">
        <v>-0.68351204821716871</v>
      </c>
      <c r="D85" s="6">
        <v>-0.10840220000139807</v>
      </c>
      <c r="E85" s="6">
        <v>-0.33442181512350316</v>
      </c>
      <c r="F85" s="6">
        <v>-9.0401578553230708E-2</v>
      </c>
      <c r="G85" s="6">
        <v>0.21288254481160818</v>
      </c>
      <c r="H85" s="6">
        <v>-0.17571532666314796</v>
      </c>
      <c r="I85" s="6">
        <v>0.15193981640461729</v>
      </c>
      <c r="J85" s="6">
        <v>-0.68687056039469974</v>
      </c>
      <c r="K85" s="6">
        <v>-1.3652910122124293</v>
      </c>
      <c r="L85" s="6">
        <v>0.51813799781340963</v>
      </c>
      <c r="N85" s="8">
        <f>SQRT((C85-Sheet2!$C$525)^2+(D85-Sheet2!$D$525)^2+(E85-Sheet2!$E$525)^2+(F85-Sheet2!$F$525)^2+(G85-Sheet2!$G$525)^2+(H85-Sheet2!$H$525)^2+(I85-Sheet2!$I$525)^2+(J85-Sheet2!$J$525)^2+(K85-Sheet2!$K$525)^2+(L85-Sheet2!$L$525)^2)</f>
        <v>2.0075018661204278</v>
      </c>
      <c r="O85" s="8">
        <f>SQRT((C85-Sheet2!$C$526)^2+(D85-Sheet2!$D$526)^2+(E85-Sheet2!$E$526)^2+(F85-Sheet2!$F$526)^2+(G85-Sheet2!$G$526)^2+(H85-Sheet2!$H$526)^2+(I85-Sheet2!$I$526)^2+(J85-Sheet2!$J$526)^2+(K85-Sheet2!$K$526)^2+(L85-Sheet2!$L$526)^2)</f>
        <v>3.6692022025227438</v>
      </c>
      <c r="P85" s="12">
        <f t="shared" si="1"/>
        <v>0</v>
      </c>
      <c r="Q85" s="11">
        <f>IF(P85=Sheet1!$M85, 1, 0)</f>
        <v>1</v>
      </c>
    </row>
    <row r="86" spans="1:17" x14ac:dyDescent="0.35">
      <c r="A86" s="6" t="s">
        <v>90</v>
      </c>
      <c r="B86" s="6" t="s">
        <v>100</v>
      </c>
      <c r="C86" s="6">
        <v>1.7992282097385259</v>
      </c>
      <c r="D86" s="6">
        <v>-0.36618879326314979</v>
      </c>
      <c r="E86" s="6">
        <v>-0.93747952121966571</v>
      </c>
      <c r="F86" s="6">
        <v>-0.65120309516451513</v>
      </c>
      <c r="G86" s="6">
        <v>-0.54493322010522594</v>
      </c>
      <c r="H86" s="6">
        <v>-1.1431027127826101</v>
      </c>
      <c r="I86" s="6">
        <v>0.22652682993000228</v>
      </c>
      <c r="J86" s="6">
        <v>-0.23895131442597306</v>
      </c>
      <c r="K86" s="6">
        <v>-0.60474904976349864</v>
      </c>
      <c r="L86" s="6">
        <v>-0.18712051878677075</v>
      </c>
      <c r="N86" s="8">
        <f>SQRT((C86-Sheet2!$C$525)^2+(D86-Sheet2!$D$525)^2+(E86-Sheet2!$E$525)^2+(F86-Sheet2!$F$525)^2+(G86-Sheet2!$G$525)^2+(H86-Sheet2!$H$525)^2+(I86-Sheet2!$I$525)^2+(J86-Sheet2!$J$525)^2+(K86-Sheet2!$K$525)^2+(L86-Sheet2!$L$525)^2)</f>
        <v>2.2118097034250161</v>
      </c>
      <c r="O86" s="8">
        <f>SQRT((C86-Sheet2!$C$526)^2+(D86-Sheet2!$D$526)^2+(E86-Sheet2!$E$526)^2+(F86-Sheet2!$F$526)^2+(G86-Sheet2!$G$526)^2+(H86-Sheet2!$H$526)^2+(I86-Sheet2!$I$526)^2+(J86-Sheet2!$J$526)^2+(K86-Sheet2!$K$526)^2+(L86-Sheet2!$L$526)^2)</f>
        <v>5.3398610124661765</v>
      </c>
      <c r="P86" s="12">
        <f t="shared" si="1"/>
        <v>0</v>
      </c>
      <c r="Q86" s="11">
        <f>IF(P86=Sheet1!$M86, 1, 0)</f>
        <v>0</v>
      </c>
    </row>
    <row r="87" spans="1:17" x14ac:dyDescent="0.35">
      <c r="A87" s="6" t="s">
        <v>90</v>
      </c>
      <c r="B87" s="6" t="s">
        <v>101</v>
      </c>
      <c r="C87" s="6">
        <v>-1.2672915142770214</v>
      </c>
      <c r="D87" s="6">
        <v>2.1380238269938676</v>
      </c>
      <c r="E87" s="6">
        <v>1.4865398472059601</v>
      </c>
      <c r="F87" s="6">
        <v>1.7953705542275709</v>
      </c>
      <c r="G87" s="6">
        <v>0.79939129773574702</v>
      </c>
      <c r="H87" s="6">
        <v>1.0275939275633992</v>
      </c>
      <c r="I87" s="6">
        <v>0.86848514292199042</v>
      </c>
      <c r="J87" s="6">
        <v>1.2262760495056246</v>
      </c>
      <c r="K87" s="6">
        <v>-1.2291446115271272</v>
      </c>
      <c r="L87" s="6">
        <v>1.0584372620071461</v>
      </c>
      <c r="N87" s="8">
        <f>SQRT((C87-Sheet2!$C$525)^2+(D87-Sheet2!$D$525)^2+(E87-Sheet2!$E$525)^2+(F87-Sheet2!$F$525)^2+(G87-Sheet2!$G$525)^2+(H87-Sheet2!$H$525)^2+(I87-Sheet2!$I$525)^2+(J87-Sheet2!$J$525)^2+(K87-Sheet2!$K$525)^2+(L87-Sheet2!$L$525)^2)</f>
        <v>4.9991820773854094</v>
      </c>
      <c r="O87" s="8">
        <f>SQRT((C87-Sheet2!$C$526)^2+(D87-Sheet2!$D$526)^2+(E87-Sheet2!$E$526)^2+(F87-Sheet2!$F$526)^2+(G87-Sheet2!$G$526)^2+(H87-Sheet2!$H$526)^2+(I87-Sheet2!$I$526)^2+(J87-Sheet2!$J$526)^2+(K87-Sheet2!$K$526)^2+(L87-Sheet2!$L$526)^2)</f>
        <v>1.2584477875243343</v>
      </c>
      <c r="P87" s="12">
        <f t="shared" si="1"/>
        <v>1</v>
      </c>
      <c r="Q87" s="11">
        <f>IF(P87=Sheet1!$M87, 1, 0)</f>
        <v>0</v>
      </c>
    </row>
    <row r="88" spans="1:17" x14ac:dyDescent="0.35">
      <c r="A88" s="6" t="s">
        <v>90</v>
      </c>
      <c r="B88" s="6" t="s">
        <v>102</v>
      </c>
      <c r="C88" s="6">
        <v>-1.1881122303746505</v>
      </c>
      <c r="D88" s="6">
        <v>1.0454996936464438</v>
      </c>
      <c r="E88" s="6">
        <v>0.55008737995095391</v>
      </c>
      <c r="F88" s="6">
        <v>0.74309737882782601</v>
      </c>
      <c r="G88" s="6">
        <v>0.3841895568043035</v>
      </c>
      <c r="H88" s="6">
        <v>1.0679915077187219</v>
      </c>
      <c r="I88" s="6">
        <v>0.49236259608457922</v>
      </c>
      <c r="J88" s="6">
        <v>0.46709088684676592</v>
      </c>
      <c r="K88" s="6">
        <v>-0.71272722961735901</v>
      </c>
      <c r="L88" s="6">
        <v>8.5763612998881494E-2</v>
      </c>
      <c r="N88" s="8">
        <f>SQRT((C88-Sheet2!$C$525)^2+(D88-Sheet2!$D$525)^2+(E88-Sheet2!$E$525)^2+(F88-Sheet2!$F$525)^2+(G88-Sheet2!$G$525)^2+(H88-Sheet2!$H$525)^2+(I88-Sheet2!$I$525)^2+(J88-Sheet2!$J$525)^2+(K88-Sheet2!$K$525)^2+(L88-Sheet2!$L$525)^2)</f>
        <v>3.0440448154792792</v>
      </c>
      <c r="O88" s="8">
        <f>SQRT((C88-Sheet2!$C$526)^2+(D88-Sheet2!$D$526)^2+(E88-Sheet2!$E$526)^2+(F88-Sheet2!$F$526)^2+(G88-Sheet2!$G$526)^2+(H88-Sheet2!$H$526)^2+(I88-Sheet2!$I$526)^2+(J88-Sheet2!$J$526)^2+(K88-Sheet2!$K$526)^2+(L88-Sheet2!$L$526)^2)</f>
        <v>1.7109234430402049</v>
      </c>
      <c r="P88" s="12">
        <f t="shared" si="1"/>
        <v>1</v>
      </c>
      <c r="Q88" s="11">
        <f>IF(P88=Sheet1!$M88, 1, 0)</f>
        <v>0</v>
      </c>
    </row>
    <row r="89" spans="1:17" x14ac:dyDescent="0.35">
      <c r="A89" s="6" t="s">
        <v>103</v>
      </c>
      <c r="B89" s="6" t="s">
        <v>104</v>
      </c>
      <c r="C89" s="6">
        <v>-0.61238489488114067</v>
      </c>
      <c r="D89" s="6">
        <v>7.5731080899853642E-2</v>
      </c>
      <c r="E89" s="6">
        <v>-5.1865150141367167E-2</v>
      </c>
      <c r="F89" s="6">
        <v>0.23467842146045328</v>
      </c>
      <c r="G89" s="6">
        <v>9.9645706375759216E-2</v>
      </c>
      <c r="H89" s="6">
        <v>-0.58615474104122733</v>
      </c>
      <c r="I89" s="6">
        <v>-0.67234230742719958</v>
      </c>
      <c r="J89" s="6">
        <v>-1.0398916610310691</v>
      </c>
      <c r="K89" s="6">
        <v>0.22464856360673757</v>
      </c>
      <c r="L89" s="6">
        <v>-0.31592932110732297</v>
      </c>
      <c r="N89" s="8">
        <f>SQRT((C89-Sheet2!$C$525)^2+(D89-Sheet2!$D$525)^2+(E89-Sheet2!$E$525)^2+(F89-Sheet2!$F$525)^2+(G89-Sheet2!$G$525)^2+(H89-Sheet2!$H$525)^2+(I89-Sheet2!$I$525)^2+(J89-Sheet2!$J$525)^2+(K89-Sheet2!$K$525)^2+(L89-Sheet2!$L$525)^2)</f>
        <v>1.5096042975006945</v>
      </c>
      <c r="O89" s="8">
        <f>SQRT((C89-Sheet2!$C$526)^2+(D89-Sheet2!$D$526)^2+(E89-Sheet2!$E$526)^2+(F89-Sheet2!$F$526)^2+(G89-Sheet2!$G$526)^2+(H89-Sheet2!$H$526)^2+(I89-Sheet2!$I$526)^2+(J89-Sheet2!$J$526)^2+(K89-Sheet2!$K$526)^2+(L89-Sheet2!$L$526)^2)</f>
        <v>4.0881787881265463</v>
      </c>
      <c r="P89" s="12">
        <f t="shared" si="1"/>
        <v>0</v>
      </c>
      <c r="Q89" s="11">
        <f>IF(P89=Sheet1!$M89, 1, 0)</f>
        <v>1</v>
      </c>
    </row>
    <row r="90" spans="1:17" x14ac:dyDescent="0.35">
      <c r="A90" s="6" t="s">
        <v>103</v>
      </c>
      <c r="B90" s="6" t="s">
        <v>105</v>
      </c>
      <c r="C90" s="6">
        <v>-0.42450184833314225</v>
      </c>
      <c r="D90" s="6">
        <v>-0.32936213708289924</v>
      </c>
      <c r="E90" s="6">
        <v>2.0339682109608917E-2</v>
      </c>
      <c r="F90" s="6">
        <v>-6.1128971916927753E-2</v>
      </c>
      <c r="G90" s="6">
        <v>0.47419832581741478</v>
      </c>
      <c r="H90" s="6">
        <v>-0.33030340005751657</v>
      </c>
      <c r="I90" s="6">
        <v>-1.0344399457384701</v>
      </c>
      <c r="J90" s="6">
        <v>-8.7114281894201118E-2</v>
      </c>
      <c r="K90" s="6">
        <v>6.0333942089991231E-2</v>
      </c>
      <c r="L90" s="6">
        <v>-0.24222339812200383</v>
      </c>
      <c r="N90" s="8">
        <f>SQRT((C90-Sheet2!$C$525)^2+(D90-Sheet2!$D$525)^2+(E90-Sheet2!$E$525)^2+(F90-Sheet2!$F$525)^2+(G90-Sheet2!$G$525)^2+(H90-Sheet2!$H$525)^2+(I90-Sheet2!$I$525)^2+(J90-Sheet2!$J$525)^2+(K90-Sheet2!$K$525)^2+(L90-Sheet2!$L$525)^2)</f>
        <v>1.3492992037414644</v>
      </c>
      <c r="O90" s="8">
        <f>SQRT((C90-Sheet2!$C$526)^2+(D90-Sheet2!$D$526)^2+(E90-Sheet2!$E$526)^2+(F90-Sheet2!$F$526)^2+(G90-Sheet2!$G$526)^2+(H90-Sheet2!$H$526)^2+(I90-Sheet2!$I$526)^2+(J90-Sheet2!$J$526)^2+(K90-Sheet2!$K$526)^2+(L90-Sheet2!$L$526)^2)</f>
        <v>3.8598855995636114</v>
      </c>
      <c r="P90" s="12">
        <f t="shared" si="1"/>
        <v>0</v>
      </c>
      <c r="Q90" s="11">
        <f>IF(P90=Sheet1!$M90, 1, 0)</f>
        <v>1</v>
      </c>
    </row>
    <row r="91" spans="1:17" x14ac:dyDescent="0.35">
      <c r="A91" s="6" t="s">
        <v>103</v>
      </c>
      <c r="B91" s="6" t="s">
        <v>106</v>
      </c>
      <c r="C91" s="6">
        <v>-0.45671037059851349</v>
      </c>
      <c r="D91" s="6">
        <v>-0.24343327266231607</v>
      </c>
      <c r="E91" s="6">
        <v>0.54050918791766112</v>
      </c>
      <c r="F91" s="6">
        <v>4.9798800599589861E-2</v>
      </c>
      <c r="G91" s="6">
        <v>-0.12973147917378247</v>
      </c>
      <c r="H91" s="6">
        <v>-6.3140736630315067E-2</v>
      </c>
      <c r="I91" s="6">
        <v>-0.9675028823182531</v>
      </c>
      <c r="J91" s="6">
        <v>0.17480459922310504</v>
      </c>
      <c r="K91" s="6">
        <v>-0.72055173540387019</v>
      </c>
      <c r="L91" s="6">
        <v>-0.22078396022690097</v>
      </c>
      <c r="N91" s="8">
        <f>SQRT((C91-Sheet2!$C$525)^2+(D91-Sheet2!$D$525)^2+(E91-Sheet2!$E$525)^2+(F91-Sheet2!$F$525)^2+(G91-Sheet2!$G$525)^2+(H91-Sheet2!$H$525)^2+(I91-Sheet2!$I$525)^2+(J91-Sheet2!$J$525)^2+(K91-Sheet2!$K$525)^2+(L91-Sheet2!$L$525)^2)</f>
        <v>1.6919047536757086</v>
      </c>
      <c r="O91" s="8">
        <f>SQRT((C91-Sheet2!$C$526)^2+(D91-Sheet2!$D$526)^2+(E91-Sheet2!$E$526)^2+(F91-Sheet2!$F$526)^2+(G91-Sheet2!$G$526)^2+(H91-Sheet2!$H$526)^2+(I91-Sheet2!$I$526)^2+(J91-Sheet2!$J$526)^2+(K91-Sheet2!$K$526)^2+(L91-Sheet2!$L$526)^2)</f>
        <v>3.4932515457441555</v>
      </c>
      <c r="P91" s="12">
        <f t="shared" si="1"/>
        <v>0</v>
      </c>
      <c r="Q91" s="11">
        <f>IF(P91=Sheet1!$M91, 1, 0)</f>
        <v>1</v>
      </c>
    </row>
    <row r="92" spans="1:17" x14ac:dyDescent="0.35">
      <c r="A92" s="6" t="s">
        <v>103</v>
      </c>
      <c r="B92" s="6" t="s">
        <v>107</v>
      </c>
      <c r="C92" s="6">
        <v>-0.29835180279377166</v>
      </c>
      <c r="D92" s="6">
        <v>-0.19433106442198234</v>
      </c>
      <c r="E92" s="6">
        <v>-0.10786073433600168</v>
      </c>
      <c r="F92" s="6">
        <v>2.8229511499155757E-2</v>
      </c>
      <c r="G92" s="6">
        <v>0.2854702617576651</v>
      </c>
      <c r="H92" s="6">
        <v>0.13346082012558927</v>
      </c>
      <c r="I92" s="6">
        <v>-0.76860417958389315</v>
      </c>
      <c r="J92" s="6">
        <v>-0.30348205325197602</v>
      </c>
      <c r="K92" s="6">
        <v>-0.10241577826944974</v>
      </c>
      <c r="L92" s="6">
        <v>-0.20357774854321795</v>
      </c>
      <c r="N92" s="8">
        <f>SQRT((C92-Sheet2!$C$525)^2+(D92-Sheet2!$D$525)^2+(E92-Sheet2!$E$525)^2+(F92-Sheet2!$F$525)^2+(G92-Sheet2!$G$525)^2+(H92-Sheet2!$H$525)^2+(I92-Sheet2!$I$525)^2+(J92-Sheet2!$J$525)^2+(K92-Sheet2!$K$525)^2+(L92-Sheet2!$L$525)^2)</f>
        <v>1.0791376428357375</v>
      </c>
      <c r="O92" s="8">
        <f>SQRT((C92-Sheet2!$C$526)^2+(D92-Sheet2!$D$526)^2+(E92-Sheet2!$E$526)^2+(F92-Sheet2!$F$526)^2+(G92-Sheet2!$G$526)^2+(H92-Sheet2!$H$526)^2+(I92-Sheet2!$I$526)^2+(J92-Sheet2!$J$526)^2+(K92-Sheet2!$K$526)^2+(L92-Sheet2!$L$526)^2)</f>
        <v>3.6741370016691155</v>
      </c>
      <c r="P92" s="12">
        <f t="shared" si="1"/>
        <v>0</v>
      </c>
      <c r="Q92" s="11">
        <f>IF(P92=Sheet1!$M92, 1, 0)</f>
        <v>1</v>
      </c>
    </row>
    <row r="93" spans="1:17" x14ac:dyDescent="0.35">
      <c r="A93" s="6" t="s">
        <v>103</v>
      </c>
      <c r="B93" s="6" t="s">
        <v>108</v>
      </c>
      <c r="C93" s="6">
        <v>-1.0391478148973088</v>
      </c>
      <c r="D93" s="6">
        <v>8.8006632959936798E-2</v>
      </c>
      <c r="E93" s="6">
        <v>-0.55250987988155342</v>
      </c>
      <c r="F93" s="6">
        <v>-5.8047644902580652E-2</v>
      </c>
      <c r="G93" s="6">
        <v>0.48290885185093779</v>
      </c>
      <c r="H93" s="6">
        <v>0.64462486769093952</v>
      </c>
      <c r="I93" s="6">
        <v>-0.28538233127413493</v>
      </c>
      <c r="J93" s="6">
        <v>0.20137607991616521</v>
      </c>
      <c r="K93" s="6">
        <v>-1.0460511761227544</v>
      </c>
      <c r="L93" s="6">
        <v>-0.10692115547176984</v>
      </c>
      <c r="N93" s="8">
        <f>SQRT((C93-Sheet2!$C$525)^2+(D93-Sheet2!$D$525)^2+(E93-Sheet2!$E$525)^2+(F93-Sheet2!$F$525)^2+(G93-Sheet2!$G$525)^2+(H93-Sheet2!$H$525)^2+(I93-Sheet2!$I$525)^2+(J93-Sheet2!$J$525)^2+(K93-Sheet2!$K$525)^2+(L93-Sheet2!$L$525)^2)</f>
        <v>2.1340521137405308</v>
      </c>
      <c r="O93" s="8">
        <f>SQRT((C93-Sheet2!$C$526)^2+(D93-Sheet2!$D$526)^2+(E93-Sheet2!$E$526)^2+(F93-Sheet2!$F$526)^2+(G93-Sheet2!$G$526)^2+(H93-Sheet2!$H$526)^2+(I93-Sheet2!$I$526)^2+(J93-Sheet2!$J$526)^2+(K93-Sheet2!$K$526)^2+(L93-Sheet2!$L$526)^2)</f>
        <v>3.3150593072909542</v>
      </c>
      <c r="P93" s="12">
        <f t="shared" si="1"/>
        <v>0</v>
      </c>
      <c r="Q93" s="11">
        <f>IF(P93=Sheet1!$M93, 1, 0)</f>
        <v>1</v>
      </c>
    </row>
    <row r="94" spans="1:17" x14ac:dyDescent="0.35">
      <c r="A94" s="6" t="s">
        <v>103</v>
      </c>
      <c r="B94" s="6" t="s">
        <v>109</v>
      </c>
      <c r="C94" s="6">
        <v>-0.11852088681211596</v>
      </c>
      <c r="D94" s="6">
        <v>-0.93086418802698701</v>
      </c>
      <c r="E94" s="6">
        <v>-0.42799338344874771</v>
      </c>
      <c r="F94" s="6">
        <v>-0.77291551223125099</v>
      </c>
      <c r="G94" s="6">
        <v>-0.96303846971451312</v>
      </c>
      <c r="H94" s="6">
        <v>-0.37339415222319405</v>
      </c>
      <c r="I94" s="6">
        <v>4.9302985826950987E-2</v>
      </c>
      <c r="J94" s="6">
        <v>-1.3283820228414356</v>
      </c>
      <c r="K94" s="6">
        <v>0.27472540064041101</v>
      </c>
      <c r="L94" s="6">
        <v>-9.7770955368502291E-2</v>
      </c>
      <c r="N94" s="8">
        <f>SQRT((C94-Sheet2!$C$525)^2+(D94-Sheet2!$D$525)^2+(E94-Sheet2!$E$525)^2+(F94-Sheet2!$F$525)^2+(G94-Sheet2!$G$525)^2+(H94-Sheet2!$H$525)^2+(I94-Sheet2!$I$525)^2+(J94-Sheet2!$J$525)^2+(K94-Sheet2!$K$525)^2+(L94-Sheet2!$L$525)^2)</f>
        <v>1.5759005250256704</v>
      </c>
      <c r="O94" s="8">
        <f>SQRT((C94-Sheet2!$C$526)^2+(D94-Sheet2!$D$526)^2+(E94-Sheet2!$E$526)^2+(F94-Sheet2!$F$526)^2+(G94-Sheet2!$G$526)^2+(H94-Sheet2!$H$526)^2+(I94-Sheet2!$I$526)^2+(J94-Sheet2!$J$526)^2+(K94-Sheet2!$K$526)^2+(L94-Sheet2!$L$526)^2)</f>
        <v>5.215036248283285</v>
      </c>
      <c r="P94" s="12">
        <f t="shared" si="1"/>
        <v>0</v>
      </c>
      <c r="Q94" s="11">
        <f>IF(P94=Sheet1!$M94, 1, 0)</f>
        <v>1</v>
      </c>
    </row>
    <row r="95" spans="1:17" x14ac:dyDescent="0.35">
      <c r="A95" s="6" t="s">
        <v>103</v>
      </c>
      <c r="B95" s="6" t="s">
        <v>110</v>
      </c>
      <c r="C95" s="6">
        <v>-0.2044102795197725</v>
      </c>
      <c r="D95" s="6">
        <v>-0.26798437678248238</v>
      </c>
      <c r="E95" s="6">
        <v>-0.23053527076240493</v>
      </c>
      <c r="F95" s="6">
        <v>-0.27219987239974702</v>
      </c>
      <c r="G95" s="6">
        <v>-0.43169638166937696</v>
      </c>
      <c r="H95" s="6">
        <v>0.25249902298327331</v>
      </c>
      <c r="I95" s="6">
        <v>0.42223805345387583</v>
      </c>
      <c r="J95" s="6">
        <v>-0.96017721895188901</v>
      </c>
      <c r="K95" s="6">
        <v>0.69255400964013314</v>
      </c>
      <c r="L95" s="6">
        <v>0.18830844309298225</v>
      </c>
      <c r="N95" s="8">
        <f>SQRT((C95-Sheet2!$C$525)^2+(D95-Sheet2!$D$525)^2+(E95-Sheet2!$E$525)^2+(F95-Sheet2!$F$525)^2+(G95-Sheet2!$G$525)^2+(H95-Sheet2!$H$525)^2+(I95-Sheet2!$I$525)^2+(J95-Sheet2!$J$525)^2+(K95-Sheet2!$K$525)^2+(L95-Sheet2!$L$525)^2)</f>
        <v>1.2891720866088263</v>
      </c>
      <c r="O95" s="8">
        <f>SQRT((C95-Sheet2!$C$526)^2+(D95-Sheet2!$D$526)^2+(E95-Sheet2!$E$526)^2+(F95-Sheet2!$F$526)^2+(G95-Sheet2!$G$526)^2+(H95-Sheet2!$H$526)^2+(I95-Sheet2!$I$526)^2+(J95-Sheet2!$J$526)^2+(K95-Sheet2!$K$526)^2+(L95-Sheet2!$L$526)^2)</f>
        <v>4.1755648200310915</v>
      </c>
      <c r="P95" s="12">
        <f t="shared" si="1"/>
        <v>0</v>
      </c>
      <c r="Q95" s="11">
        <f>IF(P95=Sheet1!$M95, 1, 0)</f>
        <v>1</v>
      </c>
    </row>
    <row r="96" spans="1:17" x14ac:dyDescent="0.35">
      <c r="A96" s="6" t="s">
        <v>103</v>
      </c>
      <c r="B96" s="6" t="s">
        <v>111</v>
      </c>
      <c r="C96" s="6">
        <v>-0.75061313627002535</v>
      </c>
      <c r="D96" s="6">
        <v>-0.5196331940141925</v>
      </c>
      <c r="E96" s="6">
        <v>8.1492754322170291E-2</v>
      </c>
      <c r="F96" s="6">
        <v>-8.8860915046058253E-2</v>
      </c>
      <c r="G96" s="6">
        <v>0.10545272373144261</v>
      </c>
      <c r="H96" s="6">
        <v>0.33275554889184755</v>
      </c>
      <c r="I96" s="6">
        <v>-0.9668653864761555</v>
      </c>
      <c r="J96" s="6">
        <v>-0.84629944455306005</v>
      </c>
      <c r="K96" s="6">
        <v>0.18552603467417933</v>
      </c>
      <c r="L96" s="6">
        <v>-0.23750498958807276</v>
      </c>
      <c r="N96" s="8">
        <f>SQRT((C96-Sheet2!$C$525)^2+(D96-Sheet2!$D$525)^2+(E96-Sheet2!$E$525)^2+(F96-Sheet2!$F$525)^2+(G96-Sheet2!$G$525)^2+(H96-Sheet2!$H$525)^2+(I96-Sheet2!$I$525)^2+(J96-Sheet2!$J$525)^2+(K96-Sheet2!$K$525)^2+(L96-Sheet2!$L$525)^2)</f>
        <v>1.5645675036443345</v>
      </c>
      <c r="O96" s="8">
        <f>SQRT((C96-Sheet2!$C$526)^2+(D96-Sheet2!$D$526)^2+(E96-Sheet2!$E$526)^2+(F96-Sheet2!$F$526)^2+(G96-Sheet2!$G$526)^2+(H96-Sheet2!$H$526)^2+(I96-Sheet2!$I$526)^2+(J96-Sheet2!$J$526)^2+(K96-Sheet2!$K$526)^2+(L96-Sheet2!$L$526)^2)</f>
        <v>4.1526828430394609</v>
      </c>
      <c r="P96" s="12">
        <f t="shared" si="1"/>
        <v>0</v>
      </c>
      <c r="Q96" s="11">
        <f>IF(P96=Sheet1!$M96, 1, 0)</f>
        <v>1</v>
      </c>
    </row>
    <row r="97" spans="1:17" x14ac:dyDescent="0.35">
      <c r="A97" s="6" t="s">
        <v>103</v>
      </c>
      <c r="B97" s="6" t="s">
        <v>112</v>
      </c>
      <c r="C97" s="6">
        <v>-0.81100411551759621</v>
      </c>
      <c r="D97" s="6">
        <v>-9.6126647941314911E-2</v>
      </c>
      <c r="E97" s="6">
        <v>0.49556536376144134</v>
      </c>
      <c r="F97" s="6">
        <v>3.4392165527852153E-2</v>
      </c>
      <c r="G97" s="6">
        <v>-0.53041567671601542</v>
      </c>
      <c r="H97" s="6">
        <v>2.0347595690685127E-2</v>
      </c>
      <c r="I97" s="6">
        <v>-0.73354190826854149</v>
      </c>
      <c r="J97" s="6">
        <v>0.30386607687511136</v>
      </c>
      <c r="K97" s="6">
        <v>-0.92085908353856849</v>
      </c>
      <c r="L97" s="6">
        <v>-0.18451459659245587</v>
      </c>
      <c r="N97" s="8">
        <f>SQRT((C97-Sheet2!$C$525)^2+(D97-Sheet2!$D$525)^2+(E97-Sheet2!$E$525)^2+(F97-Sheet2!$F$525)^2+(G97-Sheet2!$G$525)^2+(H97-Sheet2!$H$525)^2+(I97-Sheet2!$I$525)^2+(J97-Sheet2!$J$525)^2+(K97-Sheet2!$K$525)^2+(L97-Sheet2!$L$525)^2)</f>
        <v>1.9235810514176022</v>
      </c>
      <c r="O97" s="8">
        <f>SQRT((C97-Sheet2!$C$526)^2+(D97-Sheet2!$D$526)^2+(E97-Sheet2!$E$526)^2+(F97-Sheet2!$F$526)^2+(G97-Sheet2!$G$526)^2+(H97-Sheet2!$H$526)^2+(I97-Sheet2!$I$526)^2+(J97-Sheet2!$J$526)^2+(K97-Sheet2!$K$526)^2+(L97-Sheet2!$L$526)^2)</f>
        <v>3.4206909823345932</v>
      </c>
      <c r="P97" s="12">
        <f t="shared" si="1"/>
        <v>0</v>
      </c>
      <c r="Q97" s="11">
        <f>IF(P97=Sheet1!$M97, 1, 0)</f>
        <v>1</v>
      </c>
    </row>
    <row r="98" spans="1:17" x14ac:dyDescent="0.35">
      <c r="A98" s="6" t="s">
        <v>103</v>
      </c>
      <c r="B98" s="6" t="s">
        <v>113</v>
      </c>
      <c r="C98" s="6">
        <v>-0.43658004418265645</v>
      </c>
      <c r="D98" s="6">
        <v>1.6961039528308641</v>
      </c>
      <c r="E98" s="6">
        <v>0.70554880449132074</v>
      </c>
      <c r="F98" s="6">
        <v>1.4163673314628027</v>
      </c>
      <c r="G98" s="6">
        <v>0.88649655807101446</v>
      </c>
      <c r="H98" s="6">
        <v>0.86277180052968216</v>
      </c>
      <c r="I98" s="6">
        <v>0.68169886118747913</v>
      </c>
      <c r="J98" s="6">
        <v>2.1259104672563729</v>
      </c>
      <c r="K98" s="6">
        <v>-0.99284453677447571</v>
      </c>
      <c r="L98" s="6">
        <v>-5.1163363581219333E-2</v>
      </c>
      <c r="N98" s="8">
        <f>SQRT((C98-Sheet2!$C$525)^2+(D98-Sheet2!$D$525)^2+(E98-Sheet2!$E$525)^2+(F98-Sheet2!$F$525)^2+(G98-Sheet2!$G$525)^2+(H98-Sheet2!$H$525)^2+(I98-Sheet2!$I$525)^2+(J98-Sheet2!$J$525)^2+(K98-Sheet2!$K$525)^2+(L98-Sheet2!$L$525)^2)</f>
        <v>4.3028649316067913</v>
      </c>
      <c r="O98" s="8">
        <f>SQRT((C98-Sheet2!$C$526)^2+(D98-Sheet2!$D$526)^2+(E98-Sheet2!$E$526)^2+(F98-Sheet2!$F$526)^2+(G98-Sheet2!$G$526)^2+(H98-Sheet2!$H$526)^2+(I98-Sheet2!$I$526)^2+(J98-Sheet2!$J$526)^2+(K98-Sheet2!$K$526)^2+(L98-Sheet2!$L$526)^2)</f>
        <v>1.5645379350546105</v>
      </c>
      <c r="P98" s="12">
        <f t="shared" si="1"/>
        <v>1</v>
      </c>
      <c r="Q98" s="11">
        <f>IF(P98=Sheet1!$M98, 1, 0)</f>
        <v>0</v>
      </c>
    </row>
    <row r="99" spans="1:17" x14ac:dyDescent="0.35">
      <c r="A99" s="6" t="s">
        <v>103</v>
      </c>
      <c r="B99" s="6" t="s">
        <v>114</v>
      </c>
      <c r="C99" s="6">
        <v>-1.1894542521357077</v>
      </c>
      <c r="D99" s="6">
        <v>1.1621174382172359</v>
      </c>
      <c r="E99" s="6">
        <v>4.7600690204365192E-2</v>
      </c>
      <c r="F99" s="6">
        <v>0.889460412009343</v>
      </c>
      <c r="G99" s="6">
        <v>0.74132112417890061</v>
      </c>
      <c r="H99" s="6">
        <v>-0.17032898264243782</v>
      </c>
      <c r="I99" s="6">
        <v>0.34510105656010126</v>
      </c>
      <c r="J99" s="6">
        <v>-0.78176870572705714</v>
      </c>
      <c r="K99" s="6">
        <v>-0.71116232846005589</v>
      </c>
      <c r="L99" s="6">
        <v>-0.35929480008127723</v>
      </c>
      <c r="N99" s="8">
        <f>SQRT((C99-Sheet2!$C$525)^2+(D99-Sheet2!$D$525)^2+(E99-Sheet2!$E$525)^2+(F99-Sheet2!$F$525)^2+(G99-Sheet2!$G$525)^2+(H99-Sheet2!$H$525)^2+(I99-Sheet2!$I$525)^2+(J99-Sheet2!$J$525)^2+(K99-Sheet2!$K$525)^2+(L99-Sheet2!$L$525)^2)</f>
        <v>2.7971164864701858</v>
      </c>
      <c r="O99" s="8">
        <f>SQRT((C99-Sheet2!$C$526)^2+(D99-Sheet2!$D$526)^2+(E99-Sheet2!$E$526)^2+(F99-Sheet2!$F$526)^2+(G99-Sheet2!$G$526)^2+(H99-Sheet2!$H$526)^2+(I99-Sheet2!$I$526)^2+(J99-Sheet2!$J$526)^2+(K99-Sheet2!$K$526)^2+(L99-Sheet2!$L$526)^2)</f>
        <v>2.9381875479300126</v>
      </c>
      <c r="P99" s="12">
        <f t="shared" si="1"/>
        <v>0</v>
      </c>
      <c r="Q99" s="11">
        <f>IF(P99=Sheet1!$M99, 1, 0)</f>
        <v>1</v>
      </c>
    </row>
    <row r="100" spans="1:17" x14ac:dyDescent="0.35">
      <c r="A100" s="6" t="s">
        <v>115</v>
      </c>
      <c r="B100" s="6" t="s">
        <v>116</v>
      </c>
      <c r="C100" s="6">
        <v>4.6547789797911132E-2</v>
      </c>
      <c r="D100" s="6">
        <v>0.16779772135047949</v>
      </c>
      <c r="E100" s="6">
        <v>-0.10491359832575776</v>
      </c>
      <c r="F100" s="6">
        <v>-5.0344327366711801E-2</v>
      </c>
      <c r="G100" s="6">
        <v>-0.41137182092448304</v>
      </c>
      <c r="H100" s="6">
        <v>0.2972056783551637</v>
      </c>
      <c r="I100" s="6">
        <v>-0.2139827969592363</v>
      </c>
      <c r="J100" s="6">
        <v>-0.18580835303985271</v>
      </c>
      <c r="K100" s="6">
        <v>7.7547854820316758E-2</v>
      </c>
      <c r="L100" s="6">
        <v>-0.24759592520056087</v>
      </c>
      <c r="N100" s="8">
        <f>SQRT((C100-Sheet2!$C$525)^2+(D100-Sheet2!$D$525)^2+(E100-Sheet2!$E$525)^2+(F100-Sheet2!$F$525)^2+(G100-Sheet2!$G$525)^2+(H100-Sheet2!$H$525)^2+(I100-Sheet2!$I$525)^2+(J100-Sheet2!$J$525)^2+(K100-Sheet2!$K$525)^2+(L100-Sheet2!$L$525)^2)</f>
        <v>0.80366129368361849</v>
      </c>
      <c r="O100" s="8">
        <f>SQRT((C100-Sheet2!$C$526)^2+(D100-Sheet2!$D$526)^2+(E100-Sheet2!$E$526)^2+(F100-Sheet2!$F$526)^2+(G100-Sheet2!$G$526)^2+(H100-Sheet2!$H$526)^2+(I100-Sheet2!$I$526)^2+(J100-Sheet2!$J$526)^2+(K100-Sheet2!$K$526)^2+(L100-Sheet2!$L$526)^2)</f>
        <v>3.598668932539161</v>
      </c>
      <c r="P100" s="12">
        <f t="shared" si="1"/>
        <v>0</v>
      </c>
      <c r="Q100" s="11">
        <f>IF(P100=Sheet1!$M100, 1, 0)</f>
        <v>1</v>
      </c>
    </row>
    <row r="101" spans="1:17" x14ac:dyDescent="0.35">
      <c r="A101" s="6" t="s">
        <v>115</v>
      </c>
      <c r="B101" s="6" t="s">
        <v>117</v>
      </c>
      <c r="C101" s="6">
        <v>0.32300427257568043</v>
      </c>
      <c r="D101" s="6">
        <v>-0.85107309963644484</v>
      </c>
      <c r="E101" s="6">
        <v>0.15848668258979276</v>
      </c>
      <c r="F101" s="6">
        <v>-0.42472555960995823</v>
      </c>
      <c r="G101" s="6">
        <v>-0.28652094777726311</v>
      </c>
      <c r="H101" s="6">
        <v>-0.49081645187466505</v>
      </c>
      <c r="I101" s="6">
        <v>-0.38993164937809321</v>
      </c>
      <c r="J101" s="6">
        <v>-0.7779727799137629</v>
      </c>
      <c r="K101" s="6">
        <v>3.3730622415853596E-2</v>
      </c>
      <c r="L101" s="6">
        <v>-2.2035854481114451E-2</v>
      </c>
      <c r="N101" s="8">
        <f>SQRT((C101-Sheet2!$C$525)^2+(D101-Sheet2!$D$525)^2+(E101-Sheet2!$E$525)^2+(F101-Sheet2!$F$525)^2+(G101-Sheet2!$G$525)^2+(H101-Sheet2!$H$525)^2+(I101-Sheet2!$I$525)^2+(J101-Sheet2!$J$525)^2+(K101-Sheet2!$K$525)^2+(L101-Sheet2!$L$525)^2)</f>
        <v>1.0008568920601573</v>
      </c>
      <c r="O101" s="8">
        <f>SQRT((C101-Sheet2!$C$526)^2+(D101-Sheet2!$D$526)^2+(E101-Sheet2!$E$526)^2+(F101-Sheet2!$F$526)^2+(G101-Sheet2!$G$526)^2+(H101-Sheet2!$H$526)^2+(I101-Sheet2!$I$526)^2+(J101-Sheet2!$J$526)^2+(K101-Sheet2!$K$526)^2+(L101-Sheet2!$L$526)^2)</f>
        <v>4.516682703104081</v>
      </c>
      <c r="P101" s="12">
        <f t="shared" si="1"/>
        <v>0</v>
      </c>
      <c r="Q101" s="11">
        <f>IF(P101=Sheet1!$M101, 1, 0)</f>
        <v>1</v>
      </c>
    </row>
    <row r="102" spans="1:17" x14ac:dyDescent="0.35">
      <c r="A102" s="6" t="s">
        <v>115</v>
      </c>
      <c r="B102" s="6" t="s">
        <v>118</v>
      </c>
      <c r="C102" s="6">
        <v>6.2871369661973075E-3</v>
      </c>
      <c r="D102" s="6">
        <v>-0.39073989738331666</v>
      </c>
      <c r="E102" s="6">
        <v>0.24690076289711041</v>
      </c>
      <c r="F102" s="6">
        <v>-0.16435342689757651</v>
      </c>
      <c r="G102" s="6">
        <v>-0.1848981440527851</v>
      </c>
      <c r="H102" s="6">
        <v>0.38500308589273158</v>
      </c>
      <c r="I102" s="6">
        <v>0.2768890014556899</v>
      </c>
      <c r="J102" s="6">
        <v>-1.1195765628315158E-2</v>
      </c>
      <c r="K102" s="6">
        <v>1.6516709685525842E-2</v>
      </c>
      <c r="L102" s="6">
        <v>0.46017492480743444</v>
      </c>
      <c r="N102" s="8">
        <f>SQRT((C102-Sheet2!$C$525)^2+(D102-Sheet2!$D$525)^2+(E102-Sheet2!$E$525)^2+(F102-Sheet2!$F$525)^2+(G102-Sheet2!$G$525)^2+(H102-Sheet2!$H$525)^2+(I102-Sheet2!$I$525)^2+(J102-Sheet2!$J$525)^2+(K102-Sheet2!$K$525)^2+(L102-Sheet2!$L$525)^2)</f>
        <v>1.1776099622323701</v>
      </c>
      <c r="O102" s="8">
        <f>SQRT((C102-Sheet2!$C$526)^2+(D102-Sheet2!$D$526)^2+(E102-Sheet2!$E$526)^2+(F102-Sheet2!$F$526)^2+(G102-Sheet2!$G$526)^2+(H102-Sheet2!$H$526)^2+(I102-Sheet2!$I$526)^2+(J102-Sheet2!$J$526)^2+(K102-Sheet2!$K$526)^2+(L102-Sheet2!$L$526)^2)</f>
        <v>3.3324154635091046</v>
      </c>
      <c r="P102" s="12">
        <f t="shared" si="1"/>
        <v>0</v>
      </c>
      <c r="Q102" s="11">
        <f>IF(P102=Sheet1!$M102, 1, 0)</f>
        <v>1</v>
      </c>
    </row>
    <row r="103" spans="1:17" x14ac:dyDescent="0.35">
      <c r="A103" s="6" t="s">
        <v>115</v>
      </c>
      <c r="B103" s="6" t="s">
        <v>119</v>
      </c>
      <c r="C103" s="6">
        <v>0.56188414604385017</v>
      </c>
      <c r="D103" s="6">
        <v>5.1179976779686241E-2</v>
      </c>
      <c r="E103" s="6">
        <v>-0.21727315871630729</v>
      </c>
      <c r="F103" s="6">
        <v>-0.36155835581583057</v>
      </c>
      <c r="G103" s="6">
        <v>-1.0153016259156762</v>
      </c>
      <c r="H103" s="6">
        <v>-0.36423736738798745</v>
      </c>
      <c r="I103" s="6">
        <v>-0.22099525122230665</v>
      </c>
      <c r="J103" s="6">
        <v>-0.55401315692939934</v>
      </c>
      <c r="K103" s="6">
        <v>1.18220062136209E-2</v>
      </c>
      <c r="L103" s="6">
        <v>-0.18725514538900762</v>
      </c>
      <c r="N103" s="8">
        <f>SQRT((C103-Sheet2!$C$525)^2+(D103-Sheet2!$D$525)^2+(E103-Sheet2!$E$525)^2+(F103-Sheet2!$F$525)^2+(G103-Sheet2!$G$525)^2+(H103-Sheet2!$H$525)^2+(I103-Sheet2!$I$525)^2+(J103-Sheet2!$J$525)^2+(K103-Sheet2!$K$525)^2+(L103-Sheet2!$L$525)^2)</f>
        <v>1.0328023103215271</v>
      </c>
      <c r="O103" s="8">
        <f>SQRT((C103-Sheet2!$C$526)^2+(D103-Sheet2!$D$526)^2+(E103-Sheet2!$E$526)^2+(F103-Sheet2!$F$526)^2+(G103-Sheet2!$G$526)^2+(H103-Sheet2!$H$526)^2+(I103-Sheet2!$I$526)^2+(J103-Sheet2!$J$526)^2+(K103-Sheet2!$K$526)^2+(L103-Sheet2!$L$526)^2)</f>
        <v>4.44527012152213</v>
      </c>
      <c r="P103" s="12">
        <f t="shared" si="1"/>
        <v>0</v>
      </c>
      <c r="Q103" s="11">
        <f>IF(P103=Sheet1!$M103, 1, 0)</f>
        <v>1</v>
      </c>
    </row>
    <row r="104" spans="1:17" x14ac:dyDescent="0.35">
      <c r="A104" s="6" t="s">
        <v>115</v>
      </c>
      <c r="B104" s="6" t="s">
        <v>120</v>
      </c>
      <c r="C104" s="6">
        <v>0.21698455345216711</v>
      </c>
      <c r="D104" s="6">
        <v>-0.55645985019444255</v>
      </c>
      <c r="E104" s="6">
        <v>-0.28542567895319798</v>
      </c>
      <c r="F104" s="6">
        <v>-0.44937617572473942</v>
      </c>
      <c r="G104" s="6">
        <v>-0.40556480356879548</v>
      </c>
      <c r="H104" s="6">
        <v>-0.42995076444064573</v>
      </c>
      <c r="I104" s="6">
        <v>-0.12664586659190502</v>
      </c>
      <c r="J104" s="6">
        <v>-0.86527907361953171</v>
      </c>
      <c r="K104" s="6">
        <v>0.16674722078655069</v>
      </c>
      <c r="L104" s="6">
        <v>-0.16572792752246332</v>
      </c>
      <c r="N104" s="8">
        <f>SQRT((C104-Sheet2!$C$525)^2+(D104-Sheet2!$D$525)^2+(E104-Sheet2!$E$525)^2+(F104-Sheet2!$F$525)^2+(G104-Sheet2!$G$525)^2+(H104-Sheet2!$H$525)^2+(I104-Sheet2!$I$525)^2+(J104-Sheet2!$J$525)^2+(K104-Sheet2!$K$525)^2+(L104-Sheet2!$L$525)^2)</f>
        <v>0.73573799803551476</v>
      </c>
      <c r="O104" s="8">
        <f>SQRT((C104-Sheet2!$C$526)^2+(D104-Sheet2!$D$526)^2+(E104-Sheet2!$E$526)^2+(F104-Sheet2!$F$526)^2+(G104-Sheet2!$G$526)^2+(H104-Sheet2!$H$526)^2+(I104-Sheet2!$I$526)^2+(J104-Sheet2!$J$526)^2+(K104-Sheet2!$K$526)^2+(L104-Sheet2!$L$526)^2)</f>
        <v>4.5576630311961273</v>
      </c>
      <c r="P104" s="12">
        <f t="shared" si="1"/>
        <v>0</v>
      </c>
      <c r="Q104" s="11">
        <f>IF(P104=Sheet1!$M104, 1, 0)</f>
        <v>1</v>
      </c>
    </row>
    <row r="105" spans="1:17" x14ac:dyDescent="0.35">
      <c r="A105" s="6" t="s">
        <v>115</v>
      </c>
      <c r="B105" s="6" t="s">
        <v>121</v>
      </c>
      <c r="C105" s="6">
        <v>0.47867879685830783</v>
      </c>
      <c r="D105" s="6">
        <v>-0.49508208989402569</v>
      </c>
      <c r="E105" s="6">
        <v>-6.8074398197708746E-2</v>
      </c>
      <c r="F105" s="6">
        <v>-0.28144385344279055</v>
      </c>
      <c r="G105" s="6">
        <v>-0.23716130025394391</v>
      </c>
      <c r="H105" s="6">
        <v>-0.33030340005751657</v>
      </c>
      <c r="I105" s="6">
        <v>-0.36761929490468698</v>
      </c>
      <c r="J105" s="6">
        <v>-0.40597205021092181</v>
      </c>
      <c r="K105" s="6">
        <v>-4.4514435449262854E-2</v>
      </c>
      <c r="L105" s="6">
        <v>0.50491377064235765</v>
      </c>
      <c r="N105" s="8">
        <f>SQRT((C105-Sheet2!$C$525)^2+(D105-Sheet2!$D$525)^2+(E105-Sheet2!$E$525)^2+(F105-Sheet2!$F$525)^2+(G105-Sheet2!$G$525)^2+(H105-Sheet2!$H$525)^2+(I105-Sheet2!$I$525)^2+(J105-Sheet2!$J$525)^2+(K105-Sheet2!$K$525)^2+(L105-Sheet2!$L$525)^2)</f>
        <v>0.87537625770487426</v>
      </c>
      <c r="O105" s="8">
        <f>SQRT((C105-Sheet2!$C$526)^2+(D105-Sheet2!$D$526)^2+(E105-Sheet2!$E$526)^2+(F105-Sheet2!$F$526)^2+(G105-Sheet2!$G$526)^2+(H105-Sheet2!$H$526)^2+(I105-Sheet2!$I$526)^2+(J105-Sheet2!$J$526)^2+(K105-Sheet2!$K$526)^2+(L105-Sheet2!$L$526)^2)</f>
        <v>4.1130109194856228</v>
      </c>
      <c r="P105" s="12">
        <f t="shared" si="1"/>
        <v>0</v>
      </c>
      <c r="Q105" s="11">
        <f>IF(P105=Sheet1!$M105, 1, 0)</f>
        <v>1</v>
      </c>
    </row>
    <row r="106" spans="1:17" x14ac:dyDescent="0.35">
      <c r="A106" s="6" t="s">
        <v>115</v>
      </c>
      <c r="B106" s="6" t="s">
        <v>122</v>
      </c>
      <c r="C106" s="6">
        <v>-0.2044102795197725</v>
      </c>
      <c r="D106" s="6">
        <v>-0.6116998344648179</v>
      </c>
      <c r="E106" s="6">
        <v>-0.17122415855624601</v>
      </c>
      <c r="F106" s="6">
        <v>-0.43088821363865459</v>
      </c>
      <c r="G106" s="6">
        <v>-0.17328410934141417</v>
      </c>
      <c r="H106" s="6">
        <v>-0.26943771262349647</v>
      </c>
      <c r="I106" s="6">
        <v>-0.52061829700804085</v>
      </c>
      <c r="J106" s="6">
        <v>-0.4629109374103364</v>
      </c>
      <c r="K106" s="6">
        <v>-0.61413845670731071</v>
      </c>
      <c r="L106" s="6">
        <v>-2.4999541176981343E-2</v>
      </c>
      <c r="N106" s="8">
        <f>SQRT((C106-Sheet2!$C$525)^2+(D106-Sheet2!$D$525)^2+(E106-Sheet2!$E$525)^2+(F106-Sheet2!$F$525)^2+(G106-Sheet2!$G$525)^2+(H106-Sheet2!$H$525)^2+(I106-Sheet2!$I$525)^2+(J106-Sheet2!$J$525)^2+(K106-Sheet2!$K$525)^2+(L106-Sheet2!$L$525)^2)</f>
        <v>1.012050706392092</v>
      </c>
      <c r="O106" s="8">
        <f>SQRT((C106-Sheet2!$C$526)^2+(D106-Sheet2!$D$526)^2+(E106-Sheet2!$E$526)^2+(F106-Sheet2!$F$526)^2+(G106-Sheet2!$G$526)^2+(H106-Sheet2!$H$526)^2+(I106-Sheet2!$I$526)^2+(J106-Sheet2!$J$526)^2+(K106-Sheet2!$K$526)^2+(L106-Sheet2!$L$526)^2)</f>
        <v>4.1822113906279128</v>
      </c>
      <c r="P106" s="12">
        <f t="shared" si="1"/>
        <v>0</v>
      </c>
      <c r="Q106" s="11">
        <f>IF(P106=Sheet1!$M106, 1, 0)</f>
        <v>1</v>
      </c>
    </row>
    <row r="107" spans="1:17" x14ac:dyDescent="0.35">
      <c r="A107" s="6" t="s">
        <v>115</v>
      </c>
      <c r="B107" s="6" t="s">
        <v>123</v>
      </c>
      <c r="C107" s="6">
        <v>-0.1547554743606587</v>
      </c>
      <c r="D107" s="6">
        <v>-0.36005101723310823</v>
      </c>
      <c r="E107" s="6">
        <v>-0.6409239601888711</v>
      </c>
      <c r="F107" s="6">
        <v>-0.70666698142277395</v>
      </c>
      <c r="G107" s="6">
        <v>-0.75108233623202991</v>
      </c>
      <c r="H107" s="6">
        <v>-1.1312527559370484</v>
      </c>
      <c r="I107" s="6">
        <v>-0.51105585937658093</v>
      </c>
      <c r="J107" s="6">
        <v>-0.69446241202128833</v>
      </c>
      <c r="K107" s="6">
        <v>1.0493514735050644</v>
      </c>
      <c r="L107" s="6">
        <v>-0.33388025213452982</v>
      </c>
      <c r="N107" s="8">
        <f>SQRT((C107-Sheet2!$C$525)^2+(D107-Sheet2!$D$525)^2+(E107-Sheet2!$E$525)^2+(F107-Sheet2!$F$525)^2+(G107-Sheet2!$G$525)^2+(H107-Sheet2!$H$525)^2+(I107-Sheet2!$I$525)^2+(J107-Sheet2!$J$525)^2+(K107-Sheet2!$K$525)^2+(L107-Sheet2!$L$525)^2)</f>
        <v>1.6428413994127908</v>
      </c>
      <c r="O107" s="8">
        <f>SQRT((C107-Sheet2!$C$526)^2+(D107-Sheet2!$D$526)^2+(E107-Sheet2!$E$526)^2+(F107-Sheet2!$F$526)^2+(G107-Sheet2!$G$526)^2+(H107-Sheet2!$H$526)^2+(I107-Sheet2!$I$526)^2+(J107-Sheet2!$J$526)^2+(K107-Sheet2!$K$526)^2+(L107-Sheet2!$L$526)^2)</f>
        <v>5.2707487412244571</v>
      </c>
      <c r="P107" s="12">
        <f t="shared" si="1"/>
        <v>0</v>
      </c>
      <c r="Q107" s="11">
        <f>IF(P107=Sheet1!$M107, 1, 0)</f>
        <v>1</v>
      </c>
    </row>
    <row r="108" spans="1:17" x14ac:dyDescent="0.35">
      <c r="A108" s="6" t="s">
        <v>115</v>
      </c>
      <c r="B108" s="6" t="s">
        <v>124</v>
      </c>
      <c r="C108" s="6">
        <v>-0.22454060593562952</v>
      </c>
      <c r="D108" s="6">
        <v>-0.5380465221043178</v>
      </c>
      <c r="E108" s="6">
        <v>0.44435887558345316</v>
      </c>
      <c r="F108" s="6">
        <v>-5.3425654381058903E-2</v>
      </c>
      <c r="G108" s="6">
        <v>-0.14134551388514929</v>
      </c>
      <c r="H108" s="6">
        <v>0.35861000019125433</v>
      </c>
      <c r="I108" s="6">
        <v>0.52168740482105491</v>
      </c>
      <c r="J108" s="6">
        <v>-0.71344204108775977</v>
      </c>
      <c r="K108" s="6">
        <v>0.28880951105613251</v>
      </c>
      <c r="L108" s="6">
        <v>-0.23847644077404145</v>
      </c>
      <c r="N108" s="8">
        <f>SQRT((C108-Sheet2!$C$525)^2+(D108-Sheet2!$D$525)^2+(E108-Sheet2!$E$525)^2+(F108-Sheet2!$F$525)^2+(G108-Sheet2!$G$525)^2+(H108-Sheet2!$H$525)^2+(I108-Sheet2!$I$525)^2+(J108-Sheet2!$J$525)^2+(K108-Sheet2!$K$525)^2+(L108-Sheet2!$L$525)^2)</f>
        <v>1.369893163111934</v>
      </c>
      <c r="O108" s="8">
        <f>SQRT((C108-Sheet2!$C$526)^2+(D108-Sheet2!$D$526)^2+(E108-Sheet2!$E$526)^2+(F108-Sheet2!$F$526)^2+(G108-Sheet2!$G$526)^2+(H108-Sheet2!$H$526)^2+(I108-Sheet2!$I$526)^2+(J108-Sheet2!$J$526)^2+(K108-Sheet2!$K$526)^2+(L108-Sheet2!$L$526)^2)</f>
        <v>3.7154894116701995</v>
      </c>
      <c r="P108" s="12">
        <f t="shared" si="1"/>
        <v>0</v>
      </c>
      <c r="Q108" s="11">
        <f>IF(P108=Sheet1!$M108, 1, 0)</f>
        <v>1</v>
      </c>
    </row>
    <row r="109" spans="1:17" x14ac:dyDescent="0.35">
      <c r="A109" s="6" t="s">
        <v>115</v>
      </c>
      <c r="B109" s="6" t="s">
        <v>125</v>
      </c>
      <c r="C109" s="6">
        <v>0.20759040112476715</v>
      </c>
      <c r="D109" s="6">
        <v>-0.34777546517302454</v>
      </c>
      <c r="E109" s="6">
        <v>4.7600690204365192E-2</v>
      </c>
      <c r="F109" s="6">
        <v>-0.42472555960995823</v>
      </c>
      <c r="G109" s="6">
        <v>-1.1778981118748444</v>
      </c>
      <c r="H109" s="6">
        <v>-0.49997323670987165</v>
      </c>
      <c r="I109" s="6">
        <v>-0.80366645089924482</v>
      </c>
      <c r="J109" s="6">
        <v>-0.75519722503399711</v>
      </c>
      <c r="K109" s="6">
        <v>-0.15405751646042634</v>
      </c>
      <c r="L109" s="6">
        <v>-0.29647846209393397</v>
      </c>
      <c r="N109" s="8">
        <f>SQRT((C109-Sheet2!$C$525)^2+(D109-Sheet2!$D$525)^2+(E109-Sheet2!$E$525)^2+(F109-Sheet2!$F$525)^2+(G109-Sheet2!$G$525)^2+(H109-Sheet2!$H$525)^2+(I109-Sheet2!$I$525)^2+(J109-Sheet2!$J$525)^2+(K109-Sheet2!$K$525)^2+(L109-Sheet2!$L$525)^2)</f>
        <v>1.3820614767868133</v>
      </c>
      <c r="O109" s="8">
        <f>SQRT((C109-Sheet2!$C$526)^2+(D109-Sheet2!$D$526)^2+(E109-Sheet2!$E$526)^2+(F109-Sheet2!$F$526)^2+(G109-Sheet2!$G$526)^2+(H109-Sheet2!$H$526)^2+(I109-Sheet2!$I$526)^2+(J109-Sheet2!$J$526)^2+(K109-Sheet2!$K$526)^2+(L109-Sheet2!$L$526)^2)</f>
        <v>4.7816653206267601</v>
      </c>
      <c r="P109" s="12">
        <f t="shared" si="1"/>
        <v>0</v>
      </c>
      <c r="Q109" s="11">
        <f>IF(P109=Sheet1!$M109, 1, 0)</f>
        <v>1</v>
      </c>
    </row>
    <row r="110" spans="1:17" x14ac:dyDescent="0.35">
      <c r="A110" s="6" t="s">
        <v>115</v>
      </c>
      <c r="B110" s="6" t="s">
        <v>126</v>
      </c>
      <c r="C110" s="6">
        <v>0.14451537835508185</v>
      </c>
      <c r="D110" s="6">
        <v>-0.48894431386398413</v>
      </c>
      <c r="E110" s="6">
        <v>-0.3406844791452715</v>
      </c>
      <c r="F110" s="6">
        <v>-0.69896366388690512</v>
      </c>
      <c r="G110" s="6">
        <v>-1.3143630197334311</v>
      </c>
      <c r="H110" s="6">
        <v>-1.3736382368689848</v>
      </c>
      <c r="I110" s="6">
        <v>-2.1207328606722804</v>
      </c>
      <c r="J110" s="6">
        <v>-1.0057283287114205</v>
      </c>
      <c r="K110" s="6">
        <v>0.4437347256290623</v>
      </c>
      <c r="L110" s="6">
        <v>-0.38359363763643073</v>
      </c>
      <c r="N110" s="8">
        <f>SQRT((C110-Sheet2!$C$525)^2+(D110-Sheet2!$D$525)^2+(E110-Sheet2!$E$525)^2+(F110-Sheet2!$F$525)^2+(G110-Sheet2!$G$525)^2+(H110-Sheet2!$H$525)^2+(I110-Sheet2!$I$525)^2+(J110-Sheet2!$J$525)^2+(K110-Sheet2!$K$525)^2+(L110-Sheet2!$L$525)^2)</f>
        <v>2.6967862150834092</v>
      </c>
      <c r="O110" s="8">
        <f>SQRT((C110-Sheet2!$C$526)^2+(D110-Sheet2!$D$526)^2+(E110-Sheet2!$E$526)^2+(F110-Sheet2!$F$526)^2+(G110-Sheet2!$G$526)^2+(H110-Sheet2!$H$526)^2+(I110-Sheet2!$I$526)^2+(J110-Sheet2!$J$526)^2+(K110-Sheet2!$K$526)^2+(L110-Sheet2!$L$526)^2)</f>
        <v>6.0987687430023083</v>
      </c>
      <c r="P110" s="12">
        <f t="shared" si="1"/>
        <v>0</v>
      </c>
      <c r="Q110" s="11">
        <f>IF(P110=Sheet1!$M110, 1, 0)</f>
        <v>1</v>
      </c>
    </row>
    <row r="111" spans="1:17" x14ac:dyDescent="0.35">
      <c r="A111" s="6" t="s">
        <v>115</v>
      </c>
      <c r="B111" s="6" t="s">
        <v>127</v>
      </c>
      <c r="C111" s="6">
        <v>8.5466420868568094E-2</v>
      </c>
      <c r="D111" s="6">
        <v>-0.85107309963644484</v>
      </c>
      <c r="E111" s="6">
        <v>-0.7790709606690549</v>
      </c>
      <c r="F111" s="6">
        <v>-0.77753750275277267</v>
      </c>
      <c r="G111" s="6">
        <v>-0.38524024282390151</v>
      </c>
      <c r="H111" s="6">
        <v>0.92148295035541805</v>
      </c>
      <c r="I111" s="6">
        <v>0.15002732887832532</v>
      </c>
      <c r="J111" s="6">
        <v>-0.55021723111610521</v>
      </c>
      <c r="K111" s="6">
        <v>0.57362152168515534</v>
      </c>
      <c r="L111" s="6">
        <v>-0.35822821387746212</v>
      </c>
      <c r="N111" s="8">
        <f>SQRT((C111-Sheet2!$C$525)^2+(D111-Sheet2!$D$525)^2+(E111-Sheet2!$E$525)^2+(F111-Sheet2!$F$525)^2+(G111-Sheet2!$G$525)^2+(H111-Sheet2!$H$525)^2+(I111-Sheet2!$I$525)^2+(J111-Sheet2!$J$525)^2+(K111-Sheet2!$K$525)^2+(L111-Sheet2!$L$525)^2)</f>
        <v>1.5413185162413692</v>
      </c>
      <c r="O111" s="8">
        <f>SQRT((C111-Sheet2!$C$526)^2+(D111-Sheet2!$D$526)^2+(E111-Sheet2!$E$526)^2+(F111-Sheet2!$F$526)^2+(G111-Sheet2!$G$526)^2+(H111-Sheet2!$H$526)^2+(I111-Sheet2!$I$526)^2+(J111-Sheet2!$J$526)^2+(K111-Sheet2!$K$526)^2+(L111-Sheet2!$L$526)^2)</f>
        <v>4.7996401215438214</v>
      </c>
      <c r="P111" s="12">
        <f t="shared" si="1"/>
        <v>0</v>
      </c>
      <c r="Q111" s="11">
        <f>IF(P111=Sheet1!$M111, 1, 0)</f>
        <v>1</v>
      </c>
    </row>
    <row r="112" spans="1:17" x14ac:dyDescent="0.35">
      <c r="A112" s="6" t="s">
        <v>115</v>
      </c>
      <c r="B112" s="6" t="s">
        <v>128</v>
      </c>
      <c r="C112" s="6">
        <v>1.0517220888297032</v>
      </c>
      <c r="D112" s="6">
        <v>-0.82652199551627803</v>
      </c>
      <c r="E112" s="6">
        <v>-0.17306611856264845</v>
      </c>
      <c r="F112" s="6">
        <v>-0.76983418521690161</v>
      </c>
      <c r="G112" s="6">
        <v>-1.1314419730293648</v>
      </c>
      <c r="H112" s="6">
        <v>-0.6087773859282074</v>
      </c>
      <c r="I112" s="6">
        <v>-0.30641969406334596</v>
      </c>
      <c r="J112" s="6">
        <v>0.63031569681842048</v>
      </c>
      <c r="K112" s="6">
        <v>3.5295523573154505E-2</v>
      </c>
      <c r="L112" s="6">
        <v>-0.3397014788338279</v>
      </c>
      <c r="N112" s="8">
        <f>SQRT((C112-Sheet2!$C$525)^2+(D112-Sheet2!$D$525)^2+(E112-Sheet2!$E$525)^2+(F112-Sheet2!$F$525)^2+(G112-Sheet2!$G$525)^2+(H112-Sheet2!$H$525)^2+(I112-Sheet2!$I$525)^2+(J112-Sheet2!$J$525)^2+(K112-Sheet2!$K$525)^2+(L112-Sheet2!$L$525)^2)</f>
        <v>1.7739691005073401</v>
      </c>
      <c r="O112" s="8">
        <f>SQRT((C112-Sheet2!$C$526)^2+(D112-Sheet2!$D$526)^2+(E112-Sheet2!$E$526)^2+(F112-Sheet2!$F$526)^2+(G112-Sheet2!$G$526)^2+(H112-Sheet2!$H$526)^2+(I112-Sheet2!$I$526)^2+(J112-Sheet2!$J$526)^2+(K112-Sheet2!$K$526)^2+(L112-Sheet2!$L$526)^2)</f>
        <v>4.9758720217926857</v>
      </c>
      <c r="P112" s="12">
        <f t="shared" si="1"/>
        <v>0</v>
      </c>
      <c r="Q112" s="11">
        <f>IF(P112=Sheet1!$M112, 1, 0)</f>
        <v>0</v>
      </c>
    </row>
    <row r="113" spans="1:17" x14ac:dyDescent="0.35">
      <c r="A113" s="6" t="s">
        <v>115</v>
      </c>
      <c r="B113" s="6" t="s">
        <v>129</v>
      </c>
      <c r="C113" s="6">
        <v>-0.12523099561740172</v>
      </c>
      <c r="D113" s="6">
        <v>1.4199040314789877</v>
      </c>
      <c r="E113" s="6">
        <v>1.6132666956464488</v>
      </c>
      <c r="F113" s="6">
        <v>1.3547407911758476</v>
      </c>
      <c r="G113" s="6">
        <v>0.39290008283783068</v>
      </c>
      <c r="H113" s="6">
        <v>0.91609660633470791</v>
      </c>
      <c r="I113" s="6">
        <v>0.78369819592304879</v>
      </c>
      <c r="J113" s="6">
        <v>1.9171345475251862</v>
      </c>
      <c r="K113" s="6">
        <v>-0.86608754303298674</v>
      </c>
      <c r="L113" s="6">
        <v>1.7820549147100104</v>
      </c>
      <c r="N113" s="8">
        <f>SQRT((C113-Sheet2!$C$525)^2+(D113-Sheet2!$D$525)^2+(E113-Sheet2!$E$525)^2+(F113-Sheet2!$F$525)^2+(G113-Sheet2!$G$525)^2+(H113-Sheet2!$H$525)^2+(I113-Sheet2!$I$525)^2+(J113-Sheet2!$J$525)^2+(K113-Sheet2!$K$525)^2+(L113-Sheet2!$L$525)^2)</f>
        <v>4.6595949574116631</v>
      </c>
      <c r="O113" s="8">
        <f>SQRT((C113-Sheet2!$C$526)^2+(D113-Sheet2!$D$526)^2+(E113-Sheet2!$E$526)^2+(F113-Sheet2!$F$526)^2+(G113-Sheet2!$G$526)^2+(H113-Sheet2!$H$526)^2+(I113-Sheet2!$I$526)^2+(J113-Sheet2!$J$526)^2+(K113-Sheet2!$K$526)^2+(L113-Sheet2!$L$526)^2)</f>
        <v>1.5618317695468755</v>
      </c>
      <c r="P113" s="12">
        <f t="shared" si="1"/>
        <v>1</v>
      </c>
      <c r="Q113" s="11">
        <f>IF(P113=Sheet1!$M113, 1, 0)</f>
        <v>0</v>
      </c>
    </row>
    <row r="114" spans="1:17" x14ac:dyDescent="0.35">
      <c r="A114" s="6" t="s">
        <v>115</v>
      </c>
      <c r="B114" s="6" t="s">
        <v>130</v>
      </c>
      <c r="C114" s="6">
        <v>-9.8171241664884133E-3</v>
      </c>
      <c r="D114" s="6">
        <v>0.94115750113573471</v>
      </c>
      <c r="E114" s="6">
        <v>0.89416550914693171</v>
      </c>
      <c r="F114" s="6">
        <v>0.73077207077043549</v>
      </c>
      <c r="G114" s="6">
        <v>0.2361106142343459</v>
      </c>
      <c r="H114" s="6">
        <v>0.97642365936665676</v>
      </c>
      <c r="I114" s="6">
        <v>0.55037471771543389</v>
      </c>
      <c r="J114" s="6">
        <v>0.30386607687511136</v>
      </c>
      <c r="K114" s="6">
        <v>-8.5217088313108893E-3</v>
      </c>
      <c r="L114" s="6">
        <v>-0.34314027645343559</v>
      </c>
      <c r="N114" s="8">
        <f>SQRT((C114-Sheet2!$C$525)^2+(D114-Sheet2!$D$525)^2+(E114-Sheet2!$E$525)^2+(F114-Sheet2!$F$525)^2+(G114-Sheet2!$G$525)^2+(H114-Sheet2!$H$525)^2+(I114-Sheet2!$I$525)^2+(J114-Sheet2!$J$525)^2+(K114-Sheet2!$K$525)^2+(L114-Sheet2!$L$525)^2)</f>
        <v>2.5738087733025448</v>
      </c>
      <c r="O114" s="8">
        <f>SQRT((C114-Sheet2!$C$526)^2+(D114-Sheet2!$D$526)^2+(E114-Sheet2!$E$526)^2+(F114-Sheet2!$F$526)^2+(G114-Sheet2!$G$526)^2+(H114-Sheet2!$H$526)^2+(I114-Sheet2!$I$526)^2+(J114-Sheet2!$J$526)^2+(K114-Sheet2!$K$526)^2+(L114-Sheet2!$L$526)^2)</f>
        <v>2.0967208505125314</v>
      </c>
      <c r="P114" s="12">
        <f t="shared" si="1"/>
        <v>1</v>
      </c>
      <c r="Q114" s="11">
        <f>IF(P114=Sheet1!$M114, 1, 0)</f>
        <v>0</v>
      </c>
    </row>
    <row r="115" spans="1:17" x14ac:dyDescent="0.35">
      <c r="A115" s="6" t="s">
        <v>115</v>
      </c>
      <c r="B115" s="6" t="s">
        <v>131</v>
      </c>
      <c r="C115" s="6">
        <v>-0.38558321726248529</v>
      </c>
      <c r="D115" s="6">
        <v>0.59130426742335718</v>
      </c>
      <c r="E115" s="6">
        <v>-0.53335349581496794</v>
      </c>
      <c r="F115" s="6">
        <v>-0.19208537002670484</v>
      </c>
      <c r="G115" s="6">
        <v>-0.81495952714455966</v>
      </c>
      <c r="H115" s="6">
        <v>-0.99874869302759006</v>
      </c>
      <c r="I115" s="6">
        <v>0.51148747134749817</v>
      </c>
      <c r="J115" s="6">
        <v>-1.2980146163350814</v>
      </c>
      <c r="K115" s="6">
        <v>0.74106594551650573</v>
      </c>
      <c r="L115" s="6">
        <v>-0.41020327614889868</v>
      </c>
      <c r="N115" s="8">
        <f>SQRT((C115-Sheet2!$C$525)^2+(D115-Sheet2!$D$525)^2+(E115-Sheet2!$E$525)^2+(F115-Sheet2!$F$525)^2+(G115-Sheet2!$G$525)^2+(H115-Sheet2!$H$525)^2+(I115-Sheet2!$I$525)^2+(J115-Sheet2!$J$525)^2+(K115-Sheet2!$K$525)^2+(L115-Sheet2!$L$525)^2)</f>
        <v>2.0398280054821911</v>
      </c>
      <c r="O115" s="8">
        <f>SQRT((C115-Sheet2!$C$526)^2+(D115-Sheet2!$D$526)^2+(E115-Sheet2!$E$526)^2+(F115-Sheet2!$F$526)^2+(G115-Sheet2!$G$526)^2+(H115-Sheet2!$H$526)^2+(I115-Sheet2!$I$526)^2+(J115-Sheet2!$J$526)^2+(K115-Sheet2!$K$526)^2+(L115-Sheet2!$L$526)^2)</f>
        <v>4.7808114402328998</v>
      </c>
      <c r="P115" s="12">
        <f t="shared" si="1"/>
        <v>0</v>
      </c>
      <c r="Q115" s="11">
        <f>IF(P115=Sheet1!$M115, 1, 0)</f>
        <v>1</v>
      </c>
    </row>
    <row r="116" spans="1:17" x14ac:dyDescent="0.35">
      <c r="A116" s="6" t="s">
        <v>115</v>
      </c>
      <c r="B116" s="6" t="s">
        <v>132</v>
      </c>
      <c r="C116" s="6">
        <v>0.12841111722239637</v>
      </c>
      <c r="D116" s="6">
        <v>0.89819306892544259</v>
      </c>
      <c r="E116" s="6">
        <v>1.0838873898063841</v>
      </c>
      <c r="F116" s="6">
        <v>0.7646666679282601</v>
      </c>
      <c r="G116" s="6">
        <v>-7.7468322972619519E-2</v>
      </c>
      <c r="H116" s="6">
        <v>0.4469460421308934</v>
      </c>
      <c r="I116" s="6">
        <v>0.69891124892410617</v>
      </c>
      <c r="J116" s="6">
        <v>0.45949903522017715</v>
      </c>
      <c r="K116" s="6">
        <v>0.64717187607836468</v>
      </c>
      <c r="L116" s="6">
        <v>-0.36553421967475019</v>
      </c>
      <c r="N116" s="8">
        <f>SQRT((C116-Sheet2!$C$525)^2+(D116-Sheet2!$D$525)^2+(E116-Sheet2!$E$525)^2+(F116-Sheet2!$F$525)^2+(G116-Sheet2!$G$525)^2+(H116-Sheet2!$H$525)^2+(I116-Sheet2!$I$525)^2+(J116-Sheet2!$J$525)^2+(K116-Sheet2!$K$525)^2+(L116-Sheet2!$L$525)^2)</f>
        <v>2.5709150691016616</v>
      </c>
      <c r="O116" s="8">
        <f>SQRT((C116-Sheet2!$C$526)^2+(D116-Sheet2!$D$526)^2+(E116-Sheet2!$E$526)^2+(F116-Sheet2!$F$526)^2+(G116-Sheet2!$G$526)^2+(H116-Sheet2!$H$526)^2+(I116-Sheet2!$I$526)^2+(J116-Sheet2!$J$526)^2+(K116-Sheet2!$K$526)^2+(L116-Sheet2!$L$526)^2)</f>
        <v>2.4656308714958617</v>
      </c>
      <c r="P116" s="12">
        <f t="shared" si="1"/>
        <v>1</v>
      </c>
      <c r="Q116" s="11">
        <f>IF(P116=Sheet1!$M116, 1, 0)</f>
        <v>0</v>
      </c>
    </row>
    <row r="117" spans="1:17" x14ac:dyDescent="0.35">
      <c r="A117" s="6" t="s">
        <v>133</v>
      </c>
      <c r="B117" s="6" t="s">
        <v>134</v>
      </c>
      <c r="C117" s="6">
        <v>0.79002784542356252</v>
      </c>
      <c r="D117" s="6">
        <v>0.51151317903281446</v>
      </c>
      <c r="E117" s="6">
        <v>-0.15059420648453856</v>
      </c>
      <c r="F117" s="6">
        <v>0.12683197595828277</v>
      </c>
      <c r="G117" s="6">
        <v>-0.50138058993759016</v>
      </c>
      <c r="H117" s="6">
        <v>-0.13262457449747053</v>
      </c>
      <c r="I117" s="6">
        <v>-1.7159230009404907</v>
      </c>
      <c r="J117" s="6">
        <v>-0.95258536732530041</v>
      </c>
      <c r="K117" s="6">
        <v>0.70194341658394743</v>
      </c>
      <c r="L117" s="6">
        <v>-0.3807400676864568</v>
      </c>
      <c r="N117" s="8">
        <f>SQRT((C117-Sheet2!$C$525)^2+(D117-Sheet2!$D$525)^2+(E117-Sheet2!$E$525)^2+(F117-Sheet2!$F$525)^2+(G117-Sheet2!$G$525)^2+(H117-Sheet2!$H$525)^2+(I117-Sheet2!$I$525)^2+(J117-Sheet2!$J$525)^2+(K117-Sheet2!$K$525)^2+(L117-Sheet2!$L$525)^2)</f>
        <v>2.1386917773684209</v>
      </c>
      <c r="O117" s="8">
        <f>SQRT((C117-Sheet2!$C$526)^2+(D117-Sheet2!$D$526)^2+(E117-Sheet2!$E$526)^2+(F117-Sheet2!$F$526)^2+(G117-Sheet2!$G$526)^2+(H117-Sheet2!$H$526)^2+(I117-Sheet2!$I$526)^2+(J117-Sheet2!$J$526)^2+(K117-Sheet2!$K$526)^2+(L117-Sheet2!$L$526)^2)</f>
        <v>4.8932437379285938</v>
      </c>
      <c r="P117" s="12">
        <f t="shared" si="1"/>
        <v>0</v>
      </c>
      <c r="Q117" s="11">
        <f>IF(P117=Sheet1!$M117, 1, 0)</f>
        <v>1</v>
      </c>
    </row>
    <row r="118" spans="1:17" x14ac:dyDescent="0.35">
      <c r="A118" s="6" t="s">
        <v>133</v>
      </c>
      <c r="B118" s="6" t="s">
        <v>135</v>
      </c>
      <c r="C118" s="6">
        <v>0.48002081861936491</v>
      </c>
      <c r="D118" s="6">
        <v>-6.5437767791105925E-2</v>
      </c>
      <c r="E118" s="6">
        <v>-6.5866196337902743E-4</v>
      </c>
      <c r="F118" s="6">
        <v>0.12991330297262987</v>
      </c>
      <c r="G118" s="6">
        <v>-0.26329287835452542</v>
      </c>
      <c r="H118" s="6">
        <v>-0.30714212076846453</v>
      </c>
      <c r="I118" s="6">
        <v>-1.2792383491038359</v>
      </c>
      <c r="J118" s="6">
        <v>-0.99054462545824329</v>
      </c>
      <c r="K118" s="6">
        <v>1.0368322642466461</v>
      </c>
      <c r="L118" s="6">
        <v>-0.32783966953421007</v>
      </c>
      <c r="N118" s="8">
        <f>SQRT((C118-Sheet2!$C$525)^2+(D118-Sheet2!$D$525)^2+(E118-Sheet2!$E$525)^2+(F118-Sheet2!$F$525)^2+(G118-Sheet2!$G$525)^2+(H118-Sheet2!$H$525)^2+(I118-Sheet2!$I$525)^2+(J118-Sheet2!$J$525)^2+(K118-Sheet2!$K$525)^2+(L118-Sheet2!$L$525)^2)</f>
        <v>1.7470676184201122</v>
      </c>
      <c r="O118" s="8">
        <f>SQRT((C118-Sheet2!$C$526)^2+(D118-Sheet2!$D$526)^2+(E118-Sheet2!$E$526)^2+(F118-Sheet2!$F$526)^2+(G118-Sheet2!$G$526)^2+(H118-Sheet2!$H$526)^2+(I118-Sheet2!$I$526)^2+(J118-Sheet2!$J$526)^2+(K118-Sheet2!$K$526)^2+(L118-Sheet2!$L$526)^2)</f>
        <v>4.7660040015257756</v>
      </c>
      <c r="P118" s="12">
        <f t="shared" si="1"/>
        <v>0</v>
      </c>
      <c r="Q118" s="11">
        <f>IF(P118=Sheet1!$M118, 1, 0)</f>
        <v>1</v>
      </c>
    </row>
    <row r="119" spans="1:17" x14ac:dyDescent="0.35">
      <c r="A119" s="6" t="s">
        <v>133</v>
      </c>
      <c r="B119" s="6" t="s">
        <v>136</v>
      </c>
      <c r="C119" s="6">
        <v>-8.8996408068859195E-2</v>
      </c>
      <c r="D119" s="6">
        <v>-0.21274439251210708</v>
      </c>
      <c r="E119" s="6">
        <v>3.139144214802362E-2</v>
      </c>
      <c r="F119" s="6">
        <v>-9.9645559596274205E-2</v>
      </c>
      <c r="G119" s="6">
        <v>-0.40266129489095587</v>
      </c>
      <c r="H119" s="6">
        <v>0.22395139967351183</v>
      </c>
      <c r="I119" s="6">
        <v>-2.0416833762522142</v>
      </c>
      <c r="J119" s="6">
        <v>-0.5881764892490482</v>
      </c>
      <c r="K119" s="6">
        <v>-0.28863901598842656</v>
      </c>
      <c r="L119" s="6">
        <v>-0.34557686542029004</v>
      </c>
      <c r="N119" s="8">
        <f>SQRT((C119-Sheet2!$C$525)^2+(D119-Sheet2!$D$525)^2+(E119-Sheet2!$E$525)^2+(F119-Sheet2!$F$525)^2+(G119-Sheet2!$G$525)^2+(H119-Sheet2!$H$525)^2+(I119-Sheet2!$I$525)^2+(J119-Sheet2!$J$525)^2+(K119-Sheet2!$K$525)^2+(L119-Sheet2!$L$525)^2)</f>
        <v>2.0613789819558637</v>
      </c>
      <c r="O119" s="8">
        <f>SQRT((C119-Sheet2!$C$526)^2+(D119-Sheet2!$D$526)^2+(E119-Sheet2!$E$526)^2+(F119-Sheet2!$F$526)^2+(G119-Sheet2!$G$526)^2+(H119-Sheet2!$H$526)^2+(I119-Sheet2!$I$526)^2+(J119-Sheet2!$J$526)^2+(K119-Sheet2!$K$526)^2+(L119-Sheet2!$L$526)^2)</f>
        <v>4.6524792978836187</v>
      </c>
      <c r="P119" s="12">
        <f t="shared" si="1"/>
        <v>0</v>
      </c>
      <c r="Q119" s="11">
        <f>IF(P119=Sheet1!$M119, 1, 0)</f>
        <v>1</v>
      </c>
    </row>
    <row r="120" spans="1:17" x14ac:dyDescent="0.35">
      <c r="A120" s="6" t="s">
        <v>133</v>
      </c>
      <c r="B120" s="6" t="s">
        <v>137</v>
      </c>
      <c r="C120" s="6">
        <v>0.85176084643219074</v>
      </c>
      <c r="D120" s="6">
        <v>-3.4748887640896946E-2</v>
      </c>
      <c r="E120" s="6">
        <v>-0.62139918412100503</v>
      </c>
      <c r="F120" s="6">
        <v>-0.42472555960995823</v>
      </c>
      <c r="G120" s="6">
        <v>-0.84980163127866415</v>
      </c>
      <c r="H120" s="6">
        <v>7.6904207908136818E-2</v>
      </c>
      <c r="I120" s="6">
        <v>6.7790365247773279E-2</v>
      </c>
      <c r="J120" s="6">
        <v>-0.61095204412881376</v>
      </c>
      <c r="K120" s="6">
        <v>-2.8865423876240456E-2</v>
      </c>
      <c r="L120" s="6">
        <v>-0.41018534822328651</v>
      </c>
      <c r="N120" s="8">
        <f>SQRT((C120-Sheet2!$C$525)^2+(D120-Sheet2!$D$525)^2+(E120-Sheet2!$E$525)^2+(F120-Sheet2!$F$525)^2+(G120-Sheet2!$G$525)^2+(H120-Sheet2!$H$525)^2+(I120-Sheet2!$I$525)^2+(J120-Sheet2!$J$525)^2+(K120-Sheet2!$K$525)^2+(L120-Sheet2!$L$525)^2)</f>
        <v>1.1702061623015376</v>
      </c>
      <c r="O120" s="8">
        <f>SQRT((C120-Sheet2!$C$526)^2+(D120-Sheet2!$D$526)^2+(E120-Sheet2!$E$526)^2+(F120-Sheet2!$F$526)^2+(G120-Sheet2!$G$526)^2+(H120-Sheet2!$H$526)^2+(I120-Sheet2!$I$526)^2+(J120-Sheet2!$J$526)^2+(K120-Sheet2!$K$526)^2+(L120-Sheet2!$L$526)^2)</f>
        <v>4.6070968525958209</v>
      </c>
      <c r="P120" s="12">
        <f t="shared" si="1"/>
        <v>0</v>
      </c>
      <c r="Q120" s="11">
        <f>IF(P120=Sheet1!$M120, 1, 0)</f>
        <v>1</v>
      </c>
    </row>
    <row r="121" spans="1:17" x14ac:dyDescent="0.35">
      <c r="A121" s="6" t="s">
        <v>133</v>
      </c>
      <c r="B121" s="6" t="s">
        <v>138</v>
      </c>
      <c r="C121" s="6">
        <v>0.86518106404276174</v>
      </c>
      <c r="D121" s="6">
        <v>-0.26798437678248238</v>
      </c>
      <c r="E121" s="6">
        <v>-0.76212492861015235</v>
      </c>
      <c r="F121" s="6">
        <v>-0.44629484871039232</v>
      </c>
      <c r="G121" s="6">
        <v>-0.51009111597111734</v>
      </c>
      <c r="H121" s="6">
        <v>0.38177127948030637</v>
      </c>
      <c r="I121" s="6">
        <v>-2.4286433524052793</v>
      </c>
      <c r="J121" s="6">
        <v>-0.61474796994210812</v>
      </c>
      <c r="K121" s="6">
        <v>0.10415117449445663</v>
      </c>
      <c r="L121" s="6">
        <v>-0.3976556505620516</v>
      </c>
      <c r="N121" s="8">
        <f>SQRT((C121-Sheet2!$C$525)^2+(D121-Sheet2!$D$525)^2+(E121-Sheet2!$E$525)^2+(F121-Sheet2!$F$525)^2+(G121-Sheet2!$G$525)^2+(H121-Sheet2!$H$525)^2+(I121-Sheet2!$I$525)^2+(J121-Sheet2!$J$525)^2+(K121-Sheet2!$K$525)^2+(L121-Sheet2!$L$525)^2)</f>
        <v>2.5198255783071422</v>
      </c>
      <c r="O121" s="8">
        <f>SQRT((C121-Sheet2!$C$526)^2+(D121-Sheet2!$D$526)^2+(E121-Sheet2!$E$526)^2+(F121-Sheet2!$F$526)^2+(G121-Sheet2!$G$526)^2+(H121-Sheet2!$H$526)^2+(I121-Sheet2!$I$526)^2+(J121-Sheet2!$J$526)^2+(K121-Sheet2!$K$526)^2+(L121-Sheet2!$L$526)^2)</f>
        <v>5.5760048733457586</v>
      </c>
      <c r="P121" s="12">
        <f t="shared" si="1"/>
        <v>0</v>
      </c>
      <c r="Q121" s="11">
        <f>IF(P121=Sheet1!$M121, 1, 0)</f>
        <v>1</v>
      </c>
    </row>
    <row r="122" spans="1:17" x14ac:dyDescent="0.35">
      <c r="A122" s="6" t="s">
        <v>133</v>
      </c>
      <c r="B122" s="6" t="s">
        <v>139</v>
      </c>
      <c r="C122" s="6">
        <v>-4.6051711715030925E-2</v>
      </c>
      <c r="D122" s="6">
        <v>-8.3851095881230658E-2</v>
      </c>
      <c r="E122" s="6">
        <v>2.9549482141621172E-2</v>
      </c>
      <c r="F122" s="6">
        <v>-0.19824802405540123</v>
      </c>
      <c r="G122" s="6">
        <v>-0.84980163127866415</v>
      </c>
      <c r="H122" s="6">
        <v>0.5164298799980489</v>
      </c>
      <c r="I122" s="6">
        <v>-0.58309288953357719</v>
      </c>
      <c r="J122" s="6">
        <v>-0.52364575042304495</v>
      </c>
      <c r="K122" s="6">
        <v>-0.83791932220154486</v>
      </c>
      <c r="L122" s="6">
        <v>-0.38727149515921888</v>
      </c>
      <c r="N122" s="8">
        <f>SQRT((C122-Sheet2!$C$525)^2+(D122-Sheet2!$D$525)^2+(E122-Sheet2!$E$525)^2+(F122-Sheet2!$F$525)^2+(G122-Sheet2!$G$525)^2+(H122-Sheet2!$H$525)^2+(I122-Sheet2!$I$525)^2+(J122-Sheet2!$J$525)^2+(K122-Sheet2!$K$525)^2+(L122-Sheet2!$L$525)^2)</f>
        <v>1.5349037901230056</v>
      </c>
      <c r="O122" s="8">
        <f>SQRT((C122-Sheet2!$C$526)^2+(D122-Sheet2!$D$526)^2+(E122-Sheet2!$E$526)^2+(F122-Sheet2!$F$526)^2+(G122-Sheet2!$G$526)^2+(H122-Sheet2!$H$526)^2+(I122-Sheet2!$I$526)^2+(J122-Sheet2!$J$526)^2+(K122-Sheet2!$K$526)^2+(L122-Sheet2!$L$526)^2)</f>
        <v>4.0656000527295291</v>
      </c>
      <c r="P122" s="12">
        <f t="shared" si="1"/>
        <v>0</v>
      </c>
      <c r="Q122" s="11">
        <f>IF(P122=Sheet1!$M122, 1, 0)</f>
        <v>1</v>
      </c>
    </row>
    <row r="123" spans="1:17" x14ac:dyDescent="0.35">
      <c r="A123" s="6" t="s">
        <v>133</v>
      </c>
      <c r="B123" s="6" t="s">
        <v>140</v>
      </c>
      <c r="C123" s="6">
        <v>-3.6657559387630961E-2</v>
      </c>
      <c r="D123" s="6">
        <v>-0.15750440824173179</v>
      </c>
      <c r="E123" s="6">
        <v>0.36552298730942828</v>
      </c>
      <c r="F123" s="6">
        <v>-0.38004631790191756</v>
      </c>
      <c r="G123" s="6">
        <v>-1.8166700210001441</v>
      </c>
      <c r="H123" s="6">
        <v>-1.3817177529000497</v>
      </c>
      <c r="I123" s="6">
        <v>-1.7701101475187617</v>
      </c>
      <c r="J123" s="6">
        <v>-0.71344204108775977</v>
      </c>
      <c r="K123" s="6">
        <v>0.39835259206729601</v>
      </c>
      <c r="L123" s="6">
        <v>-0.41313242337968759</v>
      </c>
      <c r="N123" s="8">
        <f>SQRT((C123-Sheet2!$C$525)^2+(D123-Sheet2!$D$525)^2+(E123-Sheet2!$E$525)^2+(F123-Sheet2!$F$525)^2+(G123-Sheet2!$G$525)^2+(H123-Sheet2!$H$525)^2+(I123-Sheet2!$I$525)^2+(J123-Sheet2!$J$525)^2+(K123-Sheet2!$K$525)^2+(L123-Sheet2!$L$525)^2)</f>
        <v>2.7220439980761491</v>
      </c>
      <c r="O123" s="8">
        <f>SQRT((C123-Sheet2!$C$526)^2+(D123-Sheet2!$D$526)^2+(E123-Sheet2!$E$526)^2+(F123-Sheet2!$F$526)^2+(G123-Sheet2!$G$526)^2+(H123-Sheet2!$H$526)^2+(I123-Sheet2!$I$526)^2+(J123-Sheet2!$J$526)^2+(K123-Sheet2!$K$526)^2+(L123-Sheet2!$L$526)^2)</f>
        <v>5.6577290704191894</v>
      </c>
      <c r="P123" s="12">
        <f t="shared" si="1"/>
        <v>0</v>
      </c>
      <c r="Q123" s="11">
        <f>IF(P123=Sheet1!$M123, 1, 0)</f>
        <v>1</v>
      </c>
    </row>
    <row r="124" spans="1:17" x14ac:dyDescent="0.35">
      <c r="A124" s="6" t="s">
        <v>133</v>
      </c>
      <c r="B124" s="6" t="s">
        <v>141</v>
      </c>
      <c r="C124" s="6">
        <v>0.34313459899153748</v>
      </c>
      <c r="D124" s="6">
        <v>-8.9988871911273333E-2</v>
      </c>
      <c r="E124" s="6">
        <v>-0.34915749517472278</v>
      </c>
      <c r="F124" s="6">
        <v>-0.20132935106974834</v>
      </c>
      <c r="G124" s="6">
        <v>-0.45782795976995844</v>
      </c>
      <c r="H124" s="6">
        <v>-0.55599121452525291</v>
      </c>
      <c r="I124" s="6">
        <v>-1.4335123428913839</v>
      </c>
      <c r="J124" s="6">
        <v>-1.203116471002724</v>
      </c>
      <c r="K124" s="6">
        <v>0.9585872063815295</v>
      </c>
      <c r="L124" s="6">
        <v>-0.39846230273950839</v>
      </c>
      <c r="N124" s="8">
        <f>SQRT((C124-Sheet2!$C$525)^2+(D124-Sheet2!$D$525)^2+(E124-Sheet2!$E$525)^2+(F124-Sheet2!$F$525)^2+(G124-Sheet2!$G$525)^2+(H124-Sheet2!$H$525)^2+(I124-Sheet2!$I$525)^2+(J124-Sheet2!$J$525)^2+(K124-Sheet2!$K$525)^2+(L124-Sheet2!$L$525)^2)</f>
        <v>1.8642457188556303</v>
      </c>
      <c r="O124" s="8">
        <f>SQRT((C124-Sheet2!$C$526)^2+(D124-Sheet2!$D$526)^2+(E124-Sheet2!$E$526)^2+(F124-Sheet2!$F$526)^2+(G124-Sheet2!$G$526)^2+(H124-Sheet2!$H$526)^2+(I124-Sheet2!$I$526)^2+(J124-Sheet2!$J$526)^2+(K124-Sheet2!$K$526)^2+(L124-Sheet2!$L$526)^2)</f>
        <v>5.2142327707404519</v>
      </c>
      <c r="P124" s="12">
        <f t="shared" si="1"/>
        <v>0</v>
      </c>
      <c r="Q124" s="11">
        <f>IF(P124=Sheet1!$M124, 1, 0)</f>
        <v>1</v>
      </c>
    </row>
    <row r="125" spans="1:17" x14ac:dyDescent="0.35">
      <c r="A125" s="6" t="s">
        <v>133</v>
      </c>
      <c r="B125" s="6" t="s">
        <v>142</v>
      </c>
      <c r="C125" s="6">
        <v>-0.34800660795288568</v>
      </c>
      <c r="D125" s="6">
        <v>-0.58714873034465098</v>
      </c>
      <c r="E125" s="6">
        <v>-0.31452864705435668</v>
      </c>
      <c r="F125" s="6">
        <v>-0.30301314254322465</v>
      </c>
      <c r="G125" s="6">
        <v>-0.42588936431369356</v>
      </c>
      <c r="H125" s="6">
        <v>0.16308571223949248</v>
      </c>
      <c r="I125" s="6">
        <v>-1.4073750133653939</v>
      </c>
      <c r="J125" s="6">
        <v>-0.37560464370456742</v>
      </c>
      <c r="K125" s="6">
        <v>-0.3355860507074982</v>
      </c>
      <c r="L125" s="6">
        <v>-0.39726936436066201</v>
      </c>
      <c r="N125" s="8">
        <f>SQRT((C125-Sheet2!$C$525)^2+(D125-Sheet2!$D$525)^2+(E125-Sheet2!$E$525)^2+(F125-Sheet2!$F$525)^2+(G125-Sheet2!$G$525)^2+(H125-Sheet2!$H$525)^2+(I125-Sheet2!$I$525)^2+(J125-Sheet2!$J$525)^2+(K125-Sheet2!$K$525)^2+(L125-Sheet2!$L$525)^2)</f>
        <v>1.5215984379446881</v>
      </c>
      <c r="O125" s="8">
        <f>SQRT((C125-Sheet2!$C$526)^2+(D125-Sheet2!$D$526)^2+(E125-Sheet2!$E$526)^2+(F125-Sheet2!$F$526)^2+(G125-Sheet2!$G$526)^2+(H125-Sheet2!$H$526)^2+(I125-Sheet2!$I$526)^2+(J125-Sheet2!$J$526)^2+(K125-Sheet2!$K$526)^2+(L125-Sheet2!$L$526)^2)</f>
        <v>4.5583899993303625</v>
      </c>
      <c r="P125" s="12">
        <f t="shared" si="1"/>
        <v>0</v>
      </c>
      <c r="Q125" s="11">
        <f>IF(P125=Sheet1!$M125, 1, 0)</f>
        <v>1</v>
      </c>
    </row>
    <row r="126" spans="1:17" x14ac:dyDescent="0.35">
      <c r="A126" s="6" t="s">
        <v>133</v>
      </c>
      <c r="B126" s="6" t="s">
        <v>143</v>
      </c>
      <c r="C126" s="6">
        <v>0.75379325787502005</v>
      </c>
      <c r="D126" s="6">
        <v>2.0643705146333677</v>
      </c>
      <c r="E126" s="6">
        <v>1.3937050628832766</v>
      </c>
      <c r="F126" s="6">
        <v>1.6351415494814909</v>
      </c>
      <c r="G126" s="6">
        <v>0.15771587993260558</v>
      </c>
      <c r="H126" s="6">
        <v>1.0017394762639924</v>
      </c>
      <c r="I126" s="6">
        <v>0.45092536634825392</v>
      </c>
      <c r="J126" s="6">
        <v>0.48986644172653154</v>
      </c>
      <c r="K126" s="6">
        <v>-0.63291727059493941</v>
      </c>
      <c r="L126" s="6">
        <v>-0.12810490102920816</v>
      </c>
      <c r="N126" s="8">
        <f>SQRT((C126-Sheet2!$C$525)^2+(D126-Sheet2!$D$525)^2+(E126-Sheet2!$E$525)^2+(F126-Sheet2!$F$525)^2+(G126-Sheet2!$G$525)^2+(H126-Sheet2!$H$525)^2+(I126-Sheet2!$I$525)^2+(J126-Sheet2!$J$525)^2+(K126-Sheet2!$K$525)^2+(L126-Sheet2!$L$525)^2)</f>
        <v>3.9793571584985061</v>
      </c>
      <c r="O126" s="8">
        <f>SQRT((C126-Sheet2!$C$526)^2+(D126-Sheet2!$D$526)^2+(E126-Sheet2!$E$526)^2+(F126-Sheet2!$F$526)^2+(G126-Sheet2!$G$526)^2+(H126-Sheet2!$H$526)^2+(I126-Sheet2!$I$526)^2+(J126-Sheet2!$J$526)^2+(K126-Sheet2!$K$526)^2+(L126-Sheet2!$L$526)^2)</f>
        <v>2.2030839800363902</v>
      </c>
      <c r="P126" s="12">
        <f t="shared" si="1"/>
        <v>1</v>
      </c>
      <c r="Q126" s="11">
        <f>IF(P126=Sheet1!$M126, 1, 0)</f>
        <v>0</v>
      </c>
    </row>
    <row r="127" spans="1:17" x14ac:dyDescent="0.35">
      <c r="A127" s="6" t="s">
        <v>144</v>
      </c>
      <c r="B127" s="6" t="s">
        <v>145</v>
      </c>
      <c r="C127" s="6">
        <v>7.3388225019053926E-2</v>
      </c>
      <c r="D127" s="6">
        <v>-0.22501994457219024</v>
      </c>
      <c r="E127" s="6">
        <v>-0.13106943041667257</v>
      </c>
      <c r="F127" s="6">
        <v>-0.31225712358626595</v>
      </c>
      <c r="G127" s="6">
        <v>-0.58267883291717426</v>
      </c>
      <c r="H127" s="6">
        <v>-3.7824919732979537E-2</v>
      </c>
      <c r="I127" s="6">
        <v>-0.90375329810852245</v>
      </c>
      <c r="J127" s="6">
        <v>-0.84629944455306005</v>
      </c>
      <c r="K127" s="6">
        <v>2.1541716905605091</v>
      </c>
      <c r="L127" s="6">
        <v>-0.3533505017248047</v>
      </c>
      <c r="N127" s="8">
        <f>SQRT((C127-Sheet2!$C$525)^2+(D127-Sheet2!$D$525)^2+(E127-Sheet2!$E$525)^2+(F127-Sheet2!$F$525)^2+(G127-Sheet2!$G$525)^2+(H127-Sheet2!$H$525)^2+(I127-Sheet2!$I$525)^2+(J127-Sheet2!$J$525)^2+(K127-Sheet2!$K$525)^2+(L127-Sheet2!$L$525)^2)</f>
        <v>2.2735480794416092</v>
      </c>
      <c r="O127" s="8">
        <f>SQRT((C127-Sheet2!$C$526)^2+(D127-Sheet2!$D$526)^2+(E127-Sheet2!$E$526)^2+(F127-Sheet2!$F$526)^2+(G127-Sheet2!$G$526)^2+(H127-Sheet2!$H$526)^2+(I127-Sheet2!$I$526)^2+(J127-Sheet2!$J$526)^2+(K127-Sheet2!$K$526)^2+(L127-Sheet2!$L$526)^2)</f>
        <v>5.2361025999326873</v>
      </c>
      <c r="P127" s="12">
        <f t="shared" si="1"/>
        <v>0</v>
      </c>
      <c r="Q127" s="11">
        <f>IF(P127=Sheet1!$M127, 1, 0)</f>
        <v>1</v>
      </c>
    </row>
    <row r="128" spans="1:17" x14ac:dyDescent="0.35">
      <c r="A128" s="6" t="s">
        <v>144</v>
      </c>
      <c r="B128" s="6" t="s">
        <v>146</v>
      </c>
      <c r="C128" s="6">
        <v>-6.2155972847716408E-2</v>
      </c>
      <c r="D128" s="6">
        <v>-0.67307759476523532</v>
      </c>
      <c r="E128" s="6">
        <v>-0.39004900731685721</v>
      </c>
      <c r="F128" s="6">
        <v>-0.50484006198299824</v>
      </c>
      <c r="G128" s="6">
        <v>-0.28652094777726311</v>
      </c>
      <c r="H128" s="6">
        <v>-0.44395525889449122</v>
      </c>
      <c r="I128" s="6">
        <v>-1.3538253626292205</v>
      </c>
      <c r="J128" s="6">
        <v>-0.80834018642011707</v>
      </c>
      <c r="K128" s="6">
        <v>-0.11024028405596094</v>
      </c>
      <c r="L128" s="6">
        <v>-0.23066627997772018</v>
      </c>
      <c r="N128" s="8">
        <f>SQRT((C128-Sheet2!$C$525)^2+(D128-Sheet2!$D$525)^2+(E128-Sheet2!$E$525)^2+(F128-Sheet2!$F$525)^2+(G128-Sheet2!$G$525)^2+(H128-Sheet2!$H$525)^2+(I128-Sheet2!$I$525)^2+(J128-Sheet2!$J$525)^2+(K128-Sheet2!$K$525)^2+(L128-Sheet2!$L$525)^2)</f>
        <v>1.431429099881969</v>
      </c>
      <c r="O128" s="8">
        <f>SQRT((C128-Sheet2!$C$526)^2+(D128-Sheet2!$D$526)^2+(E128-Sheet2!$E$526)^2+(F128-Sheet2!$F$526)^2+(G128-Sheet2!$G$526)^2+(H128-Sheet2!$H$526)^2+(I128-Sheet2!$I$526)^2+(J128-Sheet2!$J$526)^2+(K128-Sheet2!$K$526)^2+(L128-Sheet2!$L$526)^2)</f>
        <v>4.9317968940120833</v>
      </c>
      <c r="P128" s="12">
        <f t="shared" si="1"/>
        <v>0</v>
      </c>
      <c r="Q128" s="11">
        <f>IF(P128=Sheet1!$M128, 1, 0)</f>
        <v>1</v>
      </c>
    </row>
    <row r="129" spans="1:17" x14ac:dyDescent="0.35">
      <c r="A129" s="6" t="s">
        <v>144</v>
      </c>
      <c r="B129" s="6" t="s">
        <v>147</v>
      </c>
      <c r="C129" s="6">
        <v>0.25724520628388092</v>
      </c>
      <c r="D129" s="6">
        <v>-0.45211765768373352</v>
      </c>
      <c r="E129" s="6">
        <v>-0.14506832646533119</v>
      </c>
      <c r="F129" s="6">
        <v>-0.22135797666300996</v>
      </c>
      <c r="G129" s="6">
        <v>-6.8757796939092355E-2</v>
      </c>
      <c r="H129" s="6">
        <v>0.92633065997405695</v>
      </c>
      <c r="I129" s="6">
        <v>0.17743965008850993</v>
      </c>
      <c r="J129" s="6">
        <v>7.9906453890747658E-2</v>
      </c>
      <c r="K129" s="6">
        <v>-0.53432849768489332</v>
      </c>
      <c r="L129" s="6">
        <v>0.17921940270797443</v>
      </c>
      <c r="N129" s="8">
        <f>SQRT((C129-Sheet2!$C$525)^2+(D129-Sheet2!$D$525)^2+(E129-Sheet2!$E$525)^2+(F129-Sheet2!$F$525)^2+(G129-Sheet2!$G$525)^2+(H129-Sheet2!$H$525)^2+(I129-Sheet2!$I$525)^2+(J129-Sheet2!$J$525)^2+(K129-Sheet2!$K$525)^2+(L129-Sheet2!$L$525)^2)</f>
        <v>1.4624111522332297</v>
      </c>
      <c r="O129" s="8">
        <f>SQRT((C129-Sheet2!$C$526)^2+(D129-Sheet2!$D$526)^2+(E129-Sheet2!$E$526)^2+(F129-Sheet2!$F$526)^2+(G129-Sheet2!$G$526)^2+(H129-Sheet2!$H$526)^2+(I129-Sheet2!$I$526)^2+(J129-Sheet2!$J$526)^2+(K129-Sheet2!$K$526)^2+(L129-Sheet2!$L$526)^2)</f>
        <v>3.5173256704665943</v>
      </c>
      <c r="P129" s="12">
        <f t="shared" si="1"/>
        <v>0</v>
      </c>
      <c r="Q129" s="11">
        <f>IF(P129=Sheet1!$M129, 1, 0)</f>
        <v>1</v>
      </c>
    </row>
    <row r="130" spans="1:17" x14ac:dyDescent="0.35">
      <c r="A130" s="6" t="s">
        <v>144</v>
      </c>
      <c r="B130" s="6" t="s">
        <v>148</v>
      </c>
      <c r="C130" s="6">
        <v>0.3766851430179658</v>
      </c>
      <c r="D130" s="6">
        <v>-0.40915322547344196</v>
      </c>
      <c r="E130" s="6">
        <v>-0.11007108634368462</v>
      </c>
      <c r="F130" s="6">
        <v>-4.1100346323668296E-2</v>
      </c>
      <c r="G130" s="6">
        <v>0.32611938324745715</v>
      </c>
      <c r="H130" s="6">
        <v>0.48949815989450041</v>
      </c>
      <c r="I130" s="6">
        <v>-5.0146365540228978E-2</v>
      </c>
      <c r="J130" s="6">
        <v>-0.76278907666058571</v>
      </c>
      <c r="K130" s="6">
        <v>-0.12432439447168243</v>
      </c>
      <c r="L130" s="6">
        <v>0.14702417061640474</v>
      </c>
      <c r="N130" s="8">
        <f>SQRT((C130-Sheet2!$C$525)^2+(D130-Sheet2!$D$525)^2+(E130-Sheet2!$E$525)^2+(F130-Sheet2!$F$525)^2+(G130-Sheet2!$G$525)^2+(H130-Sheet2!$H$525)^2+(I130-Sheet2!$I$525)^2+(J130-Sheet2!$J$525)^2+(K130-Sheet2!$K$525)^2+(L130-Sheet2!$L$525)^2)</f>
        <v>1.1636088701444118</v>
      </c>
      <c r="O130" s="8">
        <f>SQRT((C130-Sheet2!$C$526)^2+(D130-Sheet2!$D$526)^2+(E130-Sheet2!$E$526)^2+(F130-Sheet2!$F$526)^2+(G130-Sheet2!$G$526)^2+(H130-Sheet2!$H$526)^2+(I130-Sheet2!$I$526)^2+(J130-Sheet2!$J$526)^2+(K130-Sheet2!$K$526)^2+(L130-Sheet2!$L$526)^2)</f>
        <v>3.7920880749667889</v>
      </c>
      <c r="P130" s="12">
        <f t="shared" si="1"/>
        <v>0</v>
      </c>
      <c r="Q130" s="11">
        <f>IF(P130=Sheet1!$M130, 1, 0)</f>
        <v>1</v>
      </c>
    </row>
    <row r="131" spans="1:17" x14ac:dyDescent="0.35">
      <c r="A131" s="6" t="s">
        <v>144</v>
      </c>
      <c r="B131" s="6" t="s">
        <v>149</v>
      </c>
      <c r="C131" s="6">
        <v>-3.7999581148688066E-2</v>
      </c>
      <c r="D131" s="6">
        <v>-0.5196331940141925</v>
      </c>
      <c r="E131" s="6">
        <v>0.3441562512351598</v>
      </c>
      <c r="F131" s="6">
        <v>4.6717473585242759E-2</v>
      </c>
      <c r="G131" s="6">
        <v>6.1900093563810932E-2</v>
      </c>
      <c r="H131" s="6">
        <v>0.11676315366138909</v>
      </c>
      <c r="I131" s="6">
        <v>-0.39758159948326027</v>
      </c>
      <c r="J131" s="6">
        <v>-0.28450242418550464</v>
      </c>
      <c r="K131" s="6">
        <v>0.43747512099985425</v>
      </c>
      <c r="L131" s="6">
        <v>0.55885733168302165</v>
      </c>
      <c r="N131" s="8">
        <f>SQRT((C131-Sheet2!$C$525)^2+(D131-Sheet2!$D$525)^2+(E131-Sheet2!$E$525)^2+(F131-Sheet2!$F$525)^2+(G131-Sheet2!$G$525)^2+(H131-Sheet2!$H$525)^2+(I131-Sheet2!$I$525)^2+(J131-Sheet2!$J$525)^2+(K131-Sheet2!$K$525)^2+(L131-Sheet2!$L$525)^2)</f>
        <v>1.2268626116818309</v>
      </c>
      <c r="O131" s="8">
        <f>SQRT((C131-Sheet2!$C$526)^2+(D131-Sheet2!$D$526)^2+(E131-Sheet2!$E$526)^2+(F131-Sheet2!$F$526)^2+(G131-Sheet2!$G$526)^2+(H131-Sheet2!$H$526)^2+(I131-Sheet2!$I$526)^2+(J131-Sheet2!$J$526)^2+(K131-Sheet2!$K$526)^2+(L131-Sheet2!$L$526)^2)</f>
        <v>3.6007154353997959</v>
      </c>
      <c r="P131" s="12">
        <f t="shared" ref="P131:P194" si="2">IF(N131&lt;=O131, 0, 1)</f>
        <v>0</v>
      </c>
      <c r="Q131" s="11">
        <f>IF(P131=Sheet1!$M131, 1, 0)</f>
        <v>1</v>
      </c>
    </row>
    <row r="132" spans="1:17" x14ac:dyDescent="0.35">
      <c r="A132" s="6" t="s">
        <v>144</v>
      </c>
      <c r="B132" s="6" t="s">
        <v>150</v>
      </c>
      <c r="C132" s="6">
        <v>0.98730504429896082</v>
      </c>
      <c r="D132" s="6">
        <v>-5.9299991761064347E-2</v>
      </c>
      <c r="E132" s="6">
        <v>-0.58492837599423653</v>
      </c>
      <c r="F132" s="6">
        <v>-0.31379778709344058</v>
      </c>
      <c r="G132" s="6">
        <v>-0.103599901073201</v>
      </c>
      <c r="H132" s="6">
        <v>-0.11700417683741206</v>
      </c>
      <c r="I132" s="6">
        <v>-1.4252248969441188</v>
      </c>
      <c r="J132" s="6">
        <v>0.41015199964735133</v>
      </c>
      <c r="K132" s="6">
        <v>-0.4326099224602411</v>
      </c>
      <c r="L132" s="6">
        <v>-0.10941019093429626</v>
      </c>
      <c r="N132" s="8">
        <f>SQRT((C132-Sheet2!$C$525)^2+(D132-Sheet2!$D$525)^2+(E132-Sheet2!$E$525)^2+(F132-Sheet2!$F$525)^2+(G132-Sheet2!$G$525)^2+(H132-Sheet2!$H$525)^2+(I132-Sheet2!$I$525)^2+(J132-Sheet2!$J$525)^2+(K132-Sheet2!$K$525)^2+(L132-Sheet2!$L$525)^2)</f>
        <v>1.7793803201546052</v>
      </c>
      <c r="O132" s="8">
        <f>SQRT((C132-Sheet2!$C$526)^2+(D132-Sheet2!$D$526)^2+(E132-Sheet2!$E$526)^2+(F132-Sheet2!$F$526)^2+(G132-Sheet2!$G$526)^2+(H132-Sheet2!$H$526)^2+(I132-Sheet2!$I$526)^2+(J132-Sheet2!$J$526)^2+(K132-Sheet2!$K$526)^2+(L132-Sheet2!$L$526)^2)</f>
        <v>4.4935217061258044</v>
      </c>
      <c r="P132" s="12">
        <f t="shared" si="2"/>
        <v>0</v>
      </c>
      <c r="Q132" s="11">
        <f>IF(P132=Sheet1!$M132, 1, 0)</f>
        <v>1</v>
      </c>
    </row>
    <row r="133" spans="1:17" x14ac:dyDescent="0.35">
      <c r="A133" s="6" t="s">
        <v>144</v>
      </c>
      <c r="B133" s="6" t="s">
        <v>151</v>
      </c>
      <c r="C133" s="6">
        <v>0.10962281256759644</v>
      </c>
      <c r="D133" s="6">
        <v>-0.44597988165369196</v>
      </c>
      <c r="E133" s="6">
        <v>-0.42430946343594278</v>
      </c>
      <c r="F133" s="6">
        <v>-0.3630990193230052</v>
      </c>
      <c r="G133" s="6">
        <v>-5.7143762227725561E-2</v>
      </c>
      <c r="H133" s="6">
        <v>7.8520111114349797E-2</v>
      </c>
      <c r="I133" s="6">
        <v>-1.2760508698933488</v>
      </c>
      <c r="J133" s="6">
        <v>-0.64511537644846251</v>
      </c>
      <c r="K133" s="6">
        <v>0.83183021264004053</v>
      </c>
      <c r="L133" s="6">
        <v>-0.25549545398970647</v>
      </c>
      <c r="N133" s="8">
        <f>SQRT((C133-Sheet2!$C$525)^2+(D133-Sheet2!$D$525)^2+(E133-Sheet2!$E$525)^2+(F133-Sheet2!$F$525)^2+(G133-Sheet2!$G$525)^2+(H133-Sheet2!$H$525)^2+(I133-Sheet2!$I$525)^2+(J133-Sheet2!$J$525)^2+(K133-Sheet2!$K$525)^2+(L133-Sheet2!$L$525)^2)</f>
        <v>1.4041144907349652</v>
      </c>
      <c r="O133" s="8">
        <f>SQRT((C133-Sheet2!$C$526)^2+(D133-Sheet2!$D$526)^2+(E133-Sheet2!$E$526)^2+(F133-Sheet2!$F$526)^2+(G133-Sheet2!$G$526)^2+(H133-Sheet2!$H$526)^2+(I133-Sheet2!$I$526)^2+(J133-Sheet2!$J$526)^2+(K133-Sheet2!$K$526)^2+(L133-Sheet2!$L$526)^2)</f>
        <v>4.7657325564801969</v>
      </c>
      <c r="P133" s="12">
        <f t="shared" si="2"/>
        <v>0</v>
      </c>
      <c r="Q133" s="11">
        <f>IF(P133=Sheet1!$M133, 1, 0)</f>
        <v>1</v>
      </c>
    </row>
    <row r="134" spans="1:17" x14ac:dyDescent="0.35">
      <c r="A134" s="6" t="s">
        <v>144</v>
      </c>
      <c r="B134" s="6" t="s">
        <v>152</v>
      </c>
      <c r="C134" s="6">
        <v>-0.34934862971394282</v>
      </c>
      <c r="D134" s="6">
        <v>-0.54418429813435942</v>
      </c>
      <c r="E134" s="6">
        <v>0.15111884256418295</v>
      </c>
      <c r="F134" s="6">
        <v>-0.18438205249083597</v>
      </c>
      <c r="G134" s="6">
        <v>0.10254921505360297</v>
      </c>
      <c r="H134" s="6">
        <v>0.41085753719213836</v>
      </c>
      <c r="I134" s="6">
        <v>-0.28601982711623164</v>
      </c>
      <c r="J134" s="6">
        <v>-0.3642168662646848</v>
      </c>
      <c r="K134" s="6">
        <v>-0.17909593497726528</v>
      </c>
      <c r="L134" s="6">
        <v>-0.12330485565918529</v>
      </c>
      <c r="N134" s="8">
        <f>SQRT((C134-Sheet2!$C$525)^2+(D134-Sheet2!$D$525)^2+(E134-Sheet2!$E$525)^2+(F134-Sheet2!$F$525)^2+(G134-Sheet2!$G$525)^2+(H134-Sheet2!$H$525)^2+(I134-Sheet2!$I$525)^2+(J134-Sheet2!$J$525)^2+(K134-Sheet2!$K$525)^2+(L134-Sheet2!$L$525)^2)</f>
        <v>1.0707912438355256</v>
      </c>
      <c r="O134" s="8">
        <f>SQRT((C134-Sheet2!$C$526)^2+(D134-Sheet2!$D$526)^2+(E134-Sheet2!$E$526)^2+(F134-Sheet2!$F$526)^2+(G134-Sheet2!$G$526)^2+(H134-Sheet2!$H$526)^2+(I134-Sheet2!$I$526)^2+(J134-Sheet2!$J$526)^2+(K134-Sheet2!$K$526)^2+(L134-Sheet2!$L$526)^2)</f>
        <v>3.6426373801023524</v>
      </c>
      <c r="P134" s="12">
        <f t="shared" si="2"/>
        <v>0</v>
      </c>
      <c r="Q134" s="11">
        <f>IF(P134=Sheet1!$M134, 1, 0)</f>
        <v>1</v>
      </c>
    </row>
    <row r="135" spans="1:17" x14ac:dyDescent="0.35">
      <c r="A135" s="6" t="s">
        <v>144</v>
      </c>
      <c r="B135" s="6" t="s">
        <v>153</v>
      </c>
      <c r="C135" s="6">
        <v>0.38071120830113708</v>
      </c>
      <c r="D135" s="6">
        <v>-0.44597988165369196</v>
      </c>
      <c r="E135" s="6">
        <v>-0.8807471530224702</v>
      </c>
      <c r="F135" s="6">
        <v>-0.5834139008488658</v>
      </c>
      <c r="G135" s="6">
        <v>-0.14715253124083269</v>
      </c>
      <c r="H135" s="6">
        <v>0.35160775296433194</v>
      </c>
      <c r="I135" s="6">
        <v>0.12325250351023832</v>
      </c>
      <c r="J135" s="6">
        <v>-0.33005353394503589</v>
      </c>
      <c r="K135" s="6">
        <v>-0.63291727059493941</v>
      </c>
      <c r="L135" s="6">
        <v>-0.21880394830264746</v>
      </c>
      <c r="N135" s="8">
        <f>SQRT((C135-Sheet2!$C$525)^2+(D135-Sheet2!$D$525)^2+(E135-Sheet2!$E$525)^2+(F135-Sheet2!$F$525)^2+(G135-Sheet2!$G$525)^2+(H135-Sheet2!$H$525)^2+(I135-Sheet2!$I$525)^2+(J135-Sheet2!$J$525)^2+(K135-Sheet2!$K$525)^2+(L135-Sheet2!$L$525)^2)</f>
        <v>1.1939292653704074</v>
      </c>
      <c r="O135" s="8">
        <f>SQRT((C135-Sheet2!$C$526)^2+(D135-Sheet2!$D$526)^2+(E135-Sheet2!$E$526)^2+(F135-Sheet2!$F$526)^2+(G135-Sheet2!$G$526)^2+(H135-Sheet2!$H$526)^2+(I135-Sheet2!$I$526)^2+(J135-Sheet2!$J$526)^2+(K135-Sheet2!$K$526)^2+(L135-Sheet2!$L$526)^2)</f>
        <v>4.3434308143822582</v>
      </c>
      <c r="P135" s="12">
        <f t="shared" si="2"/>
        <v>0</v>
      </c>
      <c r="Q135" s="11">
        <f>IF(P135=Sheet1!$M135, 1, 0)</f>
        <v>1</v>
      </c>
    </row>
    <row r="136" spans="1:17" x14ac:dyDescent="0.35">
      <c r="A136" s="6" t="s">
        <v>144</v>
      </c>
      <c r="B136" s="6" t="s">
        <v>154</v>
      </c>
      <c r="C136" s="6">
        <v>-0.29029967222742903</v>
      </c>
      <c r="D136" s="6">
        <v>-2.8611111610855368E-2</v>
      </c>
      <c r="E136" s="6">
        <v>-8.3948939902693219E-3</v>
      </c>
      <c r="F136" s="6">
        <v>8.0612070743067463E-2</v>
      </c>
      <c r="G136" s="6">
        <v>0.17804044067749952</v>
      </c>
      <c r="H136" s="6">
        <v>0.63062037323709397</v>
      </c>
      <c r="I136" s="6">
        <v>0.73588600776575075</v>
      </c>
      <c r="J136" s="6">
        <v>-7.9522430267612701E-2</v>
      </c>
      <c r="K136" s="6">
        <v>-0.38096818426926449</v>
      </c>
      <c r="L136" s="6">
        <v>-0.29449262045960378</v>
      </c>
      <c r="N136" s="8">
        <f>SQRT((C136-Sheet2!$C$525)^2+(D136-Sheet2!$D$525)^2+(E136-Sheet2!$E$525)^2+(F136-Sheet2!$F$525)^2+(G136-Sheet2!$G$525)^2+(H136-Sheet2!$H$525)^2+(I136-Sheet2!$I$525)^2+(J136-Sheet2!$J$525)^2+(K136-Sheet2!$K$525)^2+(L136-Sheet2!$L$525)^2)</f>
        <v>1.5858090740446831</v>
      </c>
      <c r="O136" s="8">
        <f>SQRT((C136-Sheet2!$C$526)^2+(D136-Sheet2!$D$526)^2+(E136-Sheet2!$E$526)^2+(F136-Sheet2!$F$526)^2+(G136-Sheet2!$G$526)^2+(H136-Sheet2!$H$526)^2+(I136-Sheet2!$I$526)^2+(J136-Sheet2!$J$526)^2+(K136-Sheet2!$K$526)^2+(L136-Sheet2!$L$526)^2)</f>
        <v>3.0521575725374199</v>
      </c>
      <c r="P136" s="12">
        <f t="shared" si="2"/>
        <v>0</v>
      </c>
      <c r="Q136" s="11">
        <f>IF(P136=Sheet1!$M136, 1, 0)</f>
        <v>1</v>
      </c>
    </row>
    <row r="137" spans="1:17" x14ac:dyDescent="0.35">
      <c r="A137" s="6" t="s">
        <v>144</v>
      </c>
      <c r="B137" s="6" t="s">
        <v>155</v>
      </c>
      <c r="C137" s="6">
        <v>-0.63519926481911193</v>
      </c>
      <c r="D137" s="6">
        <v>-0.83265977154631954</v>
      </c>
      <c r="E137" s="6">
        <v>-0.86380112096356765</v>
      </c>
      <c r="F137" s="6">
        <v>-0.90695323735537514</v>
      </c>
      <c r="G137" s="6">
        <v>-0.40556480356879548</v>
      </c>
      <c r="H137" s="6">
        <v>9.5756411980621223E-2</v>
      </c>
      <c r="I137" s="6">
        <v>-0.31024466911592991</v>
      </c>
      <c r="J137" s="6">
        <v>-0.62233982156869672</v>
      </c>
      <c r="K137" s="6">
        <v>-3.9819731977357914E-2</v>
      </c>
      <c r="L137" s="6">
        <v>-0.31043236419540871</v>
      </c>
      <c r="N137" s="8">
        <f>SQRT((C137-Sheet2!$C$525)^2+(D137-Sheet2!$D$525)^2+(E137-Sheet2!$E$525)^2+(F137-Sheet2!$F$525)^2+(G137-Sheet2!$G$525)^2+(H137-Sheet2!$H$525)^2+(I137-Sheet2!$I$525)^2+(J137-Sheet2!$J$525)^2+(K137-Sheet2!$K$525)^2+(L137-Sheet2!$L$525)^2)</f>
        <v>1.3681840255641351</v>
      </c>
      <c r="O137" s="8">
        <f>SQRT((C137-Sheet2!$C$526)^2+(D137-Sheet2!$D$526)^2+(E137-Sheet2!$E$526)^2+(F137-Sheet2!$F$526)^2+(G137-Sheet2!$G$526)^2+(H137-Sheet2!$H$526)^2+(I137-Sheet2!$I$526)^2+(J137-Sheet2!$J$526)^2+(K137-Sheet2!$K$526)^2+(L137-Sheet2!$L$526)^2)</f>
        <v>4.8601378680336893</v>
      </c>
      <c r="P137" s="12">
        <f t="shared" si="2"/>
        <v>0</v>
      </c>
      <c r="Q137" s="11">
        <f>IF(P137=Sheet1!$M137, 1, 0)</f>
        <v>1</v>
      </c>
    </row>
    <row r="138" spans="1:17" x14ac:dyDescent="0.35">
      <c r="A138" s="6" t="s">
        <v>144</v>
      </c>
      <c r="B138" s="6" t="s">
        <v>156</v>
      </c>
      <c r="C138" s="6">
        <v>-0.53052156745665557</v>
      </c>
      <c r="D138" s="6">
        <v>-0.64238871461502689</v>
      </c>
      <c r="E138" s="6">
        <v>-0.70097185639759096</v>
      </c>
      <c r="F138" s="6">
        <v>-0.57108859279147517</v>
      </c>
      <c r="G138" s="6">
        <v>0.10835623240928637</v>
      </c>
      <c r="H138" s="6">
        <v>-0.10084514477528311</v>
      </c>
      <c r="I138" s="6">
        <v>-2.6983040936124398</v>
      </c>
      <c r="J138" s="6">
        <v>-0.64891130226175675</v>
      </c>
      <c r="K138" s="6">
        <v>0.44686452794366632</v>
      </c>
      <c r="L138" s="6">
        <v>-0.29239018462373983</v>
      </c>
      <c r="N138" s="8">
        <f>SQRT((C138-Sheet2!$C$525)^2+(D138-Sheet2!$D$525)^2+(E138-Sheet2!$E$525)^2+(F138-Sheet2!$F$525)^2+(G138-Sheet2!$G$525)^2+(H138-Sheet2!$H$525)^2+(I138-Sheet2!$I$525)^2+(J138-Sheet2!$J$525)^2+(K138-Sheet2!$K$525)^2+(L138-Sheet2!$L$525)^2)</f>
        <v>2.7469659648778531</v>
      </c>
      <c r="O138" s="8">
        <f>SQRT((C138-Sheet2!$C$526)^2+(D138-Sheet2!$D$526)^2+(E138-Sheet2!$E$526)^2+(F138-Sheet2!$F$526)^2+(G138-Sheet2!$G$526)^2+(H138-Sheet2!$H$526)^2+(I138-Sheet2!$I$526)^2+(J138-Sheet2!$J$526)^2+(K138-Sheet2!$K$526)^2+(L138-Sheet2!$L$526)^2)</f>
        <v>5.6213943400613093</v>
      </c>
      <c r="P138" s="12">
        <f t="shared" si="2"/>
        <v>0</v>
      </c>
      <c r="Q138" s="11">
        <f>IF(P138=Sheet1!$M138, 1, 0)</f>
        <v>1</v>
      </c>
    </row>
    <row r="139" spans="1:17" x14ac:dyDescent="0.35">
      <c r="A139" s="6" t="s">
        <v>144</v>
      </c>
      <c r="B139" s="6" t="s">
        <v>157</v>
      </c>
      <c r="C139" s="6">
        <v>0.34045055546942327</v>
      </c>
      <c r="D139" s="6">
        <v>-0.15136663221169019</v>
      </c>
      <c r="E139" s="6">
        <v>-0.66008034425545659</v>
      </c>
      <c r="F139" s="6">
        <v>-0.86689598616885621</v>
      </c>
      <c r="G139" s="6">
        <v>-1.7411787953762454</v>
      </c>
      <c r="H139" s="6">
        <v>-2.8129500495701707E-2</v>
      </c>
      <c r="I139" s="6">
        <v>-0.67616728247978353</v>
      </c>
      <c r="J139" s="6">
        <v>-0.75140129922070276</v>
      </c>
      <c r="K139" s="6">
        <v>0.80679179412320379</v>
      </c>
      <c r="L139" s="6">
        <v>-0.39347173659357432</v>
      </c>
      <c r="N139" s="8">
        <f>SQRT((C139-Sheet2!$C$525)^2+(D139-Sheet2!$D$525)^2+(E139-Sheet2!$E$525)^2+(F139-Sheet2!$F$525)^2+(G139-Sheet2!$G$525)^2+(H139-Sheet2!$H$525)^2+(I139-Sheet2!$I$525)^2+(J139-Sheet2!$J$525)^2+(K139-Sheet2!$K$525)^2+(L139-Sheet2!$L$525)^2)</f>
        <v>1.9481082094516005</v>
      </c>
      <c r="O139" s="8">
        <f>SQRT((C139-Sheet2!$C$526)^2+(D139-Sheet2!$D$526)^2+(E139-Sheet2!$E$526)^2+(F139-Sheet2!$F$526)^2+(G139-Sheet2!$G$526)^2+(H139-Sheet2!$H$526)^2+(I139-Sheet2!$I$526)^2+(J139-Sheet2!$J$526)^2+(K139-Sheet2!$K$526)^2+(L139-Sheet2!$L$526)^2)</f>
        <v>5.4864210548965939</v>
      </c>
      <c r="P139" s="12">
        <f t="shared" si="2"/>
        <v>0</v>
      </c>
      <c r="Q139" s="11">
        <f>IF(P139=Sheet1!$M139, 1, 0)</f>
        <v>1</v>
      </c>
    </row>
    <row r="140" spans="1:17" x14ac:dyDescent="0.35">
      <c r="A140" s="6" t="s">
        <v>144</v>
      </c>
      <c r="B140" s="6" t="s">
        <v>158</v>
      </c>
      <c r="C140" s="6">
        <v>-0.42450184833314225</v>
      </c>
      <c r="D140" s="6">
        <v>1.5426595520798214</v>
      </c>
      <c r="E140" s="6">
        <v>0.70812754850028414</v>
      </c>
      <c r="F140" s="6">
        <v>1.1791051513580277</v>
      </c>
      <c r="G140" s="6">
        <v>0.51194393862936305</v>
      </c>
      <c r="H140" s="6">
        <v>0.98288727219150862</v>
      </c>
      <c r="I140" s="6">
        <v>0.84999776350116807</v>
      </c>
      <c r="J140" s="6">
        <v>1.4388478950501051</v>
      </c>
      <c r="K140" s="6">
        <v>-0.35749466690972864</v>
      </c>
      <c r="L140" s="6">
        <v>0.3730600835852288</v>
      </c>
      <c r="N140" s="8">
        <f>SQRT((C140-Sheet2!$C$525)^2+(D140-Sheet2!$D$525)^2+(E140-Sheet2!$E$525)^2+(F140-Sheet2!$F$525)^2+(G140-Sheet2!$G$525)^2+(H140-Sheet2!$H$525)^2+(I140-Sheet2!$I$525)^2+(J140-Sheet2!$J$525)^2+(K140-Sheet2!$K$525)^2+(L140-Sheet2!$L$525)^2)</f>
        <v>3.6708521489878301</v>
      </c>
      <c r="O140" s="8">
        <f>SQRT((C140-Sheet2!$C$526)^2+(D140-Sheet2!$D$526)^2+(E140-Sheet2!$E$526)^2+(F140-Sheet2!$F$526)^2+(G140-Sheet2!$G$526)^2+(H140-Sheet2!$H$526)^2+(I140-Sheet2!$I$526)^2+(J140-Sheet2!$J$526)^2+(K140-Sheet2!$K$526)^2+(L140-Sheet2!$L$526)^2)</f>
        <v>1.1058852112227033</v>
      </c>
      <c r="P140" s="12">
        <f t="shared" si="2"/>
        <v>1</v>
      </c>
      <c r="Q140" s="11">
        <f>IF(P140=Sheet1!$M140, 1, 0)</f>
        <v>0</v>
      </c>
    </row>
    <row r="141" spans="1:17" x14ac:dyDescent="0.35">
      <c r="A141" s="6" t="s">
        <v>144</v>
      </c>
      <c r="B141" s="6" t="s">
        <v>159</v>
      </c>
      <c r="C141" s="6">
        <v>-0.44865824003217064</v>
      </c>
      <c r="D141" s="6">
        <v>1.5549351041399058</v>
      </c>
      <c r="E141" s="6">
        <v>0.58618979607644195</v>
      </c>
      <c r="F141" s="6">
        <v>1.1652391797934625</v>
      </c>
      <c r="G141" s="6">
        <v>0.58162814689757625</v>
      </c>
      <c r="H141" s="6">
        <v>0.93925788562376</v>
      </c>
      <c r="I141" s="6">
        <v>0.59882440171482954</v>
      </c>
      <c r="J141" s="6">
        <v>-2.2583543068198139E-2</v>
      </c>
      <c r="K141" s="6">
        <v>-0.4310450213029402</v>
      </c>
      <c r="L141" s="6">
        <v>-0.36787124387990067</v>
      </c>
      <c r="N141" s="8">
        <f>SQRT((C141-Sheet2!$C$525)^2+(D141-Sheet2!$D$525)^2+(E141-Sheet2!$E$525)^2+(F141-Sheet2!$F$525)^2+(G141-Sheet2!$G$525)^2+(H141-Sheet2!$H$525)^2+(I141-Sheet2!$I$525)^2+(J141-Sheet2!$J$525)^2+(K141-Sheet2!$K$525)^2+(L141-Sheet2!$L$525)^2)</f>
        <v>3.1305794561557674</v>
      </c>
      <c r="O141" s="8">
        <f>SQRT((C141-Sheet2!$C$526)^2+(D141-Sheet2!$D$526)^2+(E141-Sheet2!$E$526)^2+(F141-Sheet2!$F$526)^2+(G141-Sheet2!$G$526)^2+(H141-Sheet2!$H$526)^2+(I141-Sheet2!$I$526)^2+(J141-Sheet2!$J$526)^2+(K141-Sheet2!$K$526)^2+(L141-Sheet2!$L$526)^2)</f>
        <v>1.9504257667338925</v>
      </c>
      <c r="P141" s="12">
        <f t="shared" si="2"/>
        <v>1</v>
      </c>
      <c r="Q141" s="11">
        <f>IF(P141=Sheet1!$M141, 1, 0)</f>
        <v>0</v>
      </c>
    </row>
    <row r="142" spans="1:17" x14ac:dyDescent="0.35">
      <c r="A142" s="6" t="s">
        <v>160</v>
      </c>
      <c r="B142" s="6" t="s">
        <v>161</v>
      </c>
      <c r="C142" s="6">
        <v>-1.0015712055877091</v>
      </c>
      <c r="D142" s="6">
        <v>-0.11453997603143964</v>
      </c>
      <c r="E142" s="6">
        <v>0.77333293272693093</v>
      </c>
      <c r="F142" s="6">
        <v>0.39028543568501156</v>
      </c>
      <c r="G142" s="6">
        <v>0.43064569564977895</v>
      </c>
      <c r="H142" s="6">
        <v>0.99796903544949589</v>
      </c>
      <c r="I142" s="6">
        <v>-1.3321505039979122</v>
      </c>
      <c r="J142" s="6">
        <v>0.34562126082134836</v>
      </c>
      <c r="K142" s="6">
        <v>-1.0617001876957779</v>
      </c>
      <c r="L142" s="6">
        <v>-0.23465894184464939</v>
      </c>
      <c r="N142" s="8">
        <f>SQRT((C142-Sheet2!$C$525)^2+(D142-Sheet2!$D$525)^2+(E142-Sheet2!$E$525)^2+(F142-Sheet2!$F$525)^2+(G142-Sheet2!$G$525)^2+(H142-Sheet2!$H$525)^2+(I142-Sheet2!$I$525)^2+(J142-Sheet2!$J$525)^2+(K142-Sheet2!$K$525)^2+(L142-Sheet2!$L$525)^2)</f>
        <v>2.8432290064404335</v>
      </c>
      <c r="O142" s="8">
        <f>SQRT((C142-Sheet2!$C$526)^2+(D142-Sheet2!$D$526)^2+(E142-Sheet2!$E$526)^2+(F142-Sheet2!$F$526)^2+(G142-Sheet2!$G$526)^2+(H142-Sheet2!$H$526)^2+(I142-Sheet2!$I$526)^2+(J142-Sheet2!$J$526)^2+(K142-Sheet2!$K$526)^2+(L142-Sheet2!$L$526)^2)</f>
        <v>3.2109227201796506</v>
      </c>
      <c r="P142" s="12">
        <f t="shared" si="2"/>
        <v>0</v>
      </c>
      <c r="Q142" s="11">
        <f>IF(P142=Sheet1!$M142, 1, 0)</f>
        <v>1</v>
      </c>
    </row>
    <row r="143" spans="1:17" x14ac:dyDescent="0.35">
      <c r="A143" s="6" t="s">
        <v>160</v>
      </c>
      <c r="B143" s="6" t="s">
        <v>162</v>
      </c>
      <c r="C143" s="6">
        <v>-0.68753811350034011</v>
      </c>
      <c r="D143" s="6">
        <v>2.0491096629478348E-2</v>
      </c>
      <c r="E143" s="6">
        <v>1.1929314221854093</v>
      </c>
      <c r="F143" s="6">
        <v>0.40723273426392392</v>
      </c>
      <c r="G143" s="6">
        <v>0.41903166093840805</v>
      </c>
      <c r="H143" s="6">
        <v>0.93548744480926282</v>
      </c>
      <c r="I143" s="6">
        <v>-1.2001888646837695</v>
      </c>
      <c r="J143" s="6">
        <v>-0.5881764892490482</v>
      </c>
      <c r="K143" s="6">
        <v>-0.49833577106693916</v>
      </c>
      <c r="L143" s="6">
        <v>-0.318734080294791</v>
      </c>
      <c r="N143" s="8">
        <f>SQRT((C143-Sheet2!$C$525)^2+(D143-Sheet2!$D$525)^2+(E143-Sheet2!$E$525)^2+(F143-Sheet2!$F$525)^2+(G143-Sheet2!$G$525)^2+(H143-Sheet2!$H$525)^2+(I143-Sheet2!$I$525)^2+(J143-Sheet2!$J$525)^2+(K143-Sheet2!$K$525)^2+(L143-Sheet2!$L$525)^2)</f>
        <v>2.6273053703243443</v>
      </c>
      <c r="O143" s="8">
        <f>SQRT((C143-Sheet2!$C$526)^2+(D143-Sheet2!$D$526)^2+(E143-Sheet2!$E$526)^2+(F143-Sheet2!$F$526)^2+(G143-Sheet2!$G$526)^2+(H143-Sheet2!$H$526)^2+(I143-Sheet2!$I$526)^2+(J143-Sheet2!$J$526)^2+(K143-Sheet2!$K$526)^2+(L143-Sheet2!$L$526)^2)</f>
        <v>3.3652944526376536</v>
      </c>
      <c r="P143" s="12">
        <f t="shared" si="2"/>
        <v>0</v>
      </c>
      <c r="Q143" s="11">
        <f>IF(P143=Sheet1!$M143, 1, 0)</f>
        <v>1</v>
      </c>
    </row>
    <row r="144" spans="1:17" x14ac:dyDescent="0.35">
      <c r="A144" s="6" t="s">
        <v>160</v>
      </c>
      <c r="B144" s="6" t="s">
        <v>163</v>
      </c>
      <c r="C144" s="6">
        <v>-1.2780276883654784</v>
      </c>
      <c r="D144" s="6">
        <v>-0.6116998344648179</v>
      </c>
      <c r="E144" s="6">
        <v>0.71623217252845495</v>
      </c>
      <c r="F144" s="6">
        <v>-5.0344327366711801E-2</v>
      </c>
      <c r="G144" s="6">
        <v>0.12287377579849693</v>
      </c>
      <c r="H144" s="6">
        <v>0.68879288866075861</v>
      </c>
      <c r="I144" s="6">
        <v>-0.31598213169480499</v>
      </c>
      <c r="J144" s="6">
        <v>-0.46670686322363059</v>
      </c>
      <c r="K144" s="6">
        <v>-0.54528280578600863</v>
      </c>
      <c r="L144" s="6">
        <v>-0.24305687950282431</v>
      </c>
      <c r="N144" s="8">
        <f>SQRT((C144-Sheet2!$C$525)^2+(D144-Sheet2!$D$525)^2+(E144-Sheet2!$E$525)^2+(F144-Sheet2!$F$525)^2+(G144-Sheet2!$G$525)^2+(H144-Sheet2!$H$525)^2+(I144-Sheet2!$I$525)^2+(J144-Sheet2!$J$525)^2+(K144-Sheet2!$K$525)^2+(L144-Sheet2!$L$525)^2)</f>
        <v>2.1787778068471653</v>
      </c>
      <c r="O144" s="8">
        <f>SQRT((C144-Sheet2!$C$526)^2+(D144-Sheet2!$D$526)^2+(E144-Sheet2!$E$526)^2+(F144-Sheet2!$F$526)^2+(G144-Sheet2!$G$526)^2+(H144-Sheet2!$H$526)^2+(I144-Sheet2!$I$526)^2+(J144-Sheet2!$J$526)^2+(K144-Sheet2!$K$526)^2+(L144-Sheet2!$L$526)^2)</f>
        <v>3.5183959343013362</v>
      </c>
      <c r="P144" s="12">
        <f t="shared" si="2"/>
        <v>0</v>
      </c>
      <c r="Q144" s="11">
        <f>IF(P144=Sheet1!$M144, 1, 0)</f>
        <v>1</v>
      </c>
    </row>
    <row r="145" spans="1:17" x14ac:dyDescent="0.35">
      <c r="A145" s="6" t="s">
        <v>160</v>
      </c>
      <c r="B145" s="6" t="s">
        <v>164</v>
      </c>
      <c r="C145" s="6">
        <v>-0.95862650923388082</v>
      </c>
      <c r="D145" s="6">
        <v>-0.75900645918581899</v>
      </c>
      <c r="E145" s="6">
        <v>0.96526516539406637</v>
      </c>
      <c r="F145" s="6">
        <v>0.14840126505871687</v>
      </c>
      <c r="G145" s="6">
        <v>0.5409790254077842</v>
      </c>
      <c r="H145" s="6">
        <v>0.83260827401370774</v>
      </c>
      <c r="I145" s="6">
        <v>-0.4976684466925379</v>
      </c>
      <c r="J145" s="6">
        <v>-4.1563172134669542E-2</v>
      </c>
      <c r="K145" s="6">
        <v>-0.50459537569614943</v>
      </c>
      <c r="L145" s="6">
        <v>-0.33384345600748666</v>
      </c>
      <c r="N145" s="8">
        <f>SQRT((C145-Sheet2!$C$525)^2+(D145-Sheet2!$D$525)^2+(E145-Sheet2!$E$525)^2+(F145-Sheet2!$F$525)^2+(G145-Sheet2!$G$525)^2+(H145-Sheet2!$H$525)^2+(I145-Sheet2!$I$525)^2+(J145-Sheet2!$J$525)^2+(K145-Sheet2!$K$525)^2+(L145-Sheet2!$L$525)^2)</f>
        <v>2.3562495990740722</v>
      </c>
      <c r="O145" s="8">
        <f>SQRT((C145-Sheet2!$C$526)^2+(D145-Sheet2!$D$526)^2+(E145-Sheet2!$E$526)^2+(F145-Sheet2!$F$526)^2+(G145-Sheet2!$G$526)^2+(H145-Sheet2!$H$526)^2+(I145-Sheet2!$I$526)^2+(J145-Sheet2!$J$526)^2+(K145-Sheet2!$K$526)^2+(L145-Sheet2!$L$526)^2)</f>
        <v>3.2857550918652216</v>
      </c>
      <c r="P145" s="12">
        <f t="shared" si="2"/>
        <v>0</v>
      </c>
      <c r="Q145" s="11">
        <f>IF(P145=Sheet1!$M145, 1, 0)</f>
        <v>1</v>
      </c>
    </row>
    <row r="146" spans="1:17" x14ac:dyDescent="0.35">
      <c r="A146" s="6" t="s">
        <v>160</v>
      </c>
      <c r="B146" s="6" t="s">
        <v>165</v>
      </c>
      <c r="C146" s="6">
        <v>-1.1518776428261079</v>
      </c>
      <c r="D146" s="6">
        <v>-1.0597574846578628</v>
      </c>
      <c r="E146" s="6">
        <v>0.53166777988692937</v>
      </c>
      <c r="F146" s="6">
        <v>-0.44167285818887053</v>
      </c>
      <c r="G146" s="6">
        <v>-0.37943322546821812</v>
      </c>
      <c r="H146" s="6">
        <v>0.3332941832939188</v>
      </c>
      <c r="I146" s="6">
        <v>-1.0191400455281341</v>
      </c>
      <c r="J146" s="6">
        <v>8.7498305517336422E-2</v>
      </c>
      <c r="K146" s="6">
        <v>-7.8942260909916143E-2</v>
      </c>
      <c r="L146" s="6">
        <v>-0.32781196274008217</v>
      </c>
      <c r="N146" s="8">
        <f>SQRT((C146-Sheet2!$C$525)^2+(D146-Sheet2!$D$525)^2+(E146-Sheet2!$E$525)^2+(F146-Sheet2!$F$525)^2+(G146-Sheet2!$G$525)^2+(H146-Sheet2!$H$525)^2+(I146-Sheet2!$I$525)^2+(J146-Sheet2!$J$525)^2+(K146-Sheet2!$K$525)^2+(L146-Sheet2!$L$525)^2)</f>
        <v>2.0632616265087966</v>
      </c>
      <c r="O146" s="8">
        <f>SQRT((C146-Sheet2!$C$526)^2+(D146-Sheet2!$D$526)^2+(E146-Sheet2!$E$526)^2+(F146-Sheet2!$F$526)^2+(G146-Sheet2!$G$526)^2+(H146-Sheet2!$H$526)^2+(I146-Sheet2!$I$526)^2+(J146-Sheet2!$J$526)^2+(K146-Sheet2!$K$526)^2+(L146-Sheet2!$L$526)^2)</f>
        <v>4.2532250282079564</v>
      </c>
      <c r="P146" s="12">
        <f t="shared" si="2"/>
        <v>0</v>
      </c>
      <c r="Q146" s="11">
        <f>IF(P146=Sheet1!$M146, 1, 0)</f>
        <v>1</v>
      </c>
    </row>
    <row r="147" spans="1:17" x14ac:dyDescent="0.35">
      <c r="A147" s="6" t="s">
        <v>160</v>
      </c>
      <c r="B147" s="6" t="s">
        <v>166</v>
      </c>
      <c r="C147" s="6">
        <v>-0.68082800469505445</v>
      </c>
      <c r="D147" s="6">
        <v>2.0491096629478348E-2</v>
      </c>
      <c r="E147" s="6">
        <v>0.52872064387668538</v>
      </c>
      <c r="F147" s="6">
        <v>0.23005643093893152</v>
      </c>
      <c r="G147" s="6">
        <v>0.70938252872263574</v>
      </c>
      <c r="H147" s="6">
        <v>0.66024526535099715</v>
      </c>
      <c r="I147" s="6">
        <v>-1.6018112452050728</v>
      </c>
      <c r="J147" s="6">
        <v>-0.48568649229010219</v>
      </c>
      <c r="K147" s="6">
        <v>-3.6689929662751655E-2</v>
      </c>
      <c r="L147" s="6">
        <v>-0.33955297793950889</v>
      </c>
      <c r="N147" s="8">
        <f>SQRT((C147-Sheet2!$C$525)^2+(D147-Sheet2!$D$525)^2+(E147-Sheet2!$E$525)^2+(F147-Sheet2!$F$525)^2+(G147-Sheet2!$G$525)^2+(H147-Sheet2!$H$525)^2+(I147-Sheet2!$I$525)^2+(J147-Sheet2!$J$525)^2+(K147-Sheet2!$K$525)^2+(L147-Sheet2!$L$525)^2)</f>
        <v>2.3599688393579235</v>
      </c>
      <c r="O147" s="8">
        <f>SQRT((C147-Sheet2!$C$526)^2+(D147-Sheet2!$D$526)^2+(E147-Sheet2!$E$526)^2+(F147-Sheet2!$F$526)^2+(G147-Sheet2!$G$526)^2+(H147-Sheet2!$H$526)^2+(I147-Sheet2!$I$526)^2+(J147-Sheet2!$J$526)^2+(K147-Sheet2!$K$526)^2+(L147-Sheet2!$L$526)^2)</f>
        <v>3.7396871657996096</v>
      </c>
      <c r="P147" s="12">
        <f t="shared" si="2"/>
        <v>0</v>
      </c>
      <c r="Q147" s="11">
        <f>IF(P147=Sheet1!$M147, 1, 0)</f>
        <v>1</v>
      </c>
    </row>
    <row r="148" spans="1:17" x14ac:dyDescent="0.35">
      <c r="A148" s="6" t="s">
        <v>160</v>
      </c>
      <c r="B148" s="6" t="s">
        <v>167</v>
      </c>
      <c r="C148" s="6">
        <v>-1.0082813143929947</v>
      </c>
      <c r="D148" s="6">
        <v>1.0393619176164022</v>
      </c>
      <c r="E148" s="6">
        <v>1.9860794009423048</v>
      </c>
      <c r="F148" s="6">
        <v>1.3316308385682389</v>
      </c>
      <c r="G148" s="6">
        <v>1.0897421655199746</v>
      </c>
      <c r="H148" s="6">
        <v>1.0545256476669476</v>
      </c>
      <c r="I148" s="6">
        <v>0.71166116576605254</v>
      </c>
      <c r="J148" s="6">
        <v>0.66447902913806911</v>
      </c>
      <c r="K148" s="6">
        <v>-0.67360470068480072</v>
      </c>
      <c r="L148" s="6">
        <v>-0.25809932847223815</v>
      </c>
      <c r="N148" s="8">
        <f>SQRT((C148-Sheet2!$C$525)^2+(D148-Sheet2!$D$525)^2+(E148-Sheet2!$E$525)^2+(F148-Sheet2!$F$525)^2+(G148-Sheet2!$G$525)^2+(H148-Sheet2!$H$525)^2+(I148-Sheet2!$I$525)^2+(J148-Sheet2!$J$525)^2+(K148-Sheet2!$K$525)^2+(L148-Sheet2!$L$525)^2)</f>
        <v>4.1006379961267552</v>
      </c>
      <c r="O148" s="8">
        <f>SQRT((C148-Sheet2!$C$526)^2+(D148-Sheet2!$D$526)^2+(E148-Sheet2!$E$526)^2+(F148-Sheet2!$F$526)^2+(G148-Sheet2!$G$526)^2+(H148-Sheet2!$H$526)^2+(I148-Sheet2!$I$526)^2+(J148-Sheet2!$J$526)^2+(K148-Sheet2!$K$526)^2+(L148-Sheet2!$L$526)^2)</f>
        <v>1.3686571286122842</v>
      </c>
      <c r="P148" s="12">
        <f t="shared" si="2"/>
        <v>1</v>
      </c>
      <c r="Q148" s="11">
        <f>IF(P148=Sheet1!$M148, 1, 0)</f>
        <v>0</v>
      </c>
    </row>
    <row r="149" spans="1:17" x14ac:dyDescent="0.35">
      <c r="A149" s="6" t="s">
        <v>168</v>
      </c>
      <c r="B149" s="6" t="s">
        <v>169</v>
      </c>
      <c r="C149" s="6">
        <v>-0.72779876633205409</v>
      </c>
      <c r="D149" s="6">
        <v>-0.15750440824173179</v>
      </c>
      <c r="E149" s="6">
        <v>0.57255929202906375</v>
      </c>
      <c r="F149" s="6">
        <v>0.27319500913979972</v>
      </c>
      <c r="G149" s="6">
        <v>0.42193516961625177</v>
      </c>
      <c r="H149" s="6">
        <v>0.84445823085926897</v>
      </c>
      <c r="I149" s="6">
        <v>0.18891457524626096</v>
      </c>
      <c r="J149" s="6">
        <v>0.81252013585654681</v>
      </c>
      <c r="K149" s="6">
        <v>-1.3465121983248018</v>
      </c>
      <c r="L149" s="6">
        <v>-0.26393137879096173</v>
      </c>
      <c r="N149" s="8">
        <f>SQRT((C149-Sheet2!$C$525)^2+(D149-Sheet2!$D$525)^2+(E149-Sheet2!$E$525)^2+(F149-Sheet2!$F$525)^2+(G149-Sheet2!$G$525)^2+(H149-Sheet2!$H$525)^2+(I149-Sheet2!$I$525)^2+(J149-Sheet2!$J$525)^2+(K149-Sheet2!$K$525)^2+(L149-Sheet2!$L$525)^2)</f>
        <v>2.6368090198395753</v>
      </c>
      <c r="O149" s="8">
        <f>SQRT((C149-Sheet2!$C$526)^2+(D149-Sheet2!$D$526)^2+(E149-Sheet2!$E$526)^2+(F149-Sheet2!$F$526)^2+(G149-Sheet2!$G$526)^2+(H149-Sheet2!$H$526)^2+(I149-Sheet2!$I$526)^2+(J149-Sheet2!$J$526)^2+(K149-Sheet2!$K$526)^2+(L149-Sheet2!$L$526)^2)</f>
        <v>2.5797360251698276</v>
      </c>
      <c r="P149" s="12">
        <f t="shared" si="2"/>
        <v>1</v>
      </c>
      <c r="Q149" s="11">
        <f>IF(P149=Sheet1!$M149, 1, 0)</f>
        <v>0</v>
      </c>
    </row>
    <row r="150" spans="1:17" x14ac:dyDescent="0.35">
      <c r="A150" s="6" t="s">
        <v>168</v>
      </c>
      <c r="B150" s="6" t="s">
        <v>170</v>
      </c>
      <c r="C150" s="6">
        <v>-0.7855057020575108</v>
      </c>
      <c r="D150" s="6">
        <v>0.1432466172303121</v>
      </c>
      <c r="E150" s="6">
        <v>1.4986967832482163</v>
      </c>
      <c r="F150" s="6">
        <v>0.7153654356986956</v>
      </c>
      <c r="G150" s="6">
        <v>0.23320710555650215</v>
      </c>
      <c r="H150" s="6">
        <v>0.13776989534215694</v>
      </c>
      <c r="I150" s="6">
        <v>-0.54165565979725194</v>
      </c>
      <c r="J150" s="6">
        <v>1.3515416013443362</v>
      </c>
      <c r="K150" s="6">
        <v>-0.9818902286733594</v>
      </c>
      <c r="L150" s="6">
        <v>-0.16779925067623339</v>
      </c>
      <c r="N150" s="8">
        <f>SQRT((C150-Sheet2!$C$525)^2+(D150-Sheet2!$D$525)^2+(E150-Sheet2!$E$525)^2+(F150-Sheet2!$F$525)^2+(G150-Sheet2!$G$525)^2+(H150-Sheet2!$H$525)^2+(I150-Sheet2!$I$525)^2+(J150-Sheet2!$J$525)^2+(K150-Sheet2!$K$525)^2+(L150-Sheet2!$L$525)^2)</f>
        <v>3.1328440911166502</v>
      </c>
      <c r="O150" s="8">
        <f>SQRT((C150-Sheet2!$C$526)^2+(D150-Sheet2!$D$526)^2+(E150-Sheet2!$E$526)^2+(F150-Sheet2!$F$526)^2+(G150-Sheet2!$G$526)^2+(H150-Sheet2!$H$526)^2+(I150-Sheet2!$I$526)^2+(J150-Sheet2!$J$526)^2+(K150-Sheet2!$K$526)^2+(L150-Sheet2!$L$526)^2)</f>
        <v>2.38504064160034</v>
      </c>
      <c r="P150" s="12">
        <f t="shared" si="2"/>
        <v>1</v>
      </c>
      <c r="Q150" s="11">
        <f>IF(P150=Sheet1!$M150, 1, 0)</f>
        <v>0</v>
      </c>
    </row>
    <row r="151" spans="1:17" x14ac:dyDescent="0.35">
      <c r="A151" s="6" t="s">
        <v>168</v>
      </c>
      <c r="B151" s="6" t="s">
        <v>171</v>
      </c>
      <c r="C151" s="6">
        <v>-0.98278290093290921</v>
      </c>
      <c r="D151" s="6">
        <v>0.29669101798135483</v>
      </c>
      <c r="E151" s="6">
        <v>1.6158454396554121</v>
      </c>
      <c r="F151" s="6">
        <v>0.48734723663696611</v>
      </c>
      <c r="G151" s="6">
        <v>-1.262099863532268</v>
      </c>
      <c r="H151" s="6">
        <v>-0.34969423853207149</v>
      </c>
      <c r="I151" s="6">
        <v>-0.247132580748296</v>
      </c>
      <c r="J151" s="6">
        <v>3.4355344131216416E-2</v>
      </c>
      <c r="K151" s="6">
        <v>0.44529962678636542</v>
      </c>
      <c r="L151" s="6">
        <v>-0.15292389916733301</v>
      </c>
      <c r="N151" s="8">
        <f>SQRT((C151-Sheet2!$C$525)^2+(D151-Sheet2!$D$525)^2+(E151-Sheet2!$E$525)^2+(F151-Sheet2!$F$525)^2+(G151-Sheet2!$G$525)^2+(H151-Sheet2!$H$525)^2+(I151-Sheet2!$I$525)^2+(J151-Sheet2!$J$525)^2+(K151-Sheet2!$K$525)^2+(L151-Sheet2!$L$525)^2)</f>
        <v>2.7222276423719829</v>
      </c>
      <c r="O151" s="8">
        <f>SQRT((C151-Sheet2!$C$526)^2+(D151-Sheet2!$D$526)^2+(E151-Sheet2!$E$526)^2+(F151-Sheet2!$F$526)^2+(G151-Sheet2!$G$526)^2+(H151-Sheet2!$H$526)^2+(I151-Sheet2!$I$526)^2+(J151-Sheet2!$J$526)^2+(K151-Sheet2!$K$526)^2+(L151-Sheet2!$L$526)^2)</f>
        <v>3.5517836735468626</v>
      </c>
      <c r="P151" s="12">
        <f t="shared" si="2"/>
        <v>0</v>
      </c>
      <c r="Q151" s="11">
        <f>IF(P151=Sheet1!$M151, 1, 0)</f>
        <v>1</v>
      </c>
    </row>
    <row r="152" spans="1:17" x14ac:dyDescent="0.35">
      <c r="A152" s="6" t="s">
        <v>168</v>
      </c>
      <c r="B152" s="6" t="s">
        <v>172</v>
      </c>
      <c r="C152" s="6">
        <v>0.22235264049639553</v>
      </c>
      <c r="D152" s="6">
        <v>-0.95541529214715393</v>
      </c>
      <c r="E152" s="6">
        <v>0.59429442010461264</v>
      </c>
      <c r="F152" s="6">
        <v>-0.63117446957125567</v>
      </c>
      <c r="G152" s="6">
        <v>-2.1099243974622133</v>
      </c>
      <c r="H152" s="6">
        <v>-0.48596874225602615</v>
      </c>
      <c r="I152" s="6">
        <v>-0.24777007659039363</v>
      </c>
      <c r="J152" s="6">
        <v>-0.3148698306918587</v>
      </c>
      <c r="K152" s="6">
        <v>-0.77845307822405707</v>
      </c>
      <c r="L152" s="6">
        <v>-0.39684927001983133</v>
      </c>
      <c r="N152" s="8">
        <f>SQRT((C152-Sheet2!$C$525)^2+(D152-Sheet2!$D$525)^2+(E152-Sheet2!$E$525)^2+(F152-Sheet2!$F$525)^2+(G152-Sheet2!$G$525)^2+(H152-Sheet2!$H$525)^2+(I152-Sheet2!$I$525)^2+(J152-Sheet2!$J$525)^2+(K152-Sheet2!$K$525)^2+(L152-Sheet2!$L$525)^2)</f>
        <v>2.4353635763791845</v>
      </c>
      <c r="O152" s="8">
        <f>SQRT((C152-Sheet2!$C$526)^2+(D152-Sheet2!$D$526)^2+(E152-Sheet2!$E$526)^2+(F152-Sheet2!$F$526)^2+(G152-Sheet2!$G$526)^2+(H152-Sheet2!$H$526)^2+(I152-Sheet2!$I$526)^2+(J152-Sheet2!$J$526)^2+(K152-Sheet2!$K$526)^2+(L152-Sheet2!$L$526)^2)</f>
        <v>5.1814065800086757</v>
      </c>
      <c r="P152" s="12">
        <f t="shared" si="2"/>
        <v>0</v>
      </c>
      <c r="Q152" s="11">
        <f>IF(P152=Sheet1!$M152, 1, 0)</f>
        <v>1</v>
      </c>
    </row>
    <row r="153" spans="1:17" x14ac:dyDescent="0.35">
      <c r="A153" s="6" t="s">
        <v>168</v>
      </c>
      <c r="B153" s="6" t="s">
        <v>173</v>
      </c>
      <c r="C153" s="6">
        <v>-0.69559024406668291</v>
      </c>
      <c r="D153" s="6">
        <v>-0.67307759476523532</v>
      </c>
      <c r="E153" s="6">
        <v>0.59871512411997863</v>
      </c>
      <c r="F153" s="6">
        <v>-0.10734887713214306</v>
      </c>
      <c r="G153" s="6">
        <v>-0.66688058457460209</v>
      </c>
      <c r="H153" s="6">
        <v>-2.3377938165760215</v>
      </c>
      <c r="I153" s="6">
        <v>-4.1199198214894333</v>
      </c>
      <c r="J153" s="6">
        <v>-1.4384638714269702</v>
      </c>
      <c r="K153" s="6">
        <v>0.1307544941685965</v>
      </c>
      <c r="L153" s="6">
        <v>-0.22682776066002291</v>
      </c>
      <c r="N153" s="8">
        <f>SQRT((C153-Sheet2!$C$525)^2+(D153-Sheet2!$D$525)^2+(E153-Sheet2!$E$525)^2+(F153-Sheet2!$F$525)^2+(G153-Sheet2!$G$525)^2+(H153-Sheet2!$H$525)^2+(I153-Sheet2!$I$525)^2+(J153-Sheet2!$J$525)^2+(K153-Sheet2!$K$525)^2+(L153-Sheet2!$L$525)^2)</f>
        <v>4.8545266442942374</v>
      </c>
      <c r="O153" s="8">
        <f>SQRT((C153-Sheet2!$C$526)^2+(D153-Sheet2!$D$526)^2+(E153-Sheet2!$E$526)^2+(F153-Sheet2!$F$526)^2+(G153-Sheet2!$G$526)^2+(H153-Sheet2!$H$526)^2+(I153-Sheet2!$I$526)^2+(J153-Sheet2!$J$526)^2+(K153-Sheet2!$K$526)^2+(L153-Sheet2!$L$526)^2)</f>
        <v>7.2027249807448728</v>
      </c>
      <c r="P153" s="12">
        <f t="shared" si="2"/>
        <v>0</v>
      </c>
      <c r="Q153" s="11">
        <f>IF(P153=Sheet1!$M153, 1, 0)</f>
        <v>1</v>
      </c>
    </row>
    <row r="154" spans="1:17" x14ac:dyDescent="0.35">
      <c r="A154" s="6" t="s">
        <v>168</v>
      </c>
      <c r="B154" s="6" t="s">
        <v>174</v>
      </c>
      <c r="C154" s="6">
        <v>-0.96936268332233788</v>
      </c>
      <c r="D154" s="6">
        <v>1.6654150726806562</v>
      </c>
      <c r="E154" s="6">
        <v>2.8400120599104812</v>
      </c>
      <c r="F154" s="6">
        <v>1.7245000328975744</v>
      </c>
      <c r="G154" s="6">
        <v>1.0752246221307642</v>
      </c>
      <c r="H154" s="6">
        <v>1.1110822598843992</v>
      </c>
      <c r="I154" s="6">
        <v>0.66894894434553287</v>
      </c>
      <c r="J154" s="6">
        <v>2.497911196959214</v>
      </c>
      <c r="K154" s="6">
        <v>0.24968698212357429</v>
      </c>
      <c r="L154" s="6">
        <v>1.8618480370812447</v>
      </c>
      <c r="N154" s="8">
        <f>SQRT((C154-Sheet2!$C$525)^2+(D154-Sheet2!$D$525)^2+(E154-Sheet2!$E$525)^2+(F154-Sheet2!$F$525)^2+(G154-Sheet2!$G$525)^2+(H154-Sheet2!$H$525)^2+(I154-Sheet2!$I$525)^2+(J154-Sheet2!$J$525)^2+(K154-Sheet2!$K$525)^2+(L154-Sheet2!$L$525)^2)</f>
        <v>5.9339757350180768</v>
      </c>
      <c r="O154" s="8">
        <f>SQRT((C154-Sheet2!$C$526)^2+(D154-Sheet2!$D$526)^2+(E154-Sheet2!$E$526)^2+(F154-Sheet2!$F$526)^2+(G154-Sheet2!$G$526)^2+(H154-Sheet2!$H$526)^2+(I154-Sheet2!$I$526)^2+(J154-Sheet2!$J$526)^2+(K154-Sheet2!$K$526)^2+(L154-Sheet2!$L$526)^2)</f>
        <v>2.468611564656531</v>
      </c>
      <c r="P154" s="12">
        <f t="shared" si="2"/>
        <v>1</v>
      </c>
      <c r="Q154" s="11">
        <f>IF(P154=Sheet1!$M154, 1, 0)</f>
        <v>0</v>
      </c>
    </row>
    <row r="155" spans="1:17" x14ac:dyDescent="0.35">
      <c r="A155" s="6" t="s">
        <v>168</v>
      </c>
      <c r="B155" s="6" t="s">
        <v>175</v>
      </c>
      <c r="C155" s="6">
        <v>-0.36276884732451409</v>
      </c>
      <c r="D155" s="6">
        <v>1.1191530060069437</v>
      </c>
      <c r="E155" s="6">
        <v>1.8840348165876091</v>
      </c>
      <c r="F155" s="6">
        <v>1.3870947248264998</v>
      </c>
      <c r="G155" s="6">
        <v>0.73261059814537755</v>
      </c>
      <c r="H155" s="6">
        <v>0.39146669871758344</v>
      </c>
      <c r="I155" s="6">
        <v>0.41586309503290225</v>
      </c>
      <c r="J155" s="6">
        <v>0.47468273847335435</v>
      </c>
      <c r="K155" s="6">
        <v>-1.3934592330438713</v>
      </c>
      <c r="L155" s="6">
        <v>-0.16598723469827575</v>
      </c>
      <c r="N155" s="8">
        <f>SQRT((C155-Sheet2!$C$525)^2+(D155-Sheet2!$D$525)^2+(E155-Sheet2!$E$525)^2+(F155-Sheet2!$F$525)^2+(G155-Sheet2!$G$525)^2+(H155-Sheet2!$H$525)^2+(I155-Sheet2!$I$525)^2+(J155-Sheet2!$J$525)^2+(K155-Sheet2!$K$525)^2+(L155-Sheet2!$L$525)^2)</f>
        <v>3.8180361418860365</v>
      </c>
      <c r="O155" s="8">
        <f>SQRT((C155-Sheet2!$C$526)^2+(D155-Sheet2!$D$526)^2+(E155-Sheet2!$E$526)^2+(F155-Sheet2!$F$526)^2+(G155-Sheet2!$G$526)^2+(H155-Sheet2!$H$526)^2+(I155-Sheet2!$I$526)^2+(J155-Sheet2!$J$526)^2+(K155-Sheet2!$K$526)^2+(L155-Sheet2!$L$526)^2)</f>
        <v>1.6498691919431356</v>
      </c>
      <c r="P155" s="12">
        <f t="shared" si="2"/>
        <v>1</v>
      </c>
      <c r="Q155" s="11">
        <f>IF(P155=Sheet1!$M155, 1, 0)</f>
        <v>0</v>
      </c>
    </row>
    <row r="156" spans="1:17" x14ac:dyDescent="0.35">
      <c r="A156" s="6" t="s">
        <v>176</v>
      </c>
      <c r="B156" s="6" t="s">
        <v>177</v>
      </c>
      <c r="C156" s="6">
        <v>0.37400109949585159</v>
      </c>
      <c r="D156" s="6">
        <v>0.22917548165089638</v>
      </c>
      <c r="E156" s="6">
        <v>0.83338082893565091</v>
      </c>
      <c r="F156" s="6">
        <v>0.33482154942675274</v>
      </c>
      <c r="G156" s="6">
        <v>-0.19360867008631225</v>
      </c>
      <c r="H156" s="6">
        <v>0.35268502176847366</v>
      </c>
      <c r="I156" s="6">
        <v>0.57906203060981287</v>
      </c>
      <c r="J156" s="6">
        <v>1.3363578980911595</v>
      </c>
      <c r="K156" s="6">
        <v>-0.62822256712303226</v>
      </c>
      <c r="L156" s="6">
        <v>-0.38269013704963545</v>
      </c>
      <c r="N156" s="8">
        <f>SQRT((C156-Sheet2!$C$525)^2+(D156-Sheet2!$D$525)^2+(E156-Sheet2!$E$525)^2+(F156-Sheet2!$F$525)^2+(G156-Sheet2!$G$525)^2+(H156-Sheet2!$H$525)^2+(I156-Sheet2!$I$525)^2+(J156-Sheet2!$J$525)^2+(K156-Sheet2!$K$525)^2+(L156-Sheet2!$L$525)^2)</f>
        <v>2.4794686602928313</v>
      </c>
      <c r="O156" s="8">
        <f>SQRT((C156-Sheet2!$C$526)^2+(D156-Sheet2!$D$526)^2+(E156-Sheet2!$E$526)^2+(F156-Sheet2!$F$526)^2+(G156-Sheet2!$G$526)^2+(H156-Sheet2!$H$526)^2+(I156-Sheet2!$I$526)^2+(J156-Sheet2!$J$526)^2+(K156-Sheet2!$K$526)^2+(L156-Sheet2!$L$526)^2)</f>
        <v>2.6343822797294609</v>
      </c>
      <c r="P156" s="12">
        <f t="shared" si="2"/>
        <v>0</v>
      </c>
      <c r="Q156" s="11">
        <f>IF(P156=Sheet1!$M156, 1, 0)</f>
        <v>1</v>
      </c>
    </row>
    <row r="157" spans="1:17" x14ac:dyDescent="0.35">
      <c r="A157" s="6" t="s">
        <v>176</v>
      </c>
      <c r="B157" s="6" t="s">
        <v>178</v>
      </c>
      <c r="C157" s="6">
        <v>-1.1693239257198504</v>
      </c>
      <c r="D157" s="6">
        <v>1.9661660981527</v>
      </c>
      <c r="E157" s="6">
        <v>4.9965788354064706</v>
      </c>
      <c r="F157" s="6">
        <v>2.3068708386092931</v>
      </c>
      <c r="G157" s="6">
        <v>1.3191193510695163</v>
      </c>
      <c r="H157" s="6">
        <v>1.0399825188110317</v>
      </c>
      <c r="I157" s="6">
        <v>0.94498464397366644</v>
      </c>
      <c r="J157" s="6">
        <v>0.86186717142937253</v>
      </c>
      <c r="K157" s="6">
        <v>-1.2557479312012669</v>
      </c>
      <c r="L157" s="6">
        <v>8.5133565675385334</v>
      </c>
      <c r="N157" s="8">
        <f>SQRT((C157-Sheet2!$C$525)^2+(D157-Sheet2!$D$525)^2+(E157-Sheet2!$E$525)^2+(F157-Sheet2!$F$525)^2+(G157-Sheet2!$G$525)^2+(H157-Sheet2!$H$525)^2+(I157-Sheet2!$I$525)^2+(J157-Sheet2!$J$525)^2+(K157-Sheet2!$K$525)^2+(L157-Sheet2!$L$525)^2)</f>
        <v>11.220969108983571</v>
      </c>
      <c r="O157" s="8">
        <f>SQRT((C157-Sheet2!$C$526)^2+(D157-Sheet2!$D$526)^2+(E157-Sheet2!$E$526)^2+(F157-Sheet2!$F$526)^2+(G157-Sheet2!$G$526)^2+(H157-Sheet2!$H$526)^2+(I157-Sheet2!$I$526)^2+(J157-Sheet2!$J$526)^2+(K157-Sheet2!$K$526)^2+(L157-Sheet2!$L$526)^2)</f>
        <v>8.6610332586029131</v>
      </c>
      <c r="P157" s="12">
        <f t="shared" si="2"/>
        <v>1</v>
      </c>
      <c r="Q157" s="11">
        <f>IF(P157=Sheet1!$M157, 1, 0)</f>
        <v>0</v>
      </c>
    </row>
    <row r="158" spans="1:17" x14ac:dyDescent="0.35">
      <c r="A158" s="6" t="s">
        <v>176</v>
      </c>
      <c r="B158" s="6" t="s">
        <v>179</v>
      </c>
      <c r="C158" s="6">
        <v>-1.0726983589237371</v>
      </c>
      <c r="D158" s="6">
        <v>1.9845794262428249</v>
      </c>
      <c r="E158" s="6">
        <v>2.7291260675250535</v>
      </c>
      <c r="F158" s="6">
        <v>2.0095227817247374</v>
      </c>
      <c r="G158" s="6">
        <v>1.4178386461161547</v>
      </c>
      <c r="H158" s="6">
        <v>1.0518324756565929</v>
      </c>
      <c r="I158" s="6">
        <v>0.92075980197396912</v>
      </c>
      <c r="J158" s="6">
        <v>1.2035004946258592</v>
      </c>
      <c r="K158" s="6">
        <v>-1.3480770994821039</v>
      </c>
      <c r="L158" s="6">
        <v>6.098797322843228</v>
      </c>
      <c r="N158" s="8">
        <f>SQRT((C158-Sheet2!$C$525)^2+(D158-Sheet2!$D$525)^2+(E158-Sheet2!$E$525)^2+(F158-Sheet2!$F$525)^2+(G158-Sheet2!$G$525)^2+(H158-Sheet2!$H$525)^2+(I158-Sheet2!$I$525)^2+(J158-Sheet2!$J$525)^2+(K158-Sheet2!$K$525)^2+(L158-Sheet2!$L$525)^2)</f>
        <v>8.4037788387445058</v>
      </c>
      <c r="O158" s="8">
        <f>SQRT((C158-Sheet2!$C$526)^2+(D158-Sheet2!$D$526)^2+(E158-Sheet2!$E$526)^2+(F158-Sheet2!$F$526)^2+(G158-Sheet2!$G$526)^2+(H158-Sheet2!$H$526)^2+(I158-Sheet2!$I$526)^2+(J158-Sheet2!$J$526)^2+(K158-Sheet2!$K$526)^2+(L158-Sheet2!$L$526)^2)</f>
        <v>5.6506863562841172</v>
      </c>
      <c r="P158" s="12">
        <f t="shared" si="2"/>
        <v>1</v>
      </c>
      <c r="Q158" s="11">
        <f>IF(P158=Sheet1!$M158, 1, 0)</f>
        <v>0</v>
      </c>
    </row>
    <row r="159" spans="1:17" x14ac:dyDescent="0.35">
      <c r="A159" s="6" t="s">
        <v>176</v>
      </c>
      <c r="B159" s="6" t="s">
        <v>180</v>
      </c>
      <c r="C159" s="6">
        <v>-0.98412492269396634</v>
      </c>
      <c r="D159" s="6">
        <v>1.8127216974016573</v>
      </c>
      <c r="E159" s="6">
        <v>2.5935578110538331</v>
      </c>
      <c r="F159" s="6">
        <v>1.7922892272132238</v>
      </c>
      <c r="G159" s="6">
        <v>1.3162158423916726</v>
      </c>
      <c r="H159" s="6">
        <v>0.66563160937170729</v>
      </c>
      <c r="I159" s="6">
        <v>0.94753462734205607</v>
      </c>
      <c r="J159" s="6">
        <v>1.0212960555877328</v>
      </c>
      <c r="K159" s="6">
        <v>-0.98502003098796342</v>
      </c>
      <c r="L159" s="6">
        <v>9.1544620291523184</v>
      </c>
      <c r="N159" s="8">
        <f>SQRT((C159-Sheet2!$C$525)^2+(D159-Sheet2!$D$525)^2+(E159-Sheet2!$E$525)^2+(F159-Sheet2!$F$525)^2+(G159-Sheet2!$G$525)^2+(H159-Sheet2!$H$525)^2+(I159-Sheet2!$I$525)^2+(J159-Sheet2!$J$525)^2+(K159-Sheet2!$K$525)^2+(L159-Sheet2!$L$525)^2)</f>
        <v>10.631157134783852</v>
      </c>
      <c r="O159" s="8">
        <f>SQRT((C159-Sheet2!$C$526)^2+(D159-Sheet2!$D$526)^2+(E159-Sheet2!$E$526)^2+(F159-Sheet2!$F$526)^2+(G159-Sheet2!$G$526)^2+(H159-Sheet2!$H$526)^2+(I159-Sheet2!$I$526)^2+(J159-Sheet2!$J$526)^2+(K159-Sheet2!$K$526)^2+(L159-Sheet2!$L$526)^2)</f>
        <v>8.5219934090298981</v>
      </c>
      <c r="P159" s="12">
        <f t="shared" si="2"/>
        <v>1</v>
      </c>
      <c r="Q159" s="11">
        <f>IF(P159=Sheet1!$M159, 1, 0)</f>
        <v>0</v>
      </c>
    </row>
    <row r="160" spans="1:17" x14ac:dyDescent="0.35">
      <c r="A160" s="6" t="s">
        <v>176</v>
      </c>
      <c r="B160" s="6" t="s">
        <v>181</v>
      </c>
      <c r="C160" s="6">
        <v>-1.0686722936405657</v>
      </c>
      <c r="D160" s="6">
        <v>1.4383173595691123</v>
      </c>
      <c r="E160" s="6">
        <v>3.8593527274535977</v>
      </c>
      <c r="F160" s="6">
        <v>1.8231024973567014</v>
      </c>
      <c r="G160" s="6">
        <v>1.1710404084995587</v>
      </c>
      <c r="H160" s="6">
        <v>1.1067731846678317</v>
      </c>
      <c r="I160" s="6">
        <v>0.94753462734205607</v>
      </c>
      <c r="J160" s="6">
        <v>1.5185623371292858</v>
      </c>
      <c r="K160" s="6">
        <v>-0.97876042635875427</v>
      </c>
      <c r="L160" s="6">
        <v>6.386729963153571</v>
      </c>
      <c r="N160" s="8">
        <f>SQRT((C160-Sheet2!$C$525)^2+(D160-Sheet2!$D$525)^2+(E160-Sheet2!$E$525)^2+(F160-Sheet2!$F$525)^2+(G160-Sheet2!$G$525)^2+(H160-Sheet2!$H$525)^2+(I160-Sheet2!$I$525)^2+(J160-Sheet2!$J$525)^2+(K160-Sheet2!$K$525)^2+(L160-Sheet2!$L$525)^2)</f>
        <v>8.885738469799433</v>
      </c>
      <c r="O160" s="8">
        <f>SQRT((C160-Sheet2!$C$526)^2+(D160-Sheet2!$D$526)^2+(E160-Sheet2!$E$526)^2+(F160-Sheet2!$F$526)^2+(G160-Sheet2!$G$526)^2+(H160-Sheet2!$H$526)^2+(I160-Sheet2!$I$526)^2+(J160-Sheet2!$J$526)^2+(K160-Sheet2!$K$526)^2+(L160-Sheet2!$L$526)^2)</f>
        <v>6.1915460195001737</v>
      </c>
      <c r="P160" s="12">
        <f t="shared" si="2"/>
        <v>1</v>
      </c>
      <c r="Q160" s="11">
        <f>IF(P160=Sheet1!$M160, 1, 0)</f>
        <v>0</v>
      </c>
    </row>
    <row r="161" spans="1:17" x14ac:dyDescent="0.35">
      <c r="A161" s="6" t="s">
        <v>176</v>
      </c>
      <c r="B161" s="6" t="s">
        <v>182</v>
      </c>
      <c r="C161" s="6">
        <v>-0.67545991765082591</v>
      </c>
      <c r="D161" s="6">
        <v>1.4567306876592383</v>
      </c>
      <c r="E161" s="6">
        <v>3.1082014368426782</v>
      </c>
      <c r="F161" s="6">
        <v>1.6305195589599693</v>
      </c>
      <c r="G161" s="6">
        <v>1.0723211134529202</v>
      </c>
      <c r="H161" s="6">
        <v>0.72218822158915907</v>
      </c>
      <c r="I161" s="6">
        <v>0.94753462734205607</v>
      </c>
      <c r="J161" s="6">
        <v>1.8146445505662405</v>
      </c>
      <c r="K161" s="6">
        <v>-0.57501592777475252</v>
      </c>
      <c r="L161" s="6">
        <v>6.4551088266199272</v>
      </c>
      <c r="N161" s="8">
        <f>SQRT((C161-Sheet2!$C$525)^2+(D161-Sheet2!$D$525)^2+(E161-Sheet2!$E$525)^2+(F161-Sheet2!$F$525)^2+(G161-Sheet2!$G$525)^2+(H161-Sheet2!$H$525)^2+(I161-Sheet2!$I$525)^2+(J161-Sheet2!$J$525)^2+(K161-Sheet2!$K$525)^2+(L161-Sheet2!$L$525)^2)</f>
        <v>8.4790689001193904</v>
      </c>
      <c r="O161" s="8">
        <f>SQRT((C161-Sheet2!$C$526)^2+(D161-Sheet2!$D$526)^2+(E161-Sheet2!$E$526)^2+(F161-Sheet2!$F$526)^2+(G161-Sheet2!$G$526)^2+(H161-Sheet2!$H$526)^2+(I161-Sheet2!$I$526)^2+(J161-Sheet2!$J$526)^2+(K161-Sheet2!$K$526)^2+(L161-Sheet2!$L$526)^2)</f>
        <v>5.9863194021441615</v>
      </c>
      <c r="P161" s="12">
        <f t="shared" si="2"/>
        <v>1</v>
      </c>
      <c r="Q161" s="11">
        <f>IF(P161=Sheet1!$M161, 1, 0)</f>
        <v>0</v>
      </c>
    </row>
    <row r="162" spans="1:17" x14ac:dyDescent="0.35">
      <c r="A162" s="6" t="s">
        <v>183</v>
      </c>
      <c r="B162" s="6" t="s">
        <v>184</v>
      </c>
      <c r="C162" s="6">
        <v>-0.5560199809167411</v>
      </c>
      <c r="D162" s="6">
        <v>-7.771331985118908E-2</v>
      </c>
      <c r="E162" s="6">
        <v>3.139144214802362E-2</v>
      </c>
      <c r="F162" s="6">
        <v>0.10372202335067403</v>
      </c>
      <c r="G162" s="6">
        <v>0.49452288656230869</v>
      </c>
      <c r="H162" s="6">
        <v>-0.71596563194033092</v>
      </c>
      <c r="I162" s="6">
        <v>0.42670052434855654</v>
      </c>
      <c r="J162" s="6">
        <v>2.7180748941302828</v>
      </c>
      <c r="K162" s="6">
        <v>-1.0820439027407085</v>
      </c>
      <c r="L162" s="6">
        <v>2.875542472386635</v>
      </c>
      <c r="N162" s="8">
        <f>SQRT((C162-Sheet2!$C$525)^2+(D162-Sheet2!$D$525)^2+(E162-Sheet2!$E$525)^2+(F162-Sheet2!$F$525)^2+(G162-Sheet2!$G$525)^2+(H162-Sheet2!$H$525)^2+(I162-Sheet2!$I$525)^2+(J162-Sheet2!$J$525)^2+(K162-Sheet2!$K$525)^2+(L162-Sheet2!$L$525)^2)</f>
        <v>4.6605283576213559</v>
      </c>
      <c r="O162" s="8">
        <f>SQRT((C162-Sheet2!$C$526)^2+(D162-Sheet2!$D$526)^2+(E162-Sheet2!$E$526)^2+(F162-Sheet2!$F$526)^2+(G162-Sheet2!$G$526)^2+(H162-Sheet2!$H$526)^2+(I162-Sheet2!$I$526)^2+(J162-Sheet2!$J$526)^2+(K162-Sheet2!$K$526)^2+(L162-Sheet2!$L$526)^2)</f>
        <v>3.9327808122374344</v>
      </c>
      <c r="P162" s="12">
        <f t="shared" si="2"/>
        <v>1</v>
      </c>
      <c r="Q162" s="11">
        <f>IF(P162=Sheet1!$M162, 1, 0)</f>
        <v>0</v>
      </c>
    </row>
    <row r="163" spans="1:17" x14ac:dyDescent="0.35">
      <c r="A163" s="6" t="s">
        <v>183</v>
      </c>
      <c r="B163" s="6" t="s">
        <v>185</v>
      </c>
      <c r="C163" s="6">
        <v>-0.61372691664219781</v>
      </c>
      <c r="D163" s="6">
        <v>-0.82038421948623641</v>
      </c>
      <c r="E163" s="6">
        <v>-0.5433000798495411</v>
      </c>
      <c r="F163" s="6">
        <v>-0.44013219468169812</v>
      </c>
      <c r="G163" s="6">
        <v>0.45097025639467292</v>
      </c>
      <c r="H163" s="6">
        <v>-0.69226571824920835</v>
      </c>
      <c r="I163" s="6">
        <v>-0.24203261401151765</v>
      </c>
      <c r="J163" s="6">
        <v>1.6893789987275287</v>
      </c>
      <c r="K163" s="6">
        <v>-0.70959742730275266</v>
      </c>
      <c r="L163" s="6">
        <v>0.54263195304847733</v>
      </c>
      <c r="N163" s="8">
        <f>SQRT((C163-Sheet2!$C$525)^2+(D163-Sheet2!$D$525)^2+(E163-Sheet2!$E$525)^2+(F163-Sheet2!$F$525)^2+(G163-Sheet2!$G$525)^2+(H163-Sheet2!$H$525)^2+(I163-Sheet2!$I$525)^2+(J163-Sheet2!$J$525)^2+(K163-Sheet2!$K$525)^2+(L163-Sheet2!$L$525)^2)</f>
        <v>2.589636481920925</v>
      </c>
      <c r="O163" s="8">
        <f>SQRT((C163-Sheet2!$C$526)^2+(D163-Sheet2!$D$526)^2+(E163-Sheet2!$E$526)^2+(F163-Sheet2!$F$526)^2+(G163-Sheet2!$G$526)^2+(H163-Sheet2!$H$526)^2+(I163-Sheet2!$I$526)^2+(J163-Sheet2!$J$526)^2+(K163-Sheet2!$K$526)^2+(L163-Sheet2!$L$526)^2)</f>
        <v>3.9856451117658569</v>
      </c>
      <c r="P163" s="12">
        <f t="shared" si="2"/>
        <v>0</v>
      </c>
      <c r="Q163" s="11">
        <f>IF(P163=Sheet1!$M163, 1, 0)</f>
        <v>1</v>
      </c>
    </row>
    <row r="164" spans="1:17" x14ac:dyDescent="0.35">
      <c r="A164" s="6" t="s">
        <v>183</v>
      </c>
      <c r="B164" s="6" t="s">
        <v>186</v>
      </c>
      <c r="C164" s="6">
        <v>-0.14670334379431585</v>
      </c>
      <c r="D164" s="6">
        <v>-0.76514423521586061</v>
      </c>
      <c r="E164" s="6">
        <v>-0.8372768968713723</v>
      </c>
      <c r="F164" s="6">
        <v>-0.67277238426494923</v>
      </c>
      <c r="G164" s="6">
        <v>0.1925579840667101</v>
      </c>
      <c r="H164" s="6">
        <v>-1.0062895746565834</v>
      </c>
      <c r="I164" s="6">
        <v>7.0977844458259623E-2</v>
      </c>
      <c r="J164" s="6">
        <v>1.6172564082749372</v>
      </c>
      <c r="K164" s="6">
        <v>-0.2323025743255428</v>
      </c>
      <c r="L164" s="6">
        <v>0.22845441766329597</v>
      </c>
      <c r="N164" s="8">
        <f>SQRT((C164-Sheet2!$C$525)^2+(D164-Sheet2!$D$525)^2+(E164-Sheet2!$E$525)^2+(F164-Sheet2!$F$525)^2+(G164-Sheet2!$G$525)^2+(H164-Sheet2!$H$525)^2+(I164-Sheet2!$I$525)^2+(J164-Sheet2!$J$525)^2+(K164-Sheet2!$K$525)^2+(L164-Sheet2!$L$525)^2)</f>
        <v>2.3351460735719343</v>
      </c>
      <c r="O164" s="8">
        <f>SQRT((C164-Sheet2!$C$526)^2+(D164-Sheet2!$D$526)^2+(E164-Sheet2!$E$526)^2+(F164-Sheet2!$F$526)^2+(G164-Sheet2!$G$526)^2+(H164-Sheet2!$H$526)^2+(I164-Sheet2!$I$526)^2+(J164-Sheet2!$J$526)^2+(K164-Sheet2!$K$526)^2+(L164-Sheet2!$L$526)^2)</f>
        <v>4.3906156810025747</v>
      </c>
      <c r="P164" s="12">
        <f t="shared" si="2"/>
        <v>0</v>
      </c>
      <c r="Q164" s="11">
        <f>IF(P164=Sheet1!$M164, 1, 0)</f>
        <v>1</v>
      </c>
    </row>
    <row r="165" spans="1:17" x14ac:dyDescent="0.35">
      <c r="A165" s="6" t="s">
        <v>183</v>
      </c>
      <c r="B165" s="6" t="s">
        <v>187</v>
      </c>
      <c r="C165" s="6">
        <v>-0.68753811350034011</v>
      </c>
      <c r="D165" s="6">
        <v>0.38875765843198068</v>
      </c>
      <c r="E165" s="6">
        <v>-6.5529339838668712E-3</v>
      </c>
      <c r="F165" s="6">
        <v>0.43188335037870729</v>
      </c>
      <c r="G165" s="6">
        <v>1.1797509345330859</v>
      </c>
      <c r="H165" s="6">
        <v>-0.68364756781607228</v>
      </c>
      <c r="I165" s="6">
        <v>0.88824751402700619</v>
      </c>
      <c r="J165" s="6">
        <v>1.2376638269455078</v>
      </c>
      <c r="K165" s="6">
        <v>-0.67986430531400877</v>
      </c>
      <c r="L165" s="6">
        <v>1.295137407202702</v>
      </c>
      <c r="N165" s="8">
        <f>SQRT((C165-Sheet2!$C$525)^2+(D165-Sheet2!$D$525)^2+(E165-Sheet2!$E$525)^2+(F165-Sheet2!$F$525)^2+(G165-Sheet2!$G$525)^2+(H165-Sheet2!$H$525)^2+(I165-Sheet2!$I$525)^2+(J165-Sheet2!$J$525)^2+(K165-Sheet2!$K$525)^2+(L165-Sheet2!$L$525)^2)</f>
        <v>3.2100420933908826</v>
      </c>
      <c r="O165" s="8">
        <f>SQRT((C165-Sheet2!$C$526)^2+(D165-Sheet2!$D$526)^2+(E165-Sheet2!$E$526)^2+(F165-Sheet2!$F$526)^2+(G165-Sheet2!$G$526)^2+(H165-Sheet2!$H$526)^2+(I165-Sheet2!$I$526)^2+(J165-Sheet2!$J$526)^2+(K165-Sheet2!$K$526)^2+(L165-Sheet2!$L$526)^2)</f>
        <v>2.5492578771771766</v>
      </c>
      <c r="P165" s="12">
        <f t="shared" si="2"/>
        <v>1</v>
      </c>
      <c r="Q165" s="11">
        <f>IF(P165=Sheet1!$M165, 1, 0)</f>
        <v>0</v>
      </c>
    </row>
    <row r="166" spans="1:17" x14ac:dyDescent="0.35">
      <c r="A166" s="6" t="s">
        <v>183</v>
      </c>
      <c r="B166" s="6" t="s">
        <v>188</v>
      </c>
      <c r="C166" s="6">
        <v>-0.21783049713034378</v>
      </c>
      <c r="D166" s="6">
        <v>-0.55645985019444255</v>
      </c>
      <c r="E166" s="6">
        <v>-0.87080056898789693</v>
      </c>
      <c r="F166" s="6">
        <v>-0.53565333212647581</v>
      </c>
      <c r="G166" s="6">
        <v>0.56130358615268228</v>
      </c>
      <c r="H166" s="6">
        <v>-1.8029298553195483</v>
      </c>
      <c r="I166" s="6">
        <v>-0.49639345500834353</v>
      </c>
      <c r="J166" s="6">
        <v>1.3743171562241023</v>
      </c>
      <c r="K166" s="6">
        <v>-1.0491809784373596</v>
      </c>
      <c r="L166" s="6">
        <v>0.37646791478787001</v>
      </c>
      <c r="N166" s="8">
        <f>SQRT((C166-Sheet2!$C$525)^2+(D166-Sheet2!$D$525)^2+(E166-Sheet2!$E$525)^2+(F166-Sheet2!$F$525)^2+(G166-Sheet2!$G$525)^2+(H166-Sheet2!$H$525)^2+(I166-Sheet2!$I$525)^2+(J166-Sheet2!$J$525)^2+(K166-Sheet2!$K$525)^2+(L166-Sheet2!$L$525)^2)</f>
        <v>2.8812761954101496</v>
      </c>
      <c r="O166" s="8">
        <f>SQRT((C166-Sheet2!$C$526)^2+(D166-Sheet2!$D$526)^2+(E166-Sheet2!$E$526)^2+(F166-Sheet2!$F$526)^2+(G166-Sheet2!$G$526)^2+(H166-Sheet2!$H$526)^2+(I166-Sheet2!$I$526)^2+(J166-Sheet2!$J$526)^2+(K166-Sheet2!$K$526)^2+(L166-Sheet2!$L$526)^2)</f>
        <v>4.68064204525181</v>
      </c>
      <c r="P166" s="12">
        <f t="shared" si="2"/>
        <v>0</v>
      </c>
      <c r="Q166" s="11">
        <f>IF(P166=Sheet1!$M166, 1, 0)</f>
        <v>1</v>
      </c>
    </row>
    <row r="167" spans="1:17" x14ac:dyDescent="0.35">
      <c r="A167" s="6" t="s">
        <v>183</v>
      </c>
      <c r="B167" s="6" t="s">
        <v>189</v>
      </c>
      <c r="C167" s="6">
        <v>-0.15072940907748716</v>
      </c>
      <c r="D167" s="6">
        <v>-0.58714873034465098</v>
      </c>
      <c r="E167" s="6">
        <v>-0.91942831315692164</v>
      </c>
      <c r="F167" s="6">
        <v>-0.62038982502103757</v>
      </c>
      <c r="G167" s="6">
        <v>3.8299200069645666E-3</v>
      </c>
      <c r="H167" s="6">
        <v>-1.5002173213556629</v>
      </c>
      <c r="I167" s="6">
        <v>7.8657560906266067E-3</v>
      </c>
      <c r="J167" s="6">
        <v>0.41774385127394009</v>
      </c>
      <c r="K167" s="6">
        <v>-0.20100455117949576</v>
      </c>
      <c r="L167" s="6">
        <v>6.7185789635758039E-2</v>
      </c>
      <c r="N167" s="8">
        <f>SQRT((C167-Sheet2!$C$525)^2+(D167-Sheet2!$D$525)^2+(E167-Sheet2!$E$525)^2+(F167-Sheet2!$F$525)^2+(G167-Sheet2!$G$525)^2+(H167-Sheet2!$H$525)^2+(I167-Sheet2!$I$525)^2+(J167-Sheet2!$J$525)^2+(K167-Sheet2!$K$525)^2+(L167-Sheet2!$L$525)^2)</f>
        <v>1.7578211790199496</v>
      </c>
      <c r="O167" s="8">
        <f>SQRT((C167-Sheet2!$C$526)^2+(D167-Sheet2!$D$526)^2+(E167-Sheet2!$E$526)^2+(F167-Sheet2!$F$526)^2+(G167-Sheet2!$G$526)^2+(H167-Sheet2!$H$526)^2+(I167-Sheet2!$I$526)^2+(J167-Sheet2!$J$526)^2+(K167-Sheet2!$K$526)^2+(L167-Sheet2!$L$526)^2)</f>
        <v>4.6637332482570155</v>
      </c>
      <c r="P167" s="12">
        <f t="shared" si="2"/>
        <v>0</v>
      </c>
      <c r="Q167" s="11">
        <f>IF(P167=Sheet1!$M167, 1, 0)</f>
        <v>1</v>
      </c>
    </row>
    <row r="168" spans="1:17" x14ac:dyDescent="0.35">
      <c r="A168" s="6" t="s">
        <v>183</v>
      </c>
      <c r="B168" s="6" t="s">
        <v>190</v>
      </c>
      <c r="C168" s="6">
        <v>-0.57749232909365533</v>
      </c>
      <c r="D168" s="6">
        <v>-0.32936213708289924</v>
      </c>
      <c r="E168" s="6">
        <v>-0.39262775132582062</v>
      </c>
      <c r="F168" s="6">
        <v>0.15456391908741327</v>
      </c>
      <c r="G168" s="6">
        <v>0.68615445929989805</v>
      </c>
      <c r="H168" s="6">
        <v>-0.57161161218531054</v>
      </c>
      <c r="I168" s="6">
        <v>0.31768873534991754</v>
      </c>
      <c r="J168" s="6">
        <v>1.9201181156748245E-4</v>
      </c>
      <c r="K168" s="6">
        <v>5.72041397753872E-2</v>
      </c>
      <c r="L168" s="6">
        <v>1.6942861687715773E-2</v>
      </c>
      <c r="N168" s="8">
        <f>SQRT((C168-Sheet2!$C$525)^2+(D168-Sheet2!$D$525)^2+(E168-Sheet2!$E$525)^2+(F168-Sheet2!$F$525)^2+(G168-Sheet2!$G$525)^2+(H168-Sheet2!$H$525)^2+(I168-Sheet2!$I$525)^2+(J168-Sheet2!$J$525)^2+(K168-Sheet2!$K$525)^2+(L168-Sheet2!$L$525)^2)</f>
        <v>1.4538533535129345</v>
      </c>
      <c r="O168" s="8">
        <f>SQRT((C168-Sheet2!$C$526)^2+(D168-Sheet2!$D$526)^2+(E168-Sheet2!$E$526)^2+(F168-Sheet2!$F$526)^2+(G168-Sheet2!$G$526)^2+(H168-Sheet2!$H$526)^2+(I168-Sheet2!$I$526)^2+(J168-Sheet2!$J$526)^2+(K168-Sheet2!$K$526)^2+(L168-Sheet2!$L$526)^2)</f>
        <v>3.5045802272203366</v>
      </c>
      <c r="P168" s="12">
        <f t="shared" si="2"/>
        <v>0</v>
      </c>
      <c r="Q168" s="11">
        <f>IF(P168=Sheet1!$M168, 1, 0)</f>
        <v>1</v>
      </c>
    </row>
    <row r="169" spans="1:17" x14ac:dyDescent="0.35">
      <c r="A169" s="6" t="s">
        <v>183</v>
      </c>
      <c r="B169" s="6" t="s">
        <v>191</v>
      </c>
      <c r="C169" s="6">
        <v>0.11096483432865353</v>
      </c>
      <c r="D169" s="6">
        <v>-0.39073989738331666</v>
      </c>
      <c r="E169" s="6">
        <v>-0.3373689511337471</v>
      </c>
      <c r="F169" s="6">
        <v>-3.3397028787799446E-2</v>
      </c>
      <c r="G169" s="6">
        <v>1.1971719866001402</v>
      </c>
      <c r="H169" s="6">
        <v>0.20348329239481522</v>
      </c>
      <c r="I169" s="6">
        <v>0.59053695576756482</v>
      </c>
      <c r="J169" s="6">
        <v>2.5130949002123906</v>
      </c>
      <c r="K169" s="6">
        <v>-0.8833014557633122</v>
      </c>
      <c r="L169" s="6">
        <v>-9.363169405390992E-2</v>
      </c>
      <c r="N169" s="8">
        <f>SQRT((C169-Sheet2!$C$525)^2+(D169-Sheet2!$D$525)^2+(E169-Sheet2!$E$525)^2+(F169-Sheet2!$F$525)^2+(G169-Sheet2!$G$525)^2+(H169-Sheet2!$H$525)^2+(I169-Sheet2!$I$525)^2+(J169-Sheet2!$J$525)^2+(K169-Sheet2!$K$525)^2+(L169-Sheet2!$L$525)^2)</f>
        <v>3.4061443822871906</v>
      </c>
      <c r="O169" s="8">
        <f>SQRT((C169-Sheet2!$C$526)^2+(D169-Sheet2!$D$526)^2+(E169-Sheet2!$E$526)^2+(F169-Sheet2!$F$526)^2+(G169-Sheet2!$G$526)^2+(H169-Sheet2!$H$526)^2+(I169-Sheet2!$I$526)^2+(J169-Sheet2!$J$526)^2+(K169-Sheet2!$K$526)^2+(L169-Sheet2!$L$526)^2)</f>
        <v>3.46684194900469</v>
      </c>
      <c r="P169" s="12">
        <f t="shared" si="2"/>
        <v>0</v>
      </c>
      <c r="Q169" s="11">
        <f>IF(P169=Sheet1!$M169, 1, 0)</f>
        <v>1</v>
      </c>
    </row>
    <row r="170" spans="1:17" x14ac:dyDescent="0.35">
      <c r="A170" s="6" t="s">
        <v>183</v>
      </c>
      <c r="B170" s="6" t="s">
        <v>192</v>
      </c>
      <c r="C170" s="6">
        <v>3.6030934440831001E-3</v>
      </c>
      <c r="D170" s="6">
        <v>-0.82038421948623641</v>
      </c>
      <c r="E170" s="6">
        <v>1.5918978094243034E-2</v>
      </c>
      <c r="F170" s="6">
        <v>-0.12429617571105542</v>
      </c>
      <c r="G170" s="6">
        <v>0.73261059814537755</v>
      </c>
      <c r="H170" s="6">
        <v>0.33437145209806052</v>
      </c>
      <c r="I170" s="6">
        <v>0.72696106597638843</v>
      </c>
      <c r="J170" s="6">
        <v>2.0196245444841328</v>
      </c>
      <c r="K170" s="6">
        <v>-0.77845307822405707</v>
      </c>
      <c r="L170" s="6">
        <v>0.25417695817825253</v>
      </c>
      <c r="N170" s="8">
        <f>SQRT((C170-Sheet2!$C$525)^2+(D170-Sheet2!$D$525)^2+(E170-Sheet2!$E$525)^2+(F170-Sheet2!$F$525)^2+(G170-Sheet2!$G$525)^2+(H170-Sheet2!$H$525)^2+(I170-Sheet2!$I$525)^2+(J170-Sheet2!$J$525)^2+(K170-Sheet2!$K$525)^2+(L170-Sheet2!$L$525)^2)</f>
        <v>2.9446343928625902</v>
      </c>
      <c r="O170" s="8">
        <f>SQRT((C170-Sheet2!$C$526)^2+(D170-Sheet2!$D$526)^2+(E170-Sheet2!$E$526)^2+(F170-Sheet2!$F$526)^2+(G170-Sheet2!$G$526)^2+(H170-Sheet2!$H$526)^2+(I170-Sheet2!$I$526)^2+(J170-Sheet2!$J$526)^2+(K170-Sheet2!$K$526)^2+(L170-Sheet2!$L$526)^2)</f>
        <v>3.3042624057921923</v>
      </c>
      <c r="P170" s="12">
        <f t="shared" si="2"/>
        <v>0</v>
      </c>
      <c r="Q170" s="11">
        <f>IF(P170=Sheet1!$M170, 1, 0)</f>
        <v>1</v>
      </c>
    </row>
    <row r="171" spans="1:17" x14ac:dyDescent="0.35">
      <c r="A171" s="6" t="s">
        <v>183</v>
      </c>
      <c r="B171" s="6" t="s">
        <v>193</v>
      </c>
      <c r="C171" s="6">
        <v>7.6291587272544108E-3</v>
      </c>
      <c r="D171" s="6">
        <v>-0.69149092285536051</v>
      </c>
      <c r="E171" s="6">
        <v>-0.2703216069006979</v>
      </c>
      <c r="F171" s="6">
        <v>-0.32612309515083121</v>
      </c>
      <c r="G171" s="6">
        <v>0.23320710555650215</v>
      </c>
      <c r="H171" s="6">
        <v>0.18247655071404736</v>
      </c>
      <c r="I171" s="6">
        <v>0.74353595787091786</v>
      </c>
      <c r="J171" s="6">
        <v>0.24692718967569677</v>
      </c>
      <c r="K171" s="6">
        <v>-0.28707411483112566</v>
      </c>
      <c r="L171" s="6">
        <v>1.7231630839184574E-2</v>
      </c>
      <c r="N171" s="8">
        <f>SQRT((C171-Sheet2!$C$525)^2+(D171-Sheet2!$D$525)^2+(E171-Sheet2!$E$525)^2+(F171-Sheet2!$F$525)^2+(G171-Sheet2!$G$525)^2+(H171-Sheet2!$H$525)^2+(I171-Sheet2!$I$525)^2+(J171-Sheet2!$J$525)^2+(K171-Sheet2!$K$525)^2+(L171-Sheet2!$L$525)^2)</f>
        <v>1.3547845883350831</v>
      </c>
      <c r="O171" s="8">
        <f>SQRT((C171-Sheet2!$C$526)^2+(D171-Sheet2!$D$526)^2+(E171-Sheet2!$E$526)^2+(F171-Sheet2!$F$526)^2+(G171-Sheet2!$G$526)^2+(H171-Sheet2!$H$526)^2+(I171-Sheet2!$I$526)^2+(J171-Sheet2!$J$526)^2+(K171-Sheet2!$K$526)^2+(L171-Sheet2!$L$526)^2)</f>
        <v>3.6159907619791558</v>
      </c>
      <c r="P171" s="12">
        <f t="shared" si="2"/>
        <v>0</v>
      </c>
      <c r="Q171" s="11">
        <f>IF(P171=Sheet1!$M171, 1, 0)</f>
        <v>1</v>
      </c>
    </row>
    <row r="172" spans="1:17" x14ac:dyDescent="0.35">
      <c r="A172" s="6" t="s">
        <v>183</v>
      </c>
      <c r="B172" s="6" t="s">
        <v>194</v>
      </c>
      <c r="C172" s="6">
        <v>-0.20977836656400092</v>
      </c>
      <c r="D172" s="6">
        <v>5.1179976779686241E-2</v>
      </c>
      <c r="E172" s="6">
        <v>-2.3130574041488931E-2</v>
      </c>
      <c r="F172" s="6">
        <v>0.28860164421153744</v>
      </c>
      <c r="G172" s="6">
        <v>0.86036497997043715</v>
      </c>
      <c r="H172" s="6">
        <v>0.57460239542171354</v>
      </c>
      <c r="I172" s="6">
        <v>0.57523705555722882</v>
      </c>
      <c r="J172" s="6">
        <v>1.5641134468888169</v>
      </c>
      <c r="K172" s="6">
        <v>-0.14936281298851917</v>
      </c>
      <c r="L172" s="6">
        <v>5.1205028979234367E-2</v>
      </c>
      <c r="N172" s="8">
        <f>SQRT((C172-Sheet2!$C$525)^2+(D172-Sheet2!$D$525)^2+(E172-Sheet2!$E$525)^2+(F172-Sheet2!$F$525)^2+(G172-Sheet2!$G$525)^2+(H172-Sheet2!$H$525)^2+(I172-Sheet2!$I$525)^2+(J172-Sheet2!$J$525)^2+(K172-Sheet2!$K$525)^2+(L172-Sheet2!$L$525)^2)</f>
        <v>2.5516628155629162</v>
      </c>
      <c r="O172" s="8">
        <f>SQRT((C172-Sheet2!$C$526)^2+(D172-Sheet2!$D$526)^2+(E172-Sheet2!$E$526)^2+(F172-Sheet2!$F$526)^2+(G172-Sheet2!$G$526)^2+(H172-Sheet2!$H$526)^2+(I172-Sheet2!$I$526)^2+(J172-Sheet2!$J$526)^2+(K172-Sheet2!$K$526)^2+(L172-Sheet2!$L$526)^2)</f>
        <v>2.5122906799223901</v>
      </c>
      <c r="P172" s="12">
        <f t="shared" si="2"/>
        <v>1</v>
      </c>
      <c r="Q172" s="11">
        <f>IF(P172=Sheet1!$M172, 1, 0)</f>
        <v>0</v>
      </c>
    </row>
    <row r="173" spans="1:17" x14ac:dyDescent="0.35">
      <c r="A173" s="6" t="s">
        <v>183</v>
      </c>
      <c r="B173" s="6" t="s">
        <v>195</v>
      </c>
      <c r="C173" s="6">
        <v>0.10291270376231068</v>
      </c>
      <c r="D173" s="6">
        <v>-1.1763752292286556</v>
      </c>
      <c r="E173" s="6">
        <v>-0.18964375862027052</v>
      </c>
      <c r="F173" s="6">
        <v>-0.35231437477278704</v>
      </c>
      <c r="G173" s="6">
        <v>0.6338913030987392</v>
      </c>
      <c r="H173" s="6">
        <v>0.67586566301105566</v>
      </c>
      <c r="I173" s="6">
        <v>0.81684797971210843</v>
      </c>
      <c r="J173" s="6">
        <v>1.2300719753189193</v>
      </c>
      <c r="K173" s="6">
        <v>6.1898843247294361E-2</v>
      </c>
      <c r="L173" s="6">
        <v>0.7852512598936161</v>
      </c>
      <c r="N173" s="8">
        <f>SQRT((C173-Sheet2!$C$525)^2+(D173-Sheet2!$D$525)^2+(E173-Sheet2!$E$525)^2+(F173-Sheet2!$F$525)^2+(G173-Sheet2!$G$525)^2+(H173-Sheet2!$H$525)^2+(I173-Sheet2!$I$525)^2+(J173-Sheet2!$J$525)^2+(K173-Sheet2!$K$525)^2+(L173-Sheet2!$L$525)^2)</f>
        <v>2.5258045356979788</v>
      </c>
      <c r="O173" s="8">
        <f>SQRT((C173-Sheet2!$C$526)^2+(D173-Sheet2!$D$526)^2+(E173-Sheet2!$E$526)^2+(F173-Sheet2!$F$526)^2+(G173-Sheet2!$G$526)^2+(H173-Sheet2!$H$526)^2+(I173-Sheet2!$I$526)^2+(J173-Sheet2!$J$526)^2+(K173-Sheet2!$K$526)^2+(L173-Sheet2!$L$526)^2)</f>
        <v>3.666293995453235</v>
      </c>
      <c r="P173" s="12">
        <f t="shared" si="2"/>
        <v>0</v>
      </c>
      <c r="Q173" s="11">
        <f>IF(P173=Sheet1!$M173, 1, 0)</f>
        <v>1</v>
      </c>
    </row>
    <row r="174" spans="1:17" x14ac:dyDescent="0.35">
      <c r="A174" s="6" t="s">
        <v>183</v>
      </c>
      <c r="B174" s="6" t="s">
        <v>196</v>
      </c>
      <c r="C174" s="6">
        <v>-0.30103584631588609</v>
      </c>
      <c r="D174" s="6">
        <v>-0.81424644345619435</v>
      </c>
      <c r="E174" s="6">
        <v>0.19495749071656129</v>
      </c>
      <c r="F174" s="6">
        <v>-0.12275551220388296</v>
      </c>
      <c r="G174" s="6">
        <v>0.84875094525906614</v>
      </c>
      <c r="H174" s="6">
        <v>0.4641823429971641</v>
      </c>
      <c r="I174" s="6">
        <v>0.86784764707989281</v>
      </c>
      <c r="J174" s="6">
        <v>1.7880730698731804</v>
      </c>
      <c r="K174" s="6">
        <v>-0.26360059747158981</v>
      </c>
      <c r="L174" s="6">
        <v>0.14750036808109171</v>
      </c>
      <c r="N174" s="8">
        <f>SQRT((C174-Sheet2!$C$525)^2+(D174-Sheet2!$D$525)^2+(E174-Sheet2!$E$525)^2+(F174-Sheet2!$F$525)^2+(G174-Sheet2!$G$525)^2+(H174-Sheet2!$H$525)^2+(I174-Sheet2!$I$525)^2+(J174-Sheet2!$J$525)^2+(K174-Sheet2!$K$525)^2+(L174-Sheet2!$L$525)^2)</f>
        <v>2.8121344735051652</v>
      </c>
      <c r="O174" s="8">
        <f>SQRT((C174-Sheet2!$C$526)^2+(D174-Sheet2!$D$526)^2+(E174-Sheet2!$E$526)^2+(F174-Sheet2!$F$526)^2+(G174-Sheet2!$G$526)^2+(H174-Sheet2!$H$526)^2+(I174-Sheet2!$I$526)^2+(J174-Sheet2!$J$526)^2+(K174-Sheet2!$K$526)^2+(L174-Sheet2!$L$526)^2)</f>
        <v>3.128231742583635</v>
      </c>
      <c r="P174" s="12">
        <f t="shared" si="2"/>
        <v>0</v>
      </c>
      <c r="Q174" s="11">
        <f>IF(P174=Sheet1!$M174, 1, 0)</f>
        <v>1</v>
      </c>
    </row>
    <row r="175" spans="1:17" x14ac:dyDescent="0.35">
      <c r="A175" s="6" t="s">
        <v>183</v>
      </c>
      <c r="B175" s="6" t="s">
        <v>197</v>
      </c>
      <c r="C175" s="6">
        <v>-0.46207845764274191</v>
      </c>
      <c r="D175" s="6">
        <v>-0.20660661648206549</v>
      </c>
      <c r="E175" s="6">
        <v>0.49519697176016081</v>
      </c>
      <c r="F175" s="6">
        <v>0.16226723662328213</v>
      </c>
      <c r="G175" s="6">
        <v>0.44225973036114985</v>
      </c>
      <c r="H175" s="6">
        <v>-0.24735370213858687</v>
      </c>
      <c r="I175" s="6">
        <v>-0.23183268053796097</v>
      </c>
      <c r="J175" s="6">
        <v>2.1410941705095494</v>
      </c>
      <c r="K175" s="6">
        <v>-1.3042598670776384</v>
      </c>
      <c r="L175" s="6">
        <v>0.51978596700351043</v>
      </c>
      <c r="N175" s="8">
        <f>SQRT((C175-Sheet2!$C$525)^2+(D175-Sheet2!$D$525)^2+(E175-Sheet2!$E$525)^2+(F175-Sheet2!$F$525)^2+(G175-Sheet2!$G$525)^2+(H175-Sheet2!$H$525)^2+(I175-Sheet2!$I$525)^2+(J175-Sheet2!$J$525)^2+(K175-Sheet2!$K$525)^2+(L175-Sheet2!$L$525)^2)</f>
        <v>3.1792301268895282</v>
      </c>
      <c r="O175" s="8">
        <f>SQRT((C175-Sheet2!$C$526)^2+(D175-Sheet2!$D$526)^2+(E175-Sheet2!$E$526)^2+(F175-Sheet2!$F$526)^2+(G175-Sheet2!$G$526)^2+(H175-Sheet2!$H$526)^2+(I175-Sheet2!$I$526)^2+(J175-Sheet2!$J$526)^2+(K175-Sheet2!$K$526)^2+(L175-Sheet2!$L$526)^2)</f>
        <v>2.9655610875389073</v>
      </c>
      <c r="P175" s="12">
        <f t="shared" si="2"/>
        <v>1</v>
      </c>
      <c r="Q175" s="11">
        <f>IF(P175=Sheet1!$M175, 1, 0)</f>
        <v>0</v>
      </c>
    </row>
    <row r="176" spans="1:17" x14ac:dyDescent="0.35">
      <c r="A176" s="6" t="s">
        <v>183</v>
      </c>
      <c r="B176" s="6" t="s">
        <v>198</v>
      </c>
      <c r="C176" s="6">
        <v>-0.44597419651005643</v>
      </c>
      <c r="D176" s="6">
        <v>-0.40301544944339984</v>
      </c>
      <c r="E176" s="6">
        <v>0.44104334757192876</v>
      </c>
      <c r="F176" s="6">
        <v>0.15610458259458573</v>
      </c>
      <c r="G176" s="6">
        <v>0.77616322831300921</v>
      </c>
      <c r="H176" s="6">
        <v>-6.5914599008273019E-4</v>
      </c>
      <c r="I176" s="6">
        <v>0.73269852855526352</v>
      </c>
      <c r="J176" s="6">
        <v>2.5700337874118051</v>
      </c>
      <c r="K176" s="6">
        <v>-0.82540011294312643</v>
      </c>
      <c r="L176" s="6">
        <v>3.0293057143532587</v>
      </c>
      <c r="N176" s="8">
        <f>SQRT((C176-Sheet2!$C$525)^2+(D176-Sheet2!$D$525)^2+(E176-Sheet2!$E$525)^2+(F176-Sheet2!$F$525)^2+(G176-Sheet2!$G$525)^2+(H176-Sheet2!$H$525)^2+(I176-Sheet2!$I$525)^2+(J176-Sheet2!$J$525)^2+(K176-Sheet2!$K$525)^2+(L176-Sheet2!$L$525)^2)</f>
        <v>4.7181011756951365</v>
      </c>
      <c r="O176" s="8">
        <f>SQRT((C176-Sheet2!$C$526)^2+(D176-Sheet2!$D$526)^2+(E176-Sheet2!$E$526)^2+(F176-Sheet2!$F$526)^2+(G176-Sheet2!$G$526)^2+(H176-Sheet2!$H$526)^2+(I176-Sheet2!$I$526)^2+(J176-Sheet2!$J$526)^2+(K176-Sheet2!$K$526)^2+(L176-Sheet2!$L$526)^2)</f>
        <v>3.683215390091743</v>
      </c>
      <c r="P176" s="12">
        <f t="shared" si="2"/>
        <v>1</v>
      </c>
      <c r="Q176" s="11">
        <f>IF(P176=Sheet1!$M176, 1, 0)</f>
        <v>0</v>
      </c>
    </row>
    <row r="177" spans="1:17" x14ac:dyDescent="0.35">
      <c r="A177" s="6" t="s">
        <v>183</v>
      </c>
      <c r="B177" s="6" t="s">
        <v>199</v>
      </c>
      <c r="C177" s="6">
        <v>-0.94789033514542376</v>
      </c>
      <c r="D177" s="6">
        <v>0.5299265071229402</v>
      </c>
      <c r="E177" s="6">
        <v>0.37436439534016003</v>
      </c>
      <c r="F177" s="6">
        <v>0.69687747361261076</v>
      </c>
      <c r="G177" s="6">
        <v>1.2058825126336674</v>
      </c>
      <c r="H177" s="6">
        <v>0.20563783000309868</v>
      </c>
      <c r="I177" s="6">
        <v>0.63006169797759715</v>
      </c>
      <c r="J177" s="6">
        <v>1.9095426958985979</v>
      </c>
      <c r="K177" s="6">
        <v>-0.56249671851633409</v>
      </c>
      <c r="L177" s="6">
        <v>4.8030228582441232</v>
      </c>
      <c r="N177" s="8">
        <f>SQRT((C177-Sheet2!$C$525)^2+(D177-Sheet2!$D$525)^2+(E177-Sheet2!$E$525)^2+(F177-Sheet2!$F$525)^2+(G177-Sheet2!$G$525)^2+(H177-Sheet2!$H$525)^2+(I177-Sheet2!$I$525)^2+(J177-Sheet2!$J$525)^2+(K177-Sheet2!$K$525)^2+(L177-Sheet2!$L$525)^2)</f>
        <v>6.0223507806437588</v>
      </c>
      <c r="O177" s="8">
        <f>SQRT((C177-Sheet2!$C$526)^2+(D177-Sheet2!$D$526)^2+(E177-Sheet2!$E$526)^2+(F177-Sheet2!$F$526)^2+(G177-Sheet2!$G$526)^2+(H177-Sheet2!$H$526)^2+(I177-Sheet2!$I$526)^2+(J177-Sheet2!$J$526)^2+(K177-Sheet2!$K$526)^2+(L177-Sheet2!$L$526)^2)</f>
        <v>4.4353666155823568</v>
      </c>
      <c r="P177" s="12">
        <f t="shared" si="2"/>
        <v>1</v>
      </c>
      <c r="Q177" s="11">
        <f>IF(P177=Sheet1!$M177, 1, 0)</f>
        <v>0</v>
      </c>
    </row>
    <row r="178" spans="1:17" x14ac:dyDescent="0.35">
      <c r="A178" s="6" t="s">
        <v>183</v>
      </c>
      <c r="B178" s="6" t="s">
        <v>200</v>
      </c>
      <c r="C178" s="6">
        <v>-0.13059908266163012</v>
      </c>
      <c r="D178" s="6">
        <v>-0.14522885618164863</v>
      </c>
      <c r="E178" s="6">
        <v>-0.65529124823881013</v>
      </c>
      <c r="F178" s="6">
        <v>-0.25217124680648539</v>
      </c>
      <c r="G178" s="6">
        <v>0.83132989319201189</v>
      </c>
      <c r="H178" s="6">
        <v>-0.72296787916725325</v>
      </c>
      <c r="I178" s="6">
        <v>0.46750025824278418</v>
      </c>
      <c r="J178" s="6">
        <v>2.5017071227725078</v>
      </c>
      <c r="K178" s="6">
        <v>-1.3637261110551273</v>
      </c>
      <c r="L178" s="6">
        <v>0.20346959666076761</v>
      </c>
      <c r="N178" s="8">
        <f>SQRT((C178-Sheet2!$C$525)^2+(D178-Sheet2!$D$525)^2+(E178-Sheet2!$E$525)^2+(F178-Sheet2!$F$525)^2+(G178-Sheet2!$G$525)^2+(H178-Sheet2!$H$525)^2+(I178-Sheet2!$I$525)^2+(J178-Sheet2!$J$525)^2+(K178-Sheet2!$K$525)^2+(L178-Sheet2!$L$525)^2)</f>
        <v>3.4781797855718457</v>
      </c>
      <c r="O178" s="8">
        <f>SQRT((C178-Sheet2!$C$526)^2+(D178-Sheet2!$D$526)^2+(E178-Sheet2!$E$526)^2+(F178-Sheet2!$F$526)^2+(G178-Sheet2!$G$526)^2+(H178-Sheet2!$H$526)^2+(I178-Sheet2!$I$526)^2+(J178-Sheet2!$J$526)^2+(K178-Sheet2!$K$526)^2+(L178-Sheet2!$L$526)^2)</f>
        <v>3.8449700296579303</v>
      </c>
      <c r="P178" s="12">
        <f t="shared" si="2"/>
        <v>0</v>
      </c>
      <c r="Q178" s="11">
        <f>IF(P178=Sheet1!$M178, 1, 0)</f>
        <v>1</v>
      </c>
    </row>
    <row r="179" spans="1:17" x14ac:dyDescent="0.35">
      <c r="A179" s="6" t="s">
        <v>183</v>
      </c>
      <c r="B179" s="6" t="s">
        <v>201</v>
      </c>
      <c r="C179" s="6">
        <v>-0.35203267323605703</v>
      </c>
      <c r="D179" s="6">
        <v>-0.36005101723310823</v>
      </c>
      <c r="E179" s="6">
        <v>-0.46409579957423575</v>
      </c>
      <c r="F179" s="6">
        <v>-0.25371191031366003</v>
      </c>
      <c r="G179" s="6">
        <v>0.56420709483052189</v>
      </c>
      <c r="H179" s="6">
        <v>0.23095364690043418</v>
      </c>
      <c r="I179" s="6">
        <v>-0.27773238116896698</v>
      </c>
      <c r="J179" s="6">
        <v>-0.68687056039469974</v>
      </c>
      <c r="K179" s="6">
        <v>0.82713550916813339</v>
      </c>
      <c r="L179" s="6">
        <v>-0.29130364367754757</v>
      </c>
      <c r="N179" s="8">
        <f>SQRT((C179-Sheet2!$C$525)^2+(D179-Sheet2!$D$525)^2+(E179-Sheet2!$E$525)^2+(F179-Sheet2!$F$525)^2+(G179-Sheet2!$G$525)^2+(H179-Sheet2!$H$525)^2+(I179-Sheet2!$I$525)^2+(J179-Sheet2!$J$525)^2+(K179-Sheet2!$K$525)^2+(L179-Sheet2!$L$525)^2)</f>
        <v>1.3256847104736278</v>
      </c>
      <c r="O179" s="8">
        <f>SQRT((C179-Sheet2!$C$526)^2+(D179-Sheet2!$D$526)^2+(E179-Sheet2!$E$526)^2+(F179-Sheet2!$F$526)^2+(G179-Sheet2!$G$526)^2+(H179-Sheet2!$H$526)^2+(I179-Sheet2!$I$526)^2+(J179-Sheet2!$J$526)^2+(K179-Sheet2!$K$526)^2+(L179-Sheet2!$L$526)^2)</f>
        <v>4.2006425081081522</v>
      </c>
      <c r="P179" s="12">
        <f t="shared" si="2"/>
        <v>0</v>
      </c>
      <c r="Q179" s="11">
        <f>IF(P179=Sheet1!$M179, 1, 0)</f>
        <v>1</v>
      </c>
    </row>
    <row r="180" spans="1:17" x14ac:dyDescent="0.35">
      <c r="A180" s="6" t="s">
        <v>183</v>
      </c>
      <c r="B180" s="6" t="s">
        <v>202</v>
      </c>
      <c r="C180" s="6">
        <v>-0.67545991765082591</v>
      </c>
      <c r="D180" s="6">
        <v>1.2848729588180696</v>
      </c>
      <c r="E180" s="6">
        <v>0.51251139582034388</v>
      </c>
      <c r="F180" s="6">
        <v>1.0265794641478165</v>
      </c>
      <c r="G180" s="6">
        <v>1.2087860213115069</v>
      </c>
      <c r="H180" s="6">
        <v>-9.9767875971141382E-2</v>
      </c>
      <c r="I180" s="6">
        <v>0.82896040071195709</v>
      </c>
      <c r="J180" s="6">
        <v>2.5548500841586277</v>
      </c>
      <c r="K180" s="6">
        <v>-1.2041061930102892</v>
      </c>
      <c r="L180" s="6">
        <v>0.23837869461065275</v>
      </c>
      <c r="N180" s="8">
        <f>SQRT((C180-Sheet2!$C$525)^2+(D180-Sheet2!$D$525)^2+(E180-Sheet2!$E$525)^2+(F180-Sheet2!$F$525)^2+(G180-Sheet2!$G$525)^2+(H180-Sheet2!$H$525)^2+(I180-Sheet2!$I$525)^2+(J180-Sheet2!$J$525)^2+(K180-Sheet2!$K$525)^2+(L180-Sheet2!$L$525)^2)</f>
        <v>4.3289692201589594</v>
      </c>
      <c r="O180" s="8">
        <f>SQRT((C180-Sheet2!$C$526)^2+(D180-Sheet2!$D$526)^2+(E180-Sheet2!$E$526)^2+(F180-Sheet2!$F$526)^2+(G180-Sheet2!$G$526)^2+(H180-Sheet2!$H$526)^2+(I180-Sheet2!$I$526)^2+(J180-Sheet2!$J$526)^2+(K180-Sheet2!$K$526)^2+(L180-Sheet2!$L$526)^2)</f>
        <v>2.0941851891321148</v>
      </c>
      <c r="P180" s="12">
        <f t="shared" si="2"/>
        <v>1</v>
      </c>
      <c r="Q180" s="11">
        <f>IF(P180=Sheet1!$M180, 1, 0)</f>
        <v>0</v>
      </c>
    </row>
    <row r="181" spans="1:17" x14ac:dyDescent="0.35">
      <c r="A181" s="6" t="s">
        <v>183</v>
      </c>
      <c r="B181" s="6" t="s">
        <v>203</v>
      </c>
      <c r="C181" s="6">
        <v>-0.53991571978405561</v>
      </c>
      <c r="D181" s="6">
        <v>0.84295308465506735</v>
      </c>
      <c r="E181" s="6">
        <v>0.22737598682924443</v>
      </c>
      <c r="F181" s="6">
        <v>0.71998742622021727</v>
      </c>
      <c r="G181" s="6">
        <v>0.84875094525906614</v>
      </c>
      <c r="H181" s="6">
        <v>-2.0232313257665746</v>
      </c>
      <c r="I181" s="6">
        <v>0.84362280508019538</v>
      </c>
      <c r="J181" s="6">
        <v>2.1714615770159038</v>
      </c>
      <c r="K181" s="6">
        <v>-1.9724726612457335</v>
      </c>
      <c r="L181" s="6">
        <v>-0.2739969269563417</v>
      </c>
      <c r="N181" s="8">
        <f>SQRT((C181-Sheet2!$C$525)^2+(D181-Sheet2!$D$525)^2+(E181-Sheet2!$E$525)^2+(F181-Sheet2!$F$525)^2+(G181-Sheet2!$G$525)^2+(H181-Sheet2!$H$525)^2+(I181-Sheet2!$I$525)^2+(J181-Sheet2!$J$525)^2+(K181-Sheet2!$K$525)^2+(L181-Sheet2!$L$525)^2)</f>
        <v>4.3803948347331945</v>
      </c>
      <c r="O181" s="8">
        <f>SQRT((C181-Sheet2!$C$526)^2+(D181-Sheet2!$D$526)^2+(E181-Sheet2!$E$526)^2+(F181-Sheet2!$F$526)^2+(G181-Sheet2!$G$526)^2+(H181-Sheet2!$H$526)^2+(I181-Sheet2!$I$526)^2+(J181-Sheet2!$J$526)^2+(K181-Sheet2!$K$526)^2+(L181-Sheet2!$L$526)^2)</f>
        <v>3.7565673225785083</v>
      </c>
      <c r="P181" s="12">
        <f t="shared" si="2"/>
        <v>1</v>
      </c>
      <c r="Q181" s="11">
        <f>IF(P181=Sheet1!$M181, 1, 0)</f>
        <v>0</v>
      </c>
    </row>
    <row r="182" spans="1:17" x14ac:dyDescent="0.35">
      <c r="A182" s="6" t="s">
        <v>183</v>
      </c>
      <c r="B182" s="6" t="s">
        <v>204</v>
      </c>
      <c r="C182" s="6">
        <v>-1.0606201630742229</v>
      </c>
      <c r="D182" s="6">
        <v>1.5672106561999888</v>
      </c>
      <c r="E182" s="6">
        <v>2.4576211625813325</v>
      </c>
      <c r="F182" s="6">
        <v>1.8539157675001769</v>
      </c>
      <c r="G182" s="6">
        <v>1.3946105766934129</v>
      </c>
      <c r="H182" s="6">
        <v>-1.5244558694488566</v>
      </c>
      <c r="I182" s="6">
        <v>0.91629733107928835</v>
      </c>
      <c r="J182" s="6">
        <v>2.4295845323199168</v>
      </c>
      <c r="K182" s="6">
        <v>-0.65013118332526487</v>
      </c>
      <c r="L182" s="6">
        <v>3.7287151094048494</v>
      </c>
      <c r="N182" s="8">
        <f>SQRT((C182-Sheet2!$C$525)^2+(D182-Sheet2!$D$525)^2+(E182-Sheet2!$E$525)^2+(F182-Sheet2!$F$525)^2+(G182-Sheet2!$G$525)^2+(H182-Sheet2!$H$525)^2+(I182-Sheet2!$I$525)^2+(J182-Sheet2!$J$525)^2+(K182-Sheet2!$K$525)^2+(L182-Sheet2!$L$525)^2)</f>
        <v>6.7954613679534326</v>
      </c>
      <c r="O182" s="8">
        <f>SQRT((C182-Sheet2!$C$526)^2+(D182-Sheet2!$D$526)^2+(E182-Sheet2!$E$526)^2+(F182-Sheet2!$F$526)^2+(G182-Sheet2!$G$526)^2+(H182-Sheet2!$H$526)^2+(I182-Sheet2!$I$526)^2+(J182-Sheet2!$J$526)^2+(K182-Sheet2!$K$526)^2+(L182-Sheet2!$L$526)^2)</f>
        <v>4.1758670090557315</v>
      </c>
      <c r="P182" s="12">
        <f t="shared" si="2"/>
        <v>1</v>
      </c>
      <c r="Q182" s="11">
        <f>IF(P182=Sheet1!$M182, 1, 0)</f>
        <v>0</v>
      </c>
    </row>
    <row r="183" spans="1:17" x14ac:dyDescent="0.35">
      <c r="A183" s="6" t="s">
        <v>183</v>
      </c>
      <c r="B183" s="6" t="s">
        <v>205</v>
      </c>
      <c r="C183" s="6">
        <v>-0.30103584631588609</v>
      </c>
      <c r="D183" s="6">
        <v>1.0332241415863594</v>
      </c>
      <c r="E183" s="6">
        <v>0.54714024394070992</v>
      </c>
      <c r="F183" s="6">
        <v>0.82013055418651892</v>
      </c>
      <c r="G183" s="6">
        <v>0.80810182376927409</v>
      </c>
      <c r="H183" s="6">
        <v>0.83530144602406242</v>
      </c>
      <c r="I183" s="6">
        <v>0.90545990176363411</v>
      </c>
      <c r="J183" s="6">
        <v>2.0765634316835468</v>
      </c>
      <c r="K183" s="6">
        <v>-1.0319670657070339</v>
      </c>
      <c r="L183" s="6">
        <v>-0.10049512247078837</v>
      </c>
      <c r="N183" s="8">
        <f>SQRT((C183-Sheet2!$C$525)^2+(D183-Sheet2!$D$525)^2+(E183-Sheet2!$E$525)^2+(F183-Sheet2!$F$525)^2+(G183-Sheet2!$G$525)^2+(H183-Sheet2!$H$525)^2+(I183-Sheet2!$I$525)^2+(J183-Sheet2!$J$525)^2+(K183-Sheet2!$K$525)^2+(L183-Sheet2!$L$525)^2)</f>
        <v>3.7673357408448576</v>
      </c>
      <c r="O183" s="8">
        <f>SQRT((C183-Sheet2!$C$526)^2+(D183-Sheet2!$D$526)^2+(E183-Sheet2!$E$526)^2+(F183-Sheet2!$F$526)^2+(G183-Sheet2!$G$526)^2+(H183-Sheet2!$H$526)^2+(I183-Sheet2!$I$526)^2+(J183-Sheet2!$J$526)^2+(K183-Sheet2!$K$526)^2+(L183-Sheet2!$L$526)^2)</f>
        <v>1.7856305054585171</v>
      </c>
      <c r="P183" s="12">
        <f t="shared" si="2"/>
        <v>1</v>
      </c>
      <c r="Q183" s="11">
        <f>IF(P183=Sheet1!$M183, 1, 0)</f>
        <v>0</v>
      </c>
    </row>
    <row r="184" spans="1:17" x14ac:dyDescent="0.35">
      <c r="A184" s="6" t="s">
        <v>183</v>
      </c>
      <c r="B184" s="6" t="s">
        <v>206</v>
      </c>
      <c r="C184" s="6">
        <v>-1.010965357915109</v>
      </c>
      <c r="D184" s="6">
        <v>1.7636194891613237</v>
      </c>
      <c r="E184" s="6">
        <v>2.0549687051817567</v>
      </c>
      <c r="F184" s="6">
        <v>1.8523751039930043</v>
      </c>
      <c r="G184" s="6">
        <v>1.6065667101759002</v>
      </c>
      <c r="H184" s="6">
        <v>1.0954618622243415</v>
      </c>
      <c r="I184" s="6">
        <v>0.94753462734205607</v>
      </c>
      <c r="J184" s="6">
        <v>2.2094208351488476</v>
      </c>
      <c r="K184" s="6">
        <v>-0.73620074697689253</v>
      </c>
      <c r="L184" s="6">
        <v>0.99946844909034249</v>
      </c>
      <c r="N184" s="8">
        <f>SQRT((C184-Sheet2!$C$525)^2+(D184-Sheet2!$D$525)^2+(E184-Sheet2!$E$525)^2+(F184-Sheet2!$F$525)^2+(G184-Sheet2!$G$525)^2+(H184-Sheet2!$H$525)^2+(I184-Sheet2!$I$525)^2+(J184-Sheet2!$J$525)^2+(K184-Sheet2!$K$525)^2+(L184-Sheet2!$L$525)^2)</f>
        <v>5.5261778393561425</v>
      </c>
      <c r="O184" s="8">
        <f>SQRT((C184-Sheet2!$C$526)^2+(D184-Sheet2!$D$526)^2+(E184-Sheet2!$E$526)^2+(F184-Sheet2!$F$526)^2+(G184-Sheet2!$G$526)^2+(H184-Sheet2!$H$526)^2+(I184-Sheet2!$I$526)^2+(J184-Sheet2!$J$526)^2+(K184-Sheet2!$K$526)^2+(L184-Sheet2!$L$526)^2)</f>
        <v>1.5855498231349632</v>
      </c>
      <c r="P184" s="12">
        <f t="shared" si="2"/>
        <v>1</v>
      </c>
      <c r="Q184" s="11">
        <f>IF(P184=Sheet1!$M184, 1, 0)</f>
        <v>0</v>
      </c>
    </row>
    <row r="185" spans="1:17" x14ac:dyDescent="0.35">
      <c r="A185" s="6" t="s">
        <v>183</v>
      </c>
      <c r="B185" s="6" t="s">
        <v>207</v>
      </c>
      <c r="C185" s="6">
        <v>-1.3008420583034497</v>
      </c>
      <c r="D185" s="6">
        <v>1.8556861296119496</v>
      </c>
      <c r="E185" s="6">
        <v>1.8770353685632797</v>
      </c>
      <c r="F185" s="6">
        <v>1.7630166205769209</v>
      </c>
      <c r="G185" s="6">
        <v>1.4410667155388925</v>
      </c>
      <c r="H185" s="6">
        <v>1.0696074109249347</v>
      </c>
      <c r="I185" s="6">
        <v>0.91693482692138517</v>
      </c>
      <c r="J185" s="6">
        <v>1.7842771440598861</v>
      </c>
      <c r="K185" s="6">
        <v>-1.0710895946395922</v>
      </c>
      <c r="L185" s="6">
        <v>0.58470214984446123</v>
      </c>
      <c r="N185" s="8">
        <f>SQRT((C185-Sheet2!$C$525)^2+(D185-Sheet2!$D$525)^2+(E185-Sheet2!$E$525)^2+(F185-Sheet2!$F$525)^2+(G185-Sheet2!$G$525)^2+(H185-Sheet2!$H$525)^2+(I185-Sheet2!$I$525)^2+(J185-Sheet2!$J$525)^2+(K185-Sheet2!$K$525)^2+(L185-Sheet2!$L$525)^2)</f>
        <v>5.2695992097132658</v>
      </c>
      <c r="O185" s="8">
        <f>SQRT((C185-Sheet2!$C$526)^2+(D185-Sheet2!$D$526)^2+(E185-Sheet2!$E$526)^2+(F185-Sheet2!$F$526)^2+(G185-Sheet2!$G$526)^2+(H185-Sheet2!$H$526)^2+(I185-Sheet2!$I$526)^2+(J185-Sheet2!$J$526)^2+(K185-Sheet2!$K$526)^2+(L185-Sheet2!$L$526)^2)</f>
        <v>1.3486695560324988</v>
      </c>
      <c r="P185" s="12">
        <f t="shared" si="2"/>
        <v>1</v>
      </c>
      <c r="Q185" s="11">
        <f>IF(P185=Sheet1!$M185, 1, 0)</f>
        <v>0</v>
      </c>
    </row>
    <row r="186" spans="1:17" x14ac:dyDescent="0.35">
      <c r="A186" s="6" t="s">
        <v>183</v>
      </c>
      <c r="B186" s="6" t="s">
        <v>208</v>
      </c>
      <c r="C186" s="6">
        <v>-0.92910203049062401</v>
      </c>
      <c r="D186" s="6">
        <v>1.622450640470364</v>
      </c>
      <c r="E186" s="6">
        <v>0.62413417220833245</v>
      </c>
      <c r="F186" s="6">
        <v>1.2530569997023735</v>
      </c>
      <c r="G186" s="6">
        <v>1.322022859747356</v>
      </c>
      <c r="H186" s="6">
        <v>7.9058745516421031E-2</v>
      </c>
      <c r="I186" s="6">
        <v>0.81557298802791411</v>
      </c>
      <c r="J186" s="6">
        <v>3.0407285882602983</v>
      </c>
      <c r="K186" s="6">
        <v>-1.2009763906956852</v>
      </c>
      <c r="L186" s="6">
        <v>2.7408027076094358E-2</v>
      </c>
      <c r="N186" s="8">
        <f>SQRT((C186-Sheet2!$C$525)^2+(D186-Sheet2!$D$525)^2+(E186-Sheet2!$E$525)^2+(F186-Sheet2!$F$525)^2+(G186-Sheet2!$G$525)^2+(H186-Sheet2!$H$525)^2+(I186-Sheet2!$I$525)^2+(J186-Sheet2!$J$525)^2+(K186-Sheet2!$K$525)^2+(L186-Sheet2!$L$525)^2)</f>
        <v>4.9490852217146957</v>
      </c>
      <c r="O186" s="8">
        <f>SQRT((C186-Sheet2!$C$526)^2+(D186-Sheet2!$D$526)^2+(E186-Sheet2!$E$526)^2+(F186-Sheet2!$F$526)^2+(G186-Sheet2!$G$526)^2+(H186-Sheet2!$H$526)^2+(I186-Sheet2!$I$526)^2+(J186-Sheet2!$J$526)^2+(K186-Sheet2!$K$526)^2+(L186-Sheet2!$L$526)^2)</f>
        <v>2.4039638869523863</v>
      </c>
      <c r="P186" s="12">
        <f t="shared" si="2"/>
        <v>1</v>
      </c>
      <c r="Q186" s="11">
        <f>IF(P186=Sheet1!$M186, 1, 0)</f>
        <v>0</v>
      </c>
    </row>
    <row r="187" spans="1:17" x14ac:dyDescent="0.35">
      <c r="A187" s="6" t="s">
        <v>183</v>
      </c>
      <c r="B187" s="6" t="s">
        <v>209</v>
      </c>
      <c r="C187" s="6">
        <v>0.11499089961182508</v>
      </c>
      <c r="D187" s="6">
        <v>0.66495757978385717</v>
      </c>
      <c r="E187" s="6">
        <v>-4.1181782104232956E-2</v>
      </c>
      <c r="F187" s="6">
        <v>0.52124183379479083</v>
      </c>
      <c r="G187" s="6">
        <v>0.77906673699085305</v>
      </c>
      <c r="H187" s="6">
        <v>-1.324083871878456</v>
      </c>
      <c r="I187" s="6">
        <v>0.59053695576756482</v>
      </c>
      <c r="J187" s="6">
        <v>0.98713272326808432</v>
      </c>
      <c r="K187" s="6">
        <v>-0.58127553240396279</v>
      </c>
      <c r="L187" s="6">
        <v>-0.12501126821518033</v>
      </c>
      <c r="N187" s="8">
        <f>SQRT((C187-Sheet2!$C$525)^2+(D187-Sheet2!$D$525)^2+(E187-Sheet2!$E$525)^2+(F187-Sheet2!$F$525)^2+(G187-Sheet2!$G$525)^2+(H187-Sheet2!$H$525)^2+(I187-Sheet2!$I$525)^2+(J187-Sheet2!$J$525)^2+(K187-Sheet2!$K$525)^2+(L187-Sheet2!$L$525)^2)</f>
        <v>2.5906874869982226</v>
      </c>
      <c r="O187" s="8">
        <f>SQRT((C187-Sheet2!$C$526)^2+(D187-Sheet2!$D$526)^2+(E187-Sheet2!$E$526)^2+(F187-Sheet2!$F$526)^2+(G187-Sheet2!$G$526)^2+(H187-Sheet2!$H$526)^2+(I187-Sheet2!$I$526)^2+(J187-Sheet2!$J$526)^2+(K187-Sheet2!$K$526)^2+(L187-Sheet2!$L$526)^2)</f>
        <v>3.0906097787191631</v>
      </c>
      <c r="P187" s="12">
        <f t="shared" si="2"/>
        <v>0</v>
      </c>
      <c r="Q187" s="11">
        <f>IF(P187=Sheet1!$M187, 1, 0)</f>
        <v>1</v>
      </c>
    </row>
    <row r="188" spans="1:17" x14ac:dyDescent="0.35">
      <c r="A188" s="6" t="s">
        <v>183</v>
      </c>
      <c r="B188" s="6" t="s">
        <v>210</v>
      </c>
      <c r="C188" s="6">
        <v>-0.69290620054456864</v>
      </c>
      <c r="D188" s="6">
        <v>0.20462437753072898</v>
      </c>
      <c r="E188" s="6">
        <v>5.5705314232535975E-2</v>
      </c>
      <c r="F188" s="6">
        <v>0.30708960629762444</v>
      </c>
      <c r="G188" s="6">
        <v>0.44516323903898952</v>
      </c>
      <c r="H188" s="6">
        <v>0.25411492618948628</v>
      </c>
      <c r="I188" s="6">
        <v>0.76967328739690721</v>
      </c>
      <c r="J188" s="6">
        <v>0.39117237058087995</v>
      </c>
      <c r="K188" s="6">
        <v>-0.84417892683075513</v>
      </c>
      <c r="L188" s="6">
        <v>-0.38864350384400503</v>
      </c>
      <c r="N188" s="8">
        <f>SQRT((C188-Sheet2!$C$525)^2+(D188-Sheet2!$D$525)^2+(E188-Sheet2!$E$525)^2+(F188-Sheet2!$F$525)^2+(G188-Sheet2!$G$525)^2+(H188-Sheet2!$H$525)^2+(I188-Sheet2!$I$525)^2+(J188-Sheet2!$J$525)^2+(K188-Sheet2!$K$525)^2+(L188-Sheet2!$L$525)^2)</f>
        <v>2.123754943208275</v>
      </c>
      <c r="O188" s="8">
        <f>SQRT((C188-Sheet2!$C$526)^2+(D188-Sheet2!$D$526)^2+(E188-Sheet2!$E$526)^2+(F188-Sheet2!$F$526)^2+(G188-Sheet2!$G$526)^2+(H188-Sheet2!$H$526)^2+(I188-Sheet2!$I$526)^2+(J188-Sheet2!$J$526)^2+(K188-Sheet2!$K$526)^2+(L188-Sheet2!$L$526)^2)</f>
        <v>2.637306942259972</v>
      </c>
      <c r="P188" s="12">
        <f t="shared" si="2"/>
        <v>0</v>
      </c>
      <c r="Q188" s="11">
        <f>IF(P188=Sheet1!$M188, 1, 0)</f>
        <v>1</v>
      </c>
    </row>
    <row r="189" spans="1:17" x14ac:dyDescent="0.35">
      <c r="A189" s="6" t="s">
        <v>211</v>
      </c>
      <c r="B189" s="6" t="s">
        <v>212</v>
      </c>
      <c r="C189" s="6">
        <v>-8.0944277502516343E-2</v>
      </c>
      <c r="D189" s="6">
        <v>-0.82652199551627803</v>
      </c>
      <c r="E189" s="6">
        <v>7.7072050306804418E-2</v>
      </c>
      <c r="F189" s="6">
        <v>7.5990080221545714E-2</v>
      </c>
      <c r="G189" s="6">
        <v>1.2320140907342489</v>
      </c>
      <c r="H189" s="6">
        <v>-4.2133994949547199E-2</v>
      </c>
      <c r="I189" s="6">
        <v>0.52487488403154214</v>
      </c>
      <c r="J189" s="6">
        <v>1.8639915861390666</v>
      </c>
      <c r="K189" s="6">
        <v>-1.0257074610778247</v>
      </c>
      <c r="L189" s="6">
        <v>1.4622440406291495</v>
      </c>
      <c r="N189" s="8">
        <f>SQRT((C189-Sheet2!$C$525)^2+(D189-Sheet2!$D$525)^2+(E189-Sheet2!$E$525)^2+(F189-Sheet2!$F$525)^2+(G189-Sheet2!$G$525)^2+(H189-Sheet2!$H$525)^2+(I189-Sheet2!$I$525)^2+(J189-Sheet2!$J$525)^2+(K189-Sheet2!$K$525)^2+(L189-Sheet2!$L$525)^2)</f>
        <v>3.4380124502191656</v>
      </c>
      <c r="O189" s="8">
        <f>SQRT((C189-Sheet2!$C$526)^2+(D189-Sheet2!$D$526)^2+(E189-Sheet2!$E$526)^2+(F189-Sheet2!$F$526)^2+(G189-Sheet2!$G$526)^2+(H189-Sheet2!$H$526)^2+(I189-Sheet2!$I$526)^2+(J189-Sheet2!$J$526)^2+(K189-Sheet2!$K$526)^2+(L189-Sheet2!$L$526)^2)</f>
        <v>3.2870060053742818</v>
      </c>
      <c r="P189" s="12">
        <f t="shared" si="2"/>
        <v>1</v>
      </c>
      <c r="Q189" s="11">
        <f>IF(P189=Sheet1!$M189, 1, 0)</f>
        <v>0</v>
      </c>
    </row>
    <row r="190" spans="1:17" x14ac:dyDescent="0.35">
      <c r="A190" s="6" t="s">
        <v>211</v>
      </c>
      <c r="B190" s="6" t="s">
        <v>213</v>
      </c>
      <c r="C190" s="6">
        <v>0.18611805294785302</v>
      </c>
      <c r="D190" s="6">
        <v>-0.49508208989402569</v>
      </c>
      <c r="E190" s="6">
        <v>0.4498847556026605</v>
      </c>
      <c r="F190" s="6">
        <v>0.38720410867066446</v>
      </c>
      <c r="G190" s="6">
        <v>1.2029790039558237</v>
      </c>
      <c r="H190" s="6">
        <v>0.14908121778564698</v>
      </c>
      <c r="I190" s="6">
        <v>0.40502566571724791</v>
      </c>
      <c r="J190" s="6">
        <v>0.37598866732770275</v>
      </c>
      <c r="K190" s="6">
        <v>-0.68768881110052227</v>
      </c>
      <c r="L190" s="6">
        <v>0.39121179484228114</v>
      </c>
      <c r="N190" s="8">
        <f>SQRT((C190-Sheet2!$C$525)^2+(D190-Sheet2!$D$525)^2+(E190-Sheet2!$E$525)^2+(F190-Sheet2!$F$525)^2+(G190-Sheet2!$G$525)^2+(H190-Sheet2!$H$525)^2+(I190-Sheet2!$I$525)^2+(J190-Sheet2!$J$525)^2+(K190-Sheet2!$K$525)^2+(L190-Sheet2!$L$525)^2)</f>
        <v>2.2372645542881</v>
      </c>
      <c r="O190" s="8">
        <f>SQRT((C190-Sheet2!$C$526)^2+(D190-Sheet2!$D$526)^2+(E190-Sheet2!$E$526)^2+(F190-Sheet2!$F$526)^2+(G190-Sheet2!$G$526)^2+(H190-Sheet2!$H$526)^2+(I190-Sheet2!$I$526)^2+(J190-Sheet2!$J$526)^2+(K190-Sheet2!$K$526)^2+(L190-Sheet2!$L$526)^2)</f>
        <v>2.7753197945842141</v>
      </c>
      <c r="P190" s="12">
        <f t="shared" si="2"/>
        <v>0</v>
      </c>
      <c r="Q190" s="11">
        <f>IF(P190=Sheet1!$M190, 1, 0)</f>
        <v>1</v>
      </c>
    </row>
    <row r="191" spans="1:17" x14ac:dyDescent="0.35">
      <c r="A191" s="6" t="s">
        <v>211</v>
      </c>
      <c r="B191" s="6" t="s">
        <v>214</v>
      </c>
      <c r="C191" s="6">
        <v>0.53235966730059292</v>
      </c>
      <c r="D191" s="6">
        <v>-0.72831757903561056</v>
      </c>
      <c r="E191" s="6">
        <v>-0.10786073433600168</v>
      </c>
      <c r="F191" s="6">
        <v>-0.11967418518953367</v>
      </c>
      <c r="G191" s="6">
        <v>1.0316719919631283</v>
      </c>
      <c r="H191" s="6">
        <v>-4.6981704568186115E-2</v>
      </c>
      <c r="I191" s="6">
        <v>2.765789353848263E-3</v>
      </c>
      <c r="J191" s="6">
        <v>0.37598866732770275</v>
      </c>
      <c r="K191" s="6">
        <v>8.6922038990146413E-3</v>
      </c>
      <c r="L191" s="6">
        <v>-8.8441079003767298E-2</v>
      </c>
      <c r="N191" s="8">
        <f>SQRT((C191-Sheet2!$C$525)^2+(D191-Sheet2!$D$525)^2+(E191-Sheet2!$E$525)^2+(F191-Sheet2!$F$525)^2+(G191-Sheet2!$G$525)^2+(H191-Sheet2!$H$525)^2+(I191-Sheet2!$I$525)^2+(J191-Sheet2!$J$525)^2+(K191-Sheet2!$K$525)^2+(L191-Sheet2!$L$525)^2)</f>
        <v>1.561701398866683</v>
      </c>
      <c r="O191" s="8">
        <f>SQRT((C191-Sheet2!$C$526)^2+(D191-Sheet2!$D$526)^2+(E191-Sheet2!$E$526)^2+(F191-Sheet2!$F$526)^2+(G191-Sheet2!$G$526)^2+(H191-Sheet2!$H$526)^2+(I191-Sheet2!$I$526)^2+(J191-Sheet2!$J$526)^2+(K191-Sheet2!$K$526)^2+(L191-Sheet2!$L$526)^2)</f>
        <v>3.7060260309521849</v>
      </c>
      <c r="P191" s="12">
        <f t="shared" si="2"/>
        <v>0</v>
      </c>
      <c r="Q191" s="11">
        <f>IF(P191=Sheet1!$M191, 1, 0)</f>
        <v>1</v>
      </c>
    </row>
    <row r="192" spans="1:17" x14ac:dyDescent="0.35">
      <c r="A192" s="6" t="s">
        <v>211</v>
      </c>
      <c r="B192" s="6" t="s">
        <v>215</v>
      </c>
      <c r="C192" s="6">
        <v>0.53101764553953601</v>
      </c>
      <c r="D192" s="6">
        <v>-1.0352063805376961</v>
      </c>
      <c r="E192" s="6">
        <v>-0.33810573513630809</v>
      </c>
      <c r="F192" s="6">
        <v>-0.31841977761496232</v>
      </c>
      <c r="G192" s="6">
        <v>1.3423474204922541</v>
      </c>
      <c r="H192" s="6">
        <v>-1.963442907136697</v>
      </c>
      <c r="I192" s="6">
        <v>-0.16107064206515997</v>
      </c>
      <c r="J192" s="6">
        <v>0.30386607687511136</v>
      </c>
      <c r="K192" s="6">
        <v>4.6249831674271963E-2</v>
      </c>
      <c r="L192" s="6">
        <v>-0.13430480814327245</v>
      </c>
      <c r="N192" s="8">
        <f>SQRT((C192-Sheet2!$C$525)^2+(D192-Sheet2!$D$525)^2+(E192-Sheet2!$E$525)^2+(F192-Sheet2!$F$525)^2+(G192-Sheet2!$G$525)^2+(H192-Sheet2!$H$525)^2+(I192-Sheet2!$I$525)^2+(J192-Sheet2!$J$525)^2+(K192-Sheet2!$K$525)^2+(L192-Sheet2!$L$525)^2)</f>
        <v>2.5693416633202322</v>
      </c>
      <c r="O192" s="8">
        <f>SQRT((C192-Sheet2!$C$526)^2+(D192-Sheet2!$D$526)^2+(E192-Sheet2!$E$526)^2+(F192-Sheet2!$F$526)^2+(G192-Sheet2!$G$526)^2+(H192-Sheet2!$H$526)^2+(I192-Sheet2!$I$526)^2+(J192-Sheet2!$J$526)^2+(K192-Sheet2!$K$526)^2+(L192-Sheet2!$L$526)^2)</f>
        <v>4.90924755306796</v>
      </c>
      <c r="P192" s="12">
        <f t="shared" si="2"/>
        <v>0</v>
      </c>
      <c r="Q192" s="11">
        <f>IF(P192=Sheet1!$M192, 1, 0)</f>
        <v>1</v>
      </c>
    </row>
    <row r="193" spans="1:17" x14ac:dyDescent="0.35">
      <c r="A193" s="6" t="s">
        <v>211</v>
      </c>
      <c r="B193" s="6" t="s">
        <v>216</v>
      </c>
      <c r="C193" s="6">
        <v>0.74574112730867692</v>
      </c>
      <c r="D193" s="6">
        <v>-0.54418429813435942</v>
      </c>
      <c r="E193" s="6">
        <v>-0.47772630362161389</v>
      </c>
      <c r="F193" s="6">
        <v>1.898553045611226E-2</v>
      </c>
      <c r="G193" s="6">
        <v>1.1303912870097668</v>
      </c>
      <c r="H193" s="6">
        <v>0.63492944845366162</v>
      </c>
      <c r="I193" s="6">
        <v>7.7990298721329954E-2</v>
      </c>
      <c r="J193" s="6">
        <v>0.36839681570111432</v>
      </c>
      <c r="K193" s="6">
        <v>-0.26673039978619384</v>
      </c>
      <c r="L193" s="6">
        <v>-3.5751762325336653E-2</v>
      </c>
      <c r="N193" s="8">
        <f>SQRT((C193-Sheet2!$C$525)^2+(D193-Sheet2!$D$525)^2+(E193-Sheet2!$E$525)^2+(F193-Sheet2!$F$525)^2+(G193-Sheet2!$G$525)^2+(H193-Sheet2!$H$525)^2+(I193-Sheet2!$I$525)^2+(J193-Sheet2!$J$525)^2+(K193-Sheet2!$K$525)^2+(L193-Sheet2!$L$525)^2)</f>
        <v>1.9125234005670897</v>
      </c>
      <c r="O193" s="8">
        <f>SQRT((C193-Sheet2!$C$526)^2+(D193-Sheet2!$D$526)^2+(E193-Sheet2!$E$526)^2+(F193-Sheet2!$F$526)^2+(G193-Sheet2!$G$526)^2+(H193-Sheet2!$H$526)^2+(I193-Sheet2!$I$526)^2+(J193-Sheet2!$J$526)^2+(K193-Sheet2!$K$526)^2+(L193-Sheet2!$L$526)^2)</f>
        <v>3.6521955887522517</v>
      </c>
      <c r="P193" s="12">
        <f t="shared" si="2"/>
        <v>0</v>
      </c>
      <c r="Q193" s="11">
        <f>IF(P193=Sheet1!$M193, 1, 0)</f>
        <v>1</v>
      </c>
    </row>
    <row r="194" spans="1:17" x14ac:dyDescent="0.35">
      <c r="A194" s="6" t="s">
        <v>211</v>
      </c>
      <c r="B194" s="6" t="s">
        <v>217</v>
      </c>
      <c r="C194" s="6">
        <v>1.7023311054654374E-2</v>
      </c>
      <c r="D194" s="6">
        <v>-0.13909108015160596</v>
      </c>
      <c r="E194" s="6">
        <v>-1.834147802484256E-2</v>
      </c>
      <c r="F194" s="6">
        <v>0.47039993805805375</v>
      </c>
      <c r="G194" s="6">
        <v>1.5136544324849495</v>
      </c>
      <c r="H194" s="6">
        <v>0.14046306735251163</v>
      </c>
      <c r="I194" s="6">
        <v>5.4402952563729332E-2</v>
      </c>
      <c r="J194" s="6">
        <v>-0.55780908274269381</v>
      </c>
      <c r="K194" s="6">
        <v>0.59865994020199431</v>
      </c>
      <c r="L194" s="6">
        <v>-0.17513204388684872</v>
      </c>
      <c r="N194" s="8">
        <f>SQRT((C194-Sheet2!$C$525)^2+(D194-Sheet2!$D$525)^2+(E194-Sheet2!$E$525)^2+(F194-Sheet2!$F$525)^2+(G194-Sheet2!$G$525)^2+(H194-Sheet2!$H$525)^2+(I194-Sheet2!$I$525)^2+(J194-Sheet2!$J$525)^2+(K194-Sheet2!$K$525)^2+(L194-Sheet2!$L$525)^2)</f>
        <v>2.0537138338517882</v>
      </c>
      <c r="O194" s="8">
        <f>SQRT((C194-Sheet2!$C$526)^2+(D194-Sheet2!$D$526)^2+(E194-Sheet2!$E$526)^2+(F194-Sheet2!$F$526)^2+(G194-Sheet2!$G$526)^2+(H194-Sheet2!$H$526)^2+(I194-Sheet2!$I$526)^2+(J194-Sheet2!$J$526)^2+(K194-Sheet2!$K$526)^2+(L194-Sheet2!$L$526)^2)</f>
        <v>3.5185067832476853</v>
      </c>
      <c r="P194" s="12">
        <f t="shared" si="2"/>
        <v>0</v>
      </c>
      <c r="Q194" s="11">
        <f>IF(P194=Sheet1!$M194, 1, 0)</f>
        <v>1</v>
      </c>
    </row>
    <row r="195" spans="1:17" x14ac:dyDescent="0.35">
      <c r="A195" s="6" t="s">
        <v>211</v>
      </c>
      <c r="B195" s="6" t="s">
        <v>218</v>
      </c>
      <c r="C195" s="6">
        <v>0.72426877913176324</v>
      </c>
      <c r="D195" s="6">
        <v>-0.99224194832740387</v>
      </c>
      <c r="E195" s="6">
        <v>0.1603286425961952</v>
      </c>
      <c r="F195" s="6">
        <v>-0.23060195770605127</v>
      </c>
      <c r="G195" s="6">
        <v>0.66292638987716024</v>
      </c>
      <c r="H195" s="6">
        <v>-1.2890726357438425</v>
      </c>
      <c r="I195" s="6">
        <v>0.66958644018763047</v>
      </c>
      <c r="J195" s="6">
        <v>7.6110528077453443E-2</v>
      </c>
      <c r="K195" s="6">
        <v>0.20430484856180578</v>
      </c>
      <c r="L195" s="6">
        <v>-0.16505627805757092</v>
      </c>
      <c r="N195" s="8">
        <f>SQRT((C195-Sheet2!$C$525)^2+(D195-Sheet2!$D$525)^2+(E195-Sheet2!$E$525)^2+(F195-Sheet2!$F$525)^2+(G195-Sheet2!$G$525)^2+(H195-Sheet2!$H$525)^2+(I195-Sheet2!$I$525)^2+(J195-Sheet2!$J$525)^2+(K195-Sheet2!$K$525)^2+(L195-Sheet2!$L$525)^2)</f>
        <v>1.9623636802478084</v>
      </c>
      <c r="O195" s="8">
        <f>SQRT((C195-Sheet2!$C$526)^2+(D195-Sheet2!$D$526)^2+(E195-Sheet2!$E$526)^2+(F195-Sheet2!$F$526)^2+(G195-Sheet2!$G$526)^2+(H195-Sheet2!$H$526)^2+(I195-Sheet2!$I$526)^2+(J195-Sheet2!$J$526)^2+(K195-Sheet2!$K$526)^2+(L195-Sheet2!$L$526)^2)</f>
        <v>4.3790180636961091</v>
      </c>
      <c r="P195" s="12">
        <f t="shared" ref="P195:P258" si="3">IF(N195&lt;=O195, 0, 1)</f>
        <v>0</v>
      </c>
      <c r="Q195" s="11">
        <f>IF(P195=Sheet1!$M195, 1, 0)</f>
        <v>1</v>
      </c>
    </row>
    <row r="196" spans="1:17" x14ac:dyDescent="0.35">
      <c r="A196" s="6" t="s">
        <v>211</v>
      </c>
      <c r="B196" s="6" t="s">
        <v>219</v>
      </c>
      <c r="C196" s="6">
        <v>-4.8735755237145136E-2</v>
      </c>
      <c r="D196" s="6">
        <v>-0.39687767341335822</v>
      </c>
      <c r="E196" s="6">
        <v>-0.32594879909405189</v>
      </c>
      <c r="F196" s="6">
        <v>2.9770175006330404E-2</v>
      </c>
      <c r="G196" s="6">
        <v>1.2262070733785613</v>
      </c>
      <c r="H196" s="6">
        <v>6.4515616660505065E-2</v>
      </c>
      <c r="I196" s="6">
        <v>0.5739620638730345</v>
      </c>
      <c r="J196" s="6">
        <v>-1.1195765628315158E-2</v>
      </c>
      <c r="K196" s="6">
        <v>0.98832032837027339</v>
      </c>
      <c r="L196" s="6">
        <v>3.547212502855171E-2</v>
      </c>
      <c r="N196" s="8">
        <f>SQRT((C196-Sheet2!$C$525)^2+(D196-Sheet2!$D$525)^2+(E196-Sheet2!$E$525)^2+(F196-Sheet2!$F$525)^2+(G196-Sheet2!$G$525)^2+(H196-Sheet2!$H$525)^2+(I196-Sheet2!$I$525)^2+(J196-Sheet2!$J$525)^2+(K196-Sheet2!$K$525)^2+(L196-Sheet2!$L$525)^2)</f>
        <v>1.9269225636829381</v>
      </c>
      <c r="O196" s="8">
        <f>SQRT((C196-Sheet2!$C$526)^2+(D196-Sheet2!$D$526)^2+(E196-Sheet2!$E$526)^2+(F196-Sheet2!$F$526)^2+(G196-Sheet2!$G$526)^2+(H196-Sheet2!$H$526)^2+(I196-Sheet2!$I$526)^2+(J196-Sheet2!$J$526)^2+(K196-Sheet2!$K$526)^2+(L196-Sheet2!$L$526)^2)</f>
        <v>3.6973210381663528</v>
      </c>
      <c r="P196" s="12">
        <f t="shared" si="3"/>
        <v>0</v>
      </c>
      <c r="Q196" s="11">
        <f>IF(P196=Sheet1!$M196, 1, 0)</f>
        <v>1</v>
      </c>
    </row>
    <row r="197" spans="1:17" x14ac:dyDescent="0.35">
      <c r="A197" s="6" t="s">
        <v>211</v>
      </c>
      <c r="B197" s="6" t="s">
        <v>220</v>
      </c>
      <c r="C197" s="6">
        <v>-0.22185656241351531</v>
      </c>
      <c r="D197" s="6">
        <v>-0.36005101723310823</v>
      </c>
      <c r="E197" s="6">
        <v>0.99694687750418853</v>
      </c>
      <c r="F197" s="6">
        <v>0.68917415607674193</v>
      </c>
      <c r="G197" s="6">
        <v>1.8504614391146526</v>
      </c>
      <c r="H197" s="6">
        <v>0.56652287939064871</v>
      </c>
      <c r="I197" s="6">
        <v>0.52806236324202849</v>
      </c>
      <c r="J197" s="6">
        <v>1.1579789251450461E-2</v>
      </c>
      <c r="K197" s="6">
        <v>0.98988522952757652</v>
      </c>
      <c r="L197" s="6">
        <v>3.0993340563292428E-2</v>
      </c>
      <c r="N197" s="8">
        <f>SQRT((C197-Sheet2!$C$525)^2+(D197-Sheet2!$D$525)^2+(E197-Sheet2!$E$525)^2+(F197-Sheet2!$F$525)^2+(G197-Sheet2!$G$525)^2+(H197-Sheet2!$H$525)^2+(I197-Sheet2!$I$525)^2+(J197-Sheet2!$J$525)^2+(K197-Sheet2!$K$525)^2+(L197-Sheet2!$L$525)^2)</f>
        <v>3.0142515898860958</v>
      </c>
      <c r="O197" s="8">
        <f>SQRT((C197-Sheet2!$C$526)^2+(D197-Sheet2!$D$526)^2+(E197-Sheet2!$E$526)^2+(F197-Sheet2!$F$526)^2+(G197-Sheet2!$G$526)^2+(H197-Sheet2!$H$526)^2+(I197-Sheet2!$I$526)^2+(J197-Sheet2!$J$526)^2+(K197-Sheet2!$K$526)^2+(L197-Sheet2!$L$526)^2)</f>
        <v>3.0481536234935898</v>
      </c>
      <c r="P197" s="12">
        <f t="shared" si="3"/>
        <v>0</v>
      </c>
      <c r="Q197" s="11">
        <f>IF(P197=Sheet1!$M197, 1, 0)</f>
        <v>1</v>
      </c>
    </row>
    <row r="198" spans="1:17" x14ac:dyDescent="0.35">
      <c r="A198" s="6" t="s">
        <v>211</v>
      </c>
      <c r="B198" s="6" t="s">
        <v>221</v>
      </c>
      <c r="C198" s="6">
        <v>0.16330368300988177</v>
      </c>
      <c r="D198" s="6">
        <v>0.22917548165089638</v>
      </c>
      <c r="E198" s="6">
        <v>0.6233973882057714</v>
      </c>
      <c r="F198" s="6">
        <v>0.9541682793106453</v>
      </c>
      <c r="G198" s="6">
        <v>2.0914526593755611</v>
      </c>
      <c r="H198" s="6">
        <v>0.97857819697494097</v>
      </c>
      <c r="I198" s="6">
        <v>0.80983552544903814</v>
      </c>
      <c r="J198" s="6">
        <v>0.15962089596992818</v>
      </c>
      <c r="K198" s="6">
        <v>-0.40287680047149721</v>
      </c>
      <c r="L198" s="6">
        <v>0.13721824305211014</v>
      </c>
      <c r="N198" s="8">
        <f>SQRT((C198-Sheet2!$C$525)^2+(D198-Sheet2!$D$525)^2+(E198-Sheet2!$E$525)^2+(F198-Sheet2!$F$525)^2+(G198-Sheet2!$G$525)^2+(H198-Sheet2!$H$525)^2+(I198-Sheet2!$I$525)^2+(J198-Sheet2!$J$525)^2+(K198-Sheet2!$K$525)^2+(L198-Sheet2!$L$525)^2)</f>
        <v>3.3198933137522348</v>
      </c>
      <c r="O198" s="8">
        <f>SQRT((C198-Sheet2!$C$526)^2+(D198-Sheet2!$D$526)^2+(E198-Sheet2!$E$526)^2+(F198-Sheet2!$F$526)^2+(G198-Sheet2!$G$526)^2+(H198-Sheet2!$H$526)^2+(I198-Sheet2!$I$526)^2+(J198-Sheet2!$J$526)^2+(K198-Sheet2!$K$526)^2+(L198-Sheet2!$L$526)^2)</f>
        <v>2.3935624773287758</v>
      </c>
      <c r="P198" s="12">
        <f t="shared" si="3"/>
        <v>1</v>
      </c>
      <c r="Q198" s="11">
        <f>IF(P198=Sheet1!$M198, 1, 0)</f>
        <v>0</v>
      </c>
    </row>
    <row r="199" spans="1:17" x14ac:dyDescent="0.35">
      <c r="A199" s="6" t="s">
        <v>211</v>
      </c>
      <c r="B199" s="6" t="s">
        <v>222</v>
      </c>
      <c r="C199" s="6">
        <v>-0.54259976330616977</v>
      </c>
      <c r="D199" s="6">
        <v>0.56061538727314819</v>
      </c>
      <c r="E199" s="6">
        <v>0.40641449945156266</v>
      </c>
      <c r="F199" s="6">
        <v>1.1097752935352037</v>
      </c>
      <c r="G199" s="6">
        <v>2.3440579143478404</v>
      </c>
      <c r="H199" s="6">
        <v>0.91932841274713384</v>
      </c>
      <c r="I199" s="6">
        <v>0.82067295476469238</v>
      </c>
      <c r="J199" s="6">
        <v>-0.6602990797016397</v>
      </c>
      <c r="K199" s="6">
        <v>-0.10711048174135691</v>
      </c>
      <c r="L199" s="6">
        <v>0.1184755997854566</v>
      </c>
      <c r="N199" s="8">
        <f>SQRT((C199-Sheet2!$C$525)^2+(D199-Sheet2!$D$525)^2+(E199-Sheet2!$E$525)^2+(F199-Sheet2!$F$525)^2+(G199-Sheet2!$G$525)^2+(H199-Sheet2!$H$525)^2+(I199-Sheet2!$I$525)^2+(J199-Sheet2!$J$525)^2+(K199-Sheet2!$K$525)^2+(L199-Sheet2!$L$525)^2)</f>
        <v>3.5919433236197755</v>
      </c>
      <c r="O199" s="8">
        <f>SQRT((C199-Sheet2!$C$526)^2+(D199-Sheet2!$D$526)^2+(E199-Sheet2!$E$526)^2+(F199-Sheet2!$F$526)^2+(G199-Sheet2!$G$526)^2+(H199-Sheet2!$H$526)^2+(I199-Sheet2!$I$526)^2+(J199-Sheet2!$J$526)^2+(K199-Sheet2!$K$526)^2+(L199-Sheet2!$L$526)^2)</f>
        <v>2.7852763993092657</v>
      </c>
      <c r="P199" s="12">
        <f t="shared" si="3"/>
        <v>1</v>
      </c>
      <c r="Q199" s="11">
        <f>IF(P199=Sheet1!$M199, 1, 0)</f>
        <v>0</v>
      </c>
    </row>
    <row r="200" spans="1:17" x14ac:dyDescent="0.35">
      <c r="A200" s="6" t="s">
        <v>211</v>
      </c>
      <c r="B200" s="6" t="s">
        <v>223</v>
      </c>
      <c r="C200" s="6">
        <v>-9.7048538635201825E-2</v>
      </c>
      <c r="D200" s="6">
        <v>-0.67307759476523532</v>
      </c>
      <c r="E200" s="6">
        <v>-0.33000111110813729</v>
      </c>
      <c r="F200" s="6">
        <v>8.6774724771761666E-2</v>
      </c>
      <c r="G200" s="6">
        <v>1.9230491560607095</v>
      </c>
      <c r="H200" s="6">
        <v>0.84930594047790786</v>
      </c>
      <c r="I200" s="6">
        <v>0.87231011797457347</v>
      </c>
      <c r="J200" s="6">
        <v>-0.99813647708483189</v>
      </c>
      <c r="K200" s="6">
        <v>0.5673619170559473</v>
      </c>
      <c r="L200" s="6">
        <v>-1.4899683391723529E-2</v>
      </c>
      <c r="N200" s="8">
        <f>SQRT((C200-Sheet2!$C$525)^2+(D200-Sheet2!$D$525)^2+(E200-Sheet2!$E$525)^2+(F200-Sheet2!$F$525)^2+(G200-Sheet2!$G$525)^2+(H200-Sheet2!$H$525)^2+(I200-Sheet2!$I$525)^2+(J200-Sheet2!$J$525)^2+(K200-Sheet2!$K$525)^2+(L200-Sheet2!$L$525)^2)</f>
        <v>2.8027820010482407</v>
      </c>
      <c r="O200" s="8">
        <f>SQRT((C200-Sheet2!$C$526)^2+(D200-Sheet2!$D$526)^2+(E200-Sheet2!$E$526)^2+(F200-Sheet2!$F$526)^2+(G200-Sheet2!$G$526)^2+(H200-Sheet2!$H$526)^2+(I200-Sheet2!$I$526)^2+(J200-Sheet2!$J$526)^2+(K200-Sheet2!$K$526)^2+(L200-Sheet2!$L$526)^2)</f>
        <v>4.1250387277415692</v>
      </c>
      <c r="P200" s="12">
        <f t="shared" si="3"/>
        <v>0</v>
      </c>
      <c r="Q200" s="11">
        <f>IF(P200=Sheet1!$M200, 1, 0)</f>
        <v>1</v>
      </c>
    </row>
    <row r="201" spans="1:17" x14ac:dyDescent="0.35">
      <c r="A201" s="6" t="s">
        <v>211</v>
      </c>
      <c r="B201" s="6" t="s">
        <v>224</v>
      </c>
      <c r="C201" s="6">
        <v>-0.21380443184717246</v>
      </c>
      <c r="D201" s="6">
        <v>8.186885692989522E-2</v>
      </c>
      <c r="E201" s="6">
        <v>0.43625425155528241</v>
      </c>
      <c r="F201" s="6">
        <v>0.93413965371738372</v>
      </c>
      <c r="G201" s="6">
        <v>2.2917947581466773</v>
      </c>
      <c r="H201" s="6">
        <v>0.97911683137701144</v>
      </c>
      <c r="I201" s="6">
        <v>0.86147268865892002</v>
      </c>
      <c r="J201" s="6">
        <v>0.31525385431499398</v>
      </c>
      <c r="K201" s="6">
        <v>0.57675132399976159</v>
      </c>
      <c r="L201" s="6">
        <v>0.10593837991767109</v>
      </c>
      <c r="N201" s="8">
        <f>SQRT((C201-Sheet2!$C$525)^2+(D201-Sheet2!$D$525)^2+(E201-Sheet2!$E$525)^2+(F201-Sheet2!$F$525)^2+(G201-Sheet2!$G$525)^2+(H201-Sheet2!$H$525)^2+(I201-Sheet2!$I$525)^2+(J201-Sheet2!$J$525)^2+(K201-Sheet2!$K$525)^2+(L201-Sheet2!$L$525)^2)</f>
        <v>3.4308251944126313</v>
      </c>
      <c r="O201" s="8">
        <f>SQRT((C201-Sheet2!$C$526)^2+(D201-Sheet2!$D$526)^2+(E201-Sheet2!$E$526)^2+(F201-Sheet2!$F$526)^2+(G201-Sheet2!$G$526)^2+(H201-Sheet2!$H$526)^2+(I201-Sheet2!$I$526)^2+(J201-Sheet2!$J$526)^2+(K201-Sheet2!$K$526)^2+(L201-Sheet2!$L$526)^2)</f>
        <v>2.7400718527770755</v>
      </c>
      <c r="P201" s="12">
        <f t="shared" si="3"/>
        <v>1</v>
      </c>
      <c r="Q201" s="11">
        <f>IF(P201=Sheet1!$M201, 1, 0)</f>
        <v>0</v>
      </c>
    </row>
    <row r="202" spans="1:17" x14ac:dyDescent="0.35">
      <c r="A202" s="6" t="s">
        <v>211</v>
      </c>
      <c r="B202" s="6" t="s">
        <v>225</v>
      </c>
      <c r="C202" s="6">
        <v>0.20893242288582425</v>
      </c>
      <c r="D202" s="6">
        <v>-0.47666876180390039</v>
      </c>
      <c r="E202" s="6">
        <v>0.86727289305345601</v>
      </c>
      <c r="F202" s="6">
        <v>0.63987292384717731</v>
      </c>
      <c r="G202" s="6">
        <v>1.7807772308464394</v>
      </c>
      <c r="H202" s="6">
        <v>0.68340654464004924</v>
      </c>
      <c r="I202" s="6">
        <v>0.84107282171180575</v>
      </c>
      <c r="J202" s="6">
        <v>-0.11368576258726129</v>
      </c>
      <c r="K202" s="6">
        <v>0.35610026082013152</v>
      </c>
      <c r="L202" s="6">
        <v>0.11264647476928044</v>
      </c>
      <c r="N202" s="8">
        <f>SQRT((C202-Sheet2!$C$525)^2+(D202-Sheet2!$D$525)^2+(E202-Sheet2!$E$525)^2+(F202-Sheet2!$F$525)^2+(G202-Sheet2!$G$525)^2+(H202-Sheet2!$H$525)^2+(I202-Sheet2!$I$525)^2+(J202-Sheet2!$J$525)^2+(K202-Sheet2!$K$525)^2+(L202-Sheet2!$L$525)^2)</f>
        <v>2.8790181870782798</v>
      </c>
      <c r="O202" s="8">
        <f>SQRT((C202-Sheet2!$C$526)^2+(D202-Sheet2!$D$526)^2+(E202-Sheet2!$E$526)^2+(F202-Sheet2!$F$526)^2+(G202-Sheet2!$G$526)^2+(H202-Sheet2!$H$526)^2+(I202-Sheet2!$I$526)^2+(J202-Sheet2!$J$526)^2+(K202-Sheet2!$K$526)^2+(L202-Sheet2!$L$526)^2)</f>
        <v>2.9830931830480898</v>
      </c>
      <c r="P202" s="12">
        <f t="shared" si="3"/>
        <v>0</v>
      </c>
      <c r="Q202" s="11">
        <f>IF(P202=Sheet1!$M202, 1, 0)</f>
        <v>1</v>
      </c>
    </row>
    <row r="203" spans="1:17" x14ac:dyDescent="0.35">
      <c r="A203" s="6" t="s">
        <v>211</v>
      </c>
      <c r="B203" s="6" t="s">
        <v>226</v>
      </c>
      <c r="C203" s="6">
        <v>6.265205093059685E-2</v>
      </c>
      <c r="D203" s="6">
        <v>-0.81424644345619435</v>
      </c>
      <c r="E203" s="6">
        <v>-1.1342030000513243E-2</v>
      </c>
      <c r="F203" s="6">
        <v>7.4449416714371067E-2</v>
      </c>
      <c r="G203" s="6">
        <v>1.5049439064514223</v>
      </c>
      <c r="H203" s="6">
        <v>0.65539755573235903</v>
      </c>
      <c r="I203" s="6">
        <v>-0.57353045190211727</v>
      </c>
      <c r="J203" s="6">
        <v>-0.25793094349244444</v>
      </c>
      <c r="K203" s="6">
        <v>0.53449899275259716</v>
      </c>
      <c r="L203" s="6">
        <v>-3.8625349702742368E-2</v>
      </c>
      <c r="N203" s="8">
        <f>SQRT((C203-Sheet2!$C$525)^2+(D203-Sheet2!$D$525)^2+(E203-Sheet2!$E$525)^2+(F203-Sheet2!$F$525)^2+(G203-Sheet2!$G$525)^2+(H203-Sheet2!$H$525)^2+(I203-Sheet2!$I$525)^2+(J203-Sheet2!$J$525)^2+(K203-Sheet2!$K$525)^2+(L203-Sheet2!$L$525)^2)</f>
        <v>2.1258416157176621</v>
      </c>
      <c r="O203" s="8">
        <f>SQRT((C203-Sheet2!$C$526)^2+(D203-Sheet2!$D$526)^2+(E203-Sheet2!$E$526)^2+(F203-Sheet2!$F$526)^2+(G203-Sheet2!$G$526)^2+(H203-Sheet2!$H$526)^2+(I203-Sheet2!$I$526)^2+(J203-Sheet2!$J$526)^2+(K203-Sheet2!$K$526)^2+(L203-Sheet2!$L$526)^2)</f>
        <v>3.9176618850251446</v>
      </c>
      <c r="P203" s="12">
        <f t="shared" si="3"/>
        <v>0</v>
      </c>
      <c r="Q203" s="11">
        <f>IF(P203=Sheet1!$M203, 1, 0)</f>
        <v>1</v>
      </c>
    </row>
    <row r="204" spans="1:17" x14ac:dyDescent="0.35">
      <c r="A204" s="6" t="s">
        <v>211</v>
      </c>
      <c r="B204" s="6" t="s">
        <v>227</v>
      </c>
      <c r="C204" s="6">
        <v>1.5681289293597273E-2</v>
      </c>
      <c r="D204" s="6">
        <v>-0.88789975581669489</v>
      </c>
      <c r="E204" s="6">
        <v>-0.24158703080081964</v>
      </c>
      <c r="F204" s="6">
        <v>-8.5779588031708959E-2</v>
      </c>
      <c r="G204" s="6">
        <v>1.4091281200826276</v>
      </c>
      <c r="H204" s="6">
        <v>0.7168018775684496</v>
      </c>
      <c r="I204" s="6">
        <v>0.61858677281984609</v>
      </c>
      <c r="J204" s="6">
        <v>-0.47429871485021918</v>
      </c>
      <c r="K204" s="6">
        <v>0.16831212194385381</v>
      </c>
      <c r="L204" s="6">
        <v>-8.0187358761181202E-2</v>
      </c>
      <c r="N204" s="8">
        <f>SQRT((C204-Sheet2!$C$525)^2+(D204-Sheet2!$D$525)^2+(E204-Sheet2!$E$525)^2+(F204-Sheet2!$F$525)^2+(G204-Sheet2!$G$525)^2+(H204-Sheet2!$H$525)^2+(I204-Sheet2!$I$525)^2+(J204-Sheet2!$J$525)^2+(K204-Sheet2!$K$525)^2+(L204-Sheet2!$L$525)^2)</f>
        <v>2.1345139524263965</v>
      </c>
      <c r="O204" s="8">
        <f>SQRT((C204-Sheet2!$C$526)^2+(D204-Sheet2!$D$526)^2+(E204-Sheet2!$E$526)^2+(F204-Sheet2!$F$526)^2+(G204-Sheet2!$G$526)^2+(H204-Sheet2!$H$526)^2+(I204-Sheet2!$I$526)^2+(J204-Sheet2!$J$526)^2+(K204-Sheet2!$K$526)^2+(L204-Sheet2!$L$526)^2)</f>
        <v>3.8594934642213179</v>
      </c>
      <c r="P204" s="12">
        <f t="shared" si="3"/>
        <v>0</v>
      </c>
      <c r="Q204" s="11">
        <f>IF(P204=Sheet1!$M204, 1, 0)</f>
        <v>1</v>
      </c>
    </row>
    <row r="205" spans="1:17" x14ac:dyDescent="0.35">
      <c r="A205" s="6" t="s">
        <v>211</v>
      </c>
      <c r="B205" s="6" t="s">
        <v>228</v>
      </c>
      <c r="C205" s="6">
        <v>0.47331070981407941</v>
      </c>
      <c r="D205" s="6">
        <v>-0.69762869888540213</v>
      </c>
      <c r="E205" s="6">
        <v>7.1546170287597063E-2</v>
      </c>
      <c r="F205" s="6">
        <v>7.7530743728720361E-2</v>
      </c>
      <c r="G205" s="6">
        <v>1.4381632068610488</v>
      </c>
      <c r="H205" s="6">
        <v>0.68609971665040392</v>
      </c>
      <c r="I205" s="6">
        <v>0.65173655660890584</v>
      </c>
      <c r="J205" s="6">
        <v>-0.52744167623633942</v>
      </c>
      <c r="K205" s="6">
        <v>0.18865583698878338</v>
      </c>
      <c r="L205" s="6">
        <v>-0.16796588844634655</v>
      </c>
      <c r="N205" s="8">
        <f>SQRT((C205-Sheet2!$C$525)^2+(D205-Sheet2!$D$525)^2+(E205-Sheet2!$E$525)^2+(F205-Sheet2!$F$525)^2+(G205-Sheet2!$G$525)^2+(H205-Sheet2!$H$525)^2+(I205-Sheet2!$I$525)^2+(J205-Sheet2!$J$525)^2+(K205-Sheet2!$K$525)^2+(L205-Sheet2!$L$525)^2)</f>
        <v>2.1917882004272244</v>
      </c>
      <c r="O205" s="8">
        <f>SQRT((C205-Sheet2!$C$526)^2+(D205-Sheet2!$D$526)^2+(E205-Sheet2!$E$526)^2+(F205-Sheet2!$F$526)^2+(G205-Sheet2!$G$526)^2+(H205-Sheet2!$H$526)^2+(I205-Sheet2!$I$526)^2+(J205-Sheet2!$J$526)^2+(K205-Sheet2!$K$526)^2+(L205-Sheet2!$L$526)^2)</f>
        <v>3.7380779600836527</v>
      </c>
      <c r="P205" s="12">
        <f t="shared" si="3"/>
        <v>0</v>
      </c>
      <c r="Q205" s="11">
        <f>IF(P205=Sheet1!$M205, 1, 0)</f>
        <v>1</v>
      </c>
    </row>
    <row r="206" spans="1:17" x14ac:dyDescent="0.35">
      <c r="A206" s="6" t="s">
        <v>211</v>
      </c>
      <c r="B206" s="6" t="s">
        <v>229</v>
      </c>
      <c r="C206" s="6">
        <v>-0.27687945461685753</v>
      </c>
      <c r="D206" s="6">
        <v>-0.58714873034465098</v>
      </c>
      <c r="E206" s="6">
        <v>6.6757074270950678E-2</v>
      </c>
      <c r="F206" s="6">
        <v>0.36255349255588326</v>
      </c>
      <c r="G206" s="6">
        <v>1.9201456473828658</v>
      </c>
      <c r="H206" s="6">
        <v>0.779283468208682</v>
      </c>
      <c r="I206" s="6">
        <v>0.92968474376333143</v>
      </c>
      <c r="J206" s="6">
        <v>-0.17442057559997007</v>
      </c>
      <c r="K206" s="6">
        <v>-7.4247557438008982E-2</v>
      </c>
      <c r="L206" s="6">
        <v>0.20048773129907019</v>
      </c>
      <c r="N206" s="8">
        <f>SQRT((C206-Sheet2!$C$525)^2+(D206-Sheet2!$D$525)^2+(E206-Sheet2!$E$525)^2+(F206-Sheet2!$F$525)^2+(G206-Sheet2!$G$525)^2+(H206-Sheet2!$H$525)^2+(I206-Sheet2!$I$525)^2+(J206-Sheet2!$J$525)^2+(K206-Sheet2!$K$525)^2+(L206-Sheet2!$L$525)^2)</f>
        <v>2.7927151759989077</v>
      </c>
      <c r="O206" s="8">
        <f>SQRT((C206-Sheet2!$C$526)^2+(D206-Sheet2!$D$526)^2+(E206-Sheet2!$E$526)^2+(F206-Sheet2!$F$526)^2+(G206-Sheet2!$G$526)^2+(H206-Sheet2!$H$526)^2+(I206-Sheet2!$I$526)^2+(J206-Sheet2!$J$526)^2+(K206-Sheet2!$K$526)^2+(L206-Sheet2!$L$526)^2)</f>
        <v>3.2106603526025506</v>
      </c>
      <c r="P206" s="12">
        <f t="shared" si="3"/>
        <v>0</v>
      </c>
      <c r="Q206" s="11">
        <f>IF(P206=Sheet1!$M206, 1, 0)</f>
        <v>1</v>
      </c>
    </row>
    <row r="207" spans="1:17" x14ac:dyDescent="0.35">
      <c r="A207" s="6" t="s">
        <v>211</v>
      </c>
      <c r="B207" s="6" t="s">
        <v>230</v>
      </c>
      <c r="C207" s="6">
        <v>-0.62714713425276924</v>
      </c>
      <c r="D207" s="6">
        <v>0.19848660150068739</v>
      </c>
      <c r="E207" s="6">
        <v>0.3489453472518062</v>
      </c>
      <c r="F207" s="6">
        <v>0.80626458262195366</v>
      </c>
      <c r="G207" s="6">
        <v>2.0391895031744021</v>
      </c>
      <c r="H207" s="6">
        <v>0.89401259584979831</v>
      </c>
      <c r="I207" s="6">
        <v>0.87741008471135273</v>
      </c>
      <c r="J207" s="6">
        <v>-0.48948241810339638</v>
      </c>
      <c r="K207" s="6">
        <v>0.83026531148273741</v>
      </c>
      <c r="L207" s="6">
        <v>0.9944534775631555</v>
      </c>
      <c r="N207" s="8">
        <f>SQRT((C207-Sheet2!$C$525)^2+(D207-Sheet2!$D$525)^2+(E207-Sheet2!$E$525)^2+(F207-Sheet2!$F$525)^2+(G207-Sheet2!$G$525)^2+(H207-Sheet2!$H$525)^2+(I207-Sheet2!$I$525)^2+(J207-Sheet2!$J$525)^2+(K207-Sheet2!$K$525)^2+(L207-Sheet2!$L$525)^2)</f>
        <v>3.4431998682745819</v>
      </c>
      <c r="O207" s="8">
        <f>SQRT((C207-Sheet2!$C$526)^2+(D207-Sheet2!$D$526)^2+(E207-Sheet2!$E$526)^2+(F207-Sheet2!$F$526)^2+(G207-Sheet2!$G$526)^2+(H207-Sheet2!$H$526)^2+(I207-Sheet2!$I$526)^2+(J207-Sheet2!$J$526)^2+(K207-Sheet2!$K$526)^2+(L207-Sheet2!$L$526)^2)</f>
        <v>2.9936615639702868</v>
      </c>
      <c r="P207" s="12">
        <f t="shared" si="3"/>
        <v>1</v>
      </c>
      <c r="Q207" s="11">
        <f>IF(P207=Sheet1!$M207, 1, 0)</f>
        <v>0</v>
      </c>
    </row>
    <row r="208" spans="1:17" x14ac:dyDescent="0.35">
      <c r="A208" s="6" t="s">
        <v>211</v>
      </c>
      <c r="B208" s="6" t="s">
        <v>231</v>
      </c>
      <c r="C208" s="6">
        <v>-0.64861948242968326</v>
      </c>
      <c r="D208" s="6">
        <v>-0.39687767341335822</v>
      </c>
      <c r="E208" s="6">
        <v>7.7808834309365388E-2</v>
      </c>
      <c r="F208" s="6">
        <v>0.37487880061327383</v>
      </c>
      <c r="G208" s="6">
        <v>1.8156193349805438</v>
      </c>
      <c r="H208" s="6">
        <v>-0.57161161218531054</v>
      </c>
      <c r="I208" s="6">
        <v>-0.23310767222215534</v>
      </c>
      <c r="J208" s="6">
        <v>-0.3148698306918587</v>
      </c>
      <c r="K208" s="6">
        <v>1.3386907370921807E-2</v>
      </c>
      <c r="L208" s="6">
        <v>-4.1467171774273631E-4</v>
      </c>
      <c r="N208" s="8">
        <f>SQRT((C208-Sheet2!$C$525)^2+(D208-Sheet2!$D$525)^2+(E208-Sheet2!$E$525)^2+(F208-Sheet2!$F$525)^2+(G208-Sheet2!$G$525)^2+(H208-Sheet2!$H$525)^2+(I208-Sheet2!$I$525)^2+(J208-Sheet2!$J$525)^2+(K208-Sheet2!$K$525)^2+(L208-Sheet2!$L$525)^2)</f>
        <v>2.37846994596753</v>
      </c>
      <c r="O208" s="8">
        <f>SQRT((C208-Sheet2!$C$526)^2+(D208-Sheet2!$D$526)^2+(E208-Sheet2!$E$526)^2+(F208-Sheet2!$F$526)^2+(G208-Sheet2!$G$526)^2+(H208-Sheet2!$H$526)^2+(I208-Sheet2!$I$526)^2+(J208-Sheet2!$J$526)^2+(K208-Sheet2!$K$526)^2+(L208-Sheet2!$L$526)^2)</f>
        <v>3.5742182515932499</v>
      </c>
      <c r="P208" s="12">
        <f t="shared" si="3"/>
        <v>0</v>
      </c>
      <c r="Q208" s="11">
        <f>IF(P208=Sheet1!$M208, 1, 0)</f>
        <v>1</v>
      </c>
    </row>
    <row r="209" spans="1:17" x14ac:dyDescent="0.35">
      <c r="A209" s="6" t="s">
        <v>211</v>
      </c>
      <c r="B209" s="6" t="s">
        <v>232</v>
      </c>
      <c r="C209" s="6">
        <v>8.6808442629625199E-2</v>
      </c>
      <c r="D209" s="6">
        <v>-0.35391324120306611</v>
      </c>
      <c r="E209" s="6">
        <v>-2.8288062059415794E-2</v>
      </c>
      <c r="F209" s="6">
        <v>0.40723273426392392</v>
      </c>
      <c r="G209" s="6">
        <v>1.6849614444776406</v>
      </c>
      <c r="H209" s="6">
        <v>0.76366307054862348</v>
      </c>
      <c r="I209" s="6">
        <v>0.73779849529204189</v>
      </c>
      <c r="J209" s="6">
        <v>8.3702379704042207E-2</v>
      </c>
      <c r="K209" s="6">
        <v>-0.50616027685345033</v>
      </c>
      <c r="L209" s="6">
        <v>-6.4934643223660951E-2</v>
      </c>
      <c r="N209" s="8">
        <f>SQRT((C209-Sheet2!$C$525)^2+(D209-Sheet2!$D$525)^2+(E209-Sheet2!$E$525)^2+(F209-Sheet2!$F$525)^2+(G209-Sheet2!$G$525)^2+(H209-Sheet2!$H$525)^2+(I209-Sheet2!$I$525)^2+(J209-Sheet2!$J$525)^2+(K209-Sheet2!$K$525)^2+(L209-Sheet2!$L$525)^2)</f>
        <v>2.5531915256516848</v>
      </c>
      <c r="O209" s="8">
        <f>SQRT((C209-Sheet2!$C$526)^2+(D209-Sheet2!$D$526)^2+(E209-Sheet2!$E$526)^2+(F209-Sheet2!$F$526)^2+(G209-Sheet2!$G$526)^2+(H209-Sheet2!$H$526)^2+(I209-Sheet2!$I$526)^2+(J209-Sheet2!$J$526)^2+(K209-Sheet2!$K$526)^2+(L209-Sheet2!$L$526)^2)</f>
        <v>3.0243397175433602</v>
      </c>
      <c r="P209" s="12">
        <f t="shared" si="3"/>
        <v>0</v>
      </c>
      <c r="Q209" s="11">
        <f>IF(P209=Sheet1!$M209, 1, 0)</f>
        <v>1</v>
      </c>
    </row>
    <row r="210" spans="1:17" x14ac:dyDescent="0.35">
      <c r="A210" s="6" t="s">
        <v>211</v>
      </c>
      <c r="B210" s="6" t="s">
        <v>233</v>
      </c>
      <c r="C210" s="6">
        <v>-0.59762265550951221</v>
      </c>
      <c r="D210" s="6">
        <v>-0.24957104869235763</v>
      </c>
      <c r="E210" s="6">
        <v>0.64292216427363735</v>
      </c>
      <c r="F210" s="6">
        <v>0.66452353996195845</v>
      </c>
      <c r="G210" s="6">
        <v>1.7807772308464394</v>
      </c>
      <c r="H210" s="6">
        <v>0.74373359767199809</v>
      </c>
      <c r="I210" s="6">
        <v>0.83597285497502749</v>
      </c>
      <c r="J210" s="6">
        <v>-1.499169144160971E-2</v>
      </c>
      <c r="K210" s="6">
        <v>0.72541693394348106</v>
      </c>
      <c r="L210" s="6">
        <v>0.29215461492033029</v>
      </c>
      <c r="N210" s="8">
        <f>SQRT((C210-Sheet2!$C$525)^2+(D210-Sheet2!$D$525)^2+(E210-Sheet2!$E$525)^2+(F210-Sheet2!$F$525)^2+(G210-Sheet2!$G$525)^2+(H210-Sheet2!$H$525)^2+(I210-Sheet2!$I$525)^2+(J210-Sheet2!$J$525)^2+(K210-Sheet2!$K$525)^2+(L210-Sheet2!$L$525)^2)</f>
        <v>2.9976415941119465</v>
      </c>
      <c r="O210" s="8">
        <f>SQRT((C210-Sheet2!$C$526)^2+(D210-Sheet2!$D$526)^2+(E210-Sheet2!$E$526)^2+(F210-Sheet2!$F$526)^2+(G210-Sheet2!$G$526)^2+(H210-Sheet2!$H$526)^2+(I210-Sheet2!$I$526)^2+(J210-Sheet2!$J$526)^2+(K210-Sheet2!$K$526)^2+(L210-Sheet2!$L$526)^2)</f>
        <v>2.806059208550761</v>
      </c>
      <c r="P210" s="12">
        <f t="shared" si="3"/>
        <v>1</v>
      </c>
      <c r="Q210" s="11">
        <f>IF(P210=Sheet1!$M210, 1, 0)</f>
        <v>0</v>
      </c>
    </row>
    <row r="211" spans="1:17" x14ac:dyDescent="0.35">
      <c r="A211" s="6" t="s">
        <v>211</v>
      </c>
      <c r="B211" s="6" t="s">
        <v>234</v>
      </c>
      <c r="C211" s="6">
        <v>-0.28224754166108618</v>
      </c>
      <c r="D211" s="6">
        <v>-0.72831757903561056</v>
      </c>
      <c r="E211" s="6">
        <v>-0.33773734313502757</v>
      </c>
      <c r="F211" s="6">
        <v>-7.2057491658435932E-3</v>
      </c>
      <c r="G211" s="6">
        <v>1.7372246006788037</v>
      </c>
      <c r="H211" s="6">
        <v>-0.49297098948294932</v>
      </c>
      <c r="I211" s="6">
        <v>0.42925050771694617</v>
      </c>
      <c r="J211" s="6">
        <v>-0.92601388663224027</v>
      </c>
      <c r="K211" s="6">
        <v>0.71133282352776184</v>
      </c>
      <c r="L211" s="6">
        <v>-0.13740872130625273</v>
      </c>
      <c r="N211" s="8">
        <f>SQRT((C211-Sheet2!$C$525)^2+(D211-Sheet2!$D$525)^2+(E211-Sheet2!$E$525)^2+(F211-Sheet2!$F$525)^2+(G211-Sheet2!$G$525)^2+(H211-Sheet2!$H$525)^2+(I211-Sheet2!$I$525)^2+(J211-Sheet2!$J$525)^2+(K211-Sheet2!$K$525)^2+(L211-Sheet2!$L$525)^2)</f>
        <v>2.3509141741855091</v>
      </c>
      <c r="O211" s="8">
        <f>SQRT((C211-Sheet2!$C$526)^2+(D211-Sheet2!$D$526)^2+(E211-Sheet2!$E$526)^2+(F211-Sheet2!$F$526)^2+(G211-Sheet2!$G$526)^2+(H211-Sheet2!$H$526)^2+(I211-Sheet2!$I$526)^2+(J211-Sheet2!$J$526)^2+(K211-Sheet2!$K$526)^2+(L211-Sheet2!$L$526)^2)</f>
        <v>4.3625317804071955</v>
      </c>
      <c r="P211" s="12">
        <f t="shared" si="3"/>
        <v>0</v>
      </c>
      <c r="Q211" s="11">
        <f>IF(P211=Sheet1!$M211, 1, 0)</f>
        <v>1</v>
      </c>
    </row>
    <row r="212" spans="1:17" x14ac:dyDescent="0.35">
      <c r="A212" s="6" t="s">
        <v>211</v>
      </c>
      <c r="B212" s="6" t="s">
        <v>235</v>
      </c>
      <c r="C212" s="6">
        <v>-0.27285338933368619</v>
      </c>
      <c r="D212" s="6">
        <v>-0.59942428240473467</v>
      </c>
      <c r="E212" s="6">
        <v>0.47272505968205092</v>
      </c>
      <c r="F212" s="6">
        <v>0.39644808971370793</v>
      </c>
      <c r="G212" s="6">
        <v>1.4004175940491004</v>
      </c>
      <c r="H212" s="6">
        <v>0.35591682818089965</v>
      </c>
      <c r="I212" s="6">
        <v>0.47897518340053613</v>
      </c>
      <c r="J212" s="6">
        <v>0.94537753932184698</v>
      </c>
      <c r="K212" s="6">
        <v>7.2853151348411818E-2</v>
      </c>
      <c r="L212" s="6">
        <v>0.20201718394596324</v>
      </c>
      <c r="N212" s="8">
        <f>SQRT((C212-Sheet2!$C$525)^2+(D212-Sheet2!$D$525)^2+(E212-Sheet2!$E$525)^2+(F212-Sheet2!$F$525)^2+(G212-Sheet2!$G$525)^2+(H212-Sheet2!$H$525)^2+(I212-Sheet2!$I$525)^2+(J212-Sheet2!$J$525)^2+(K212-Sheet2!$K$525)^2+(L212-Sheet2!$L$525)^2)</f>
        <v>2.523920717555721</v>
      </c>
      <c r="O212" s="8">
        <f>SQRT((C212-Sheet2!$C$526)^2+(D212-Sheet2!$D$526)^2+(E212-Sheet2!$E$526)^2+(F212-Sheet2!$F$526)^2+(G212-Sheet2!$G$526)^2+(H212-Sheet2!$H$526)^2+(I212-Sheet2!$I$526)^2+(J212-Sheet2!$J$526)^2+(K212-Sheet2!$K$526)^2+(L212-Sheet2!$L$526)^2)</f>
        <v>2.7023456539880208</v>
      </c>
      <c r="P212" s="12">
        <f t="shared" si="3"/>
        <v>0</v>
      </c>
      <c r="Q212" s="11">
        <f>IF(P212=Sheet1!$M212, 1, 0)</f>
        <v>1</v>
      </c>
    </row>
    <row r="213" spans="1:17" x14ac:dyDescent="0.35">
      <c r="A213" s="6" t="s">
        <v>211</v>
      </c>
      <c r="B213" s="6" t="s">
        <v>236</v>
      </c>
      <c r="C213" s="6">
        <v>-0.34800660795288568</v>
      </c>
      <c r="D213" s="6">
        <v>-0.95541529214715393</v>
      </c>
      <c r="E213" s="6">
        <v>-0.29500387098649072</v>
      </c>
      <c r="F213" s="6">
        <v>-0.15510944585453301</v>
      </c>
      <c r="G213" s="6">
        <v>1.475908819672997</v>
      </c>
      <c r="H213" s="6">
        <v>-0.55168213930868515</v>
      </c>
      <c r="I213" s="6">
        <v>0.8442603009222921</v>
      </c>
      <c r="J213" s="6">
        <v>0.58096866124559465</v>
      </c>
      <c r="K213" s="6">
        <v>0.302893621471854</v>
      </c>
      <c r="L213" s="6">
        <v>-0.12954517373844066</v>
      </c>
      <c r="N213" s="8">
        <f>SQRT((C213-Sheet2!$C$525)^2+(D213-Sheet2!$D$525)^2+(E213-Sheet2!$E$525)^2+(F213-Sheet2!$F$525)^2+(G213-Sheet2!$G$525)^2+(H213-Sheet2!$H$525)^2+(I213-Sheet2!$I$525)^2+(J213-Sheet2!$J$525)^2+(K213-Sheet2!$K$525)^2+(L213-Sheet2!$L$525)^2)</f>
        <v>2.3461758450853027</v>
      </c>
      <c r="O213" s="8">
        <f>SQRT((C213-Sheet2!$C$526)^2+(D213-Sheet2!$D$526)^2+(E213-Sheet2!$E$526)^2+(F213-Sheet2!$F$526)^2+(G213-Sheet2!$G$526)^2+(H213-Sheet2!$H$526)^2+(I213-Sheet2!$I$526)^2+(J213-Sheet2!$J$526)^2+(K213-Sheet2!$K$526)^2+(L213-Sheet2!$L$526)^2)</f>
        <v>3.8715627224857863</v>
      </c>
      <c r="P213" s="12">
        <f t="shared" si="3"/>
        <v>0</v>
      </c>
      <c r="Q213" s="11">
        <f>IF(P213=Sheet1!$M213, 1, 0)</f>
        <v>1</v>
      </c>
    </row>
    <row r="214" spans="1:17" x14ac:dyDescent="0.35">
      <c r="A214" s="6" t="s">
        <v>211</v>
      </c>
      <c r="B214" s="6" t="s">
        <v>237</v>
      </c>
      <c r="C214" s="6">
        <v>-0.22856667121880084</v>
      </c>
      <c r="D214" s="6">
        <v>-0.7774197872759443</v>
      </c>
      <c r="E214" s="6">
        <v>3.1023050146743131E-2</v>
      </c>
      <c r="F214" s="6">
        <v>2.8229511499155757E-2</v>
      </c>
      <c r="G214" s="6">
        <v>1.1855579518887693</v>
      </c>
      <c r="H214" s="6">
        <v>7.3672401495710874E-2</v>
      </c>
      <c r="I214" s="6">
        <v>0.70528620734507974</v>
      </c>
      <c r="J214" s="6">
        <v>-0.29589020162538726</v>
      </c>
      <c r="K214" s="6">
        <v>0.31228302841566613</v>
      </c>
      <c r="L214" s="6">
        <v>-0.11176769225727883</v>
      </c>
      <c r="N214" s="8">
        <f>SQRT((C214-Sheet2!$C$525)^2+(D214-Sheet2!$D$525)^2+(E214-Sheet2!$E$525)^2+(F214-Sheet2!$F$525)^2+(G214-Sheet2!$G$525)^2+(H214-Sheet2!$H$525)^2+(I214-Sheet2!$I$525)^2+(J214-Sheet2!$J$525)^2+(K214-Sheet2!$K$525)^2+(L214-Sheet2!$L$525)^2)</f>
        <v>1.8621620359582343</v>
      </c>
      <c r="O214" s="8">
        <f>SQRT((C214-Sheet2!$C$526)^2+(D214-Sheet2!$D$526)^2+(E214-Sheet2!$E$526)^2+(F214-Sheet2!$F$526)^2+(G214-Sheet2!$G$526)^2+(H214-Sheet2!$H$526)^2+(I214-Sheet2!$I$526)^2+(J214-Sheet2!$J$526)^2+(K214-Sheet2!$K$526)^2+(L214-Sheet2!$L$526)^2)</f>
        <v>3.6099699429669947</v>
      </c>
      <c r="P214" s="12">
        <f t="shared" si="3"/>
        <v>0</v>
      </c>
      <c r="Q214" s="11">
        <f>IF(P214=Sheet1!$M214, 1, 0)</f>
        <v>1</v>
      </c>
    </row>
    <row r="215" spans="1:17" x14ac:dyDescent="0.35">
      <c r="A215" s="6" t="s">
        <v>211</v>
      </c>
      <c r="B215" s="6" t="s">
        <v>238</v>
      </c>
      <c r="C215" s="6">
        <v>0.57530436365442117</v>
      </c>
      <c r="D215" s="6">
        <v>-1.2193396614389471</v>
      </c>
      <c r="E215" s="6">
        <v>-0.64534466420423697</v>
      </c>
      <c r="F215" s="6">
        <v>-0.51870603354756351</v>
      </c>
      <c r="G215" s="6">
        <v>1.1245842696540833</v>
      </c>
      <c r="H215" s="6">
        <v>3.7045262154885322E-2</v>
      </c>
      <c r="I215" s="6">
        <v>0.63771164808276515</v>
      </c>
      <c r="J215" s="6">
        <v>0.62651977100512624</v>
      </c>
      <c r="K215" s="6">
        <v>-0.55780201504442695</v>
      </c>
      <c r="L215" s="6">
        <v>-6.368415996470278E-2</v>
      </c>
      <c r="N215" s="8">
        <f>SQRT((C215-Sheet2!$C$525)^2+(D215-Sheet2!$D$525)^2+(E215-Sheet2!$E$525)^2+(F215-Sheet2!$F$525)^2+(G215-Sheet2!$G$525)^2+(H215-Sheet2!$H$525)^2+(I215-Sheet2!$I$525)^2+(J215-Sheet2!$J$525)^2+(K215-Sheet2!$K$525)^2+(L215-Sheet2!$L$525)^2)</f>
        <v>2.2228129508388421</v>
      </c>
      <c r="O215" s="8">
        <f>SQRT((C215-Sheet2!$C$526)^2+(D215-Sheet2!$D$526)^2+(E215-Sheet2!$E$526)^2+(F215-Sheet2!$F$526)^2+(G215-Sheet2!$G$526)^2+(H215-Sheet2!$H$526)^2+(I215-Sheet2!$I$526)^2+(J215-Sheet2!$J$526)^2+(K215-Sheet2!$K$526)^2+(L215-Sheet2!$L$526)^2)</f>
        <v>4.2427774083927643</v>
      </c>
      <c r="P215" s="12">
        <f t="shared" si="3"/>
        <v>0</v>
      </c>
      <c r="Q215" s="11">
        <f>IF(P215=Sheet1!$M215, 1, 0)</f>
        <v>1</v>
      </c>
    </row>
    <row r="216" spans="1:17" x14ac:dyDescent="0.35">
      <c r="A216" s="6" t="s">
        <v>211</v>
      </c>
      <c r="B216" s="6" t="s">
        <v>239</v>
      </c>
      <c r="C216" s="6">
        <v>-0.49294495814705597</v>
      </c>
      <c r="D216" s="6">
        <v>-0.88789975581669489</v>
      </c>
      <c r="E216" s="6">
        <v>-0.23016687876112443</v>
      </c>
      <c r="F216" s="6">
        <v>-0.17513807144779248</v>
      </c>
      <c r="G216" s="6">
        <v>0.59904919896463049</v>
      </c>
      <c r="H216" s="6">
        <v>0.37853947306788044</v>
      </c>
      <c r="I216" s="6">
        <v>0.87549759718506071</v>
      </c>
      <c r="J216" s="6">
        <v>1.8639915861390666</v>
      </c>
      <c r="K216" s="6">
        <v>-0.50459537569614943</v>
      </c>
      <c r="L216" s="6">
        <v>7.1854488921400825E-2</v>
      </c>
      <c r="N216" s="8">
        <f>SQRT((C216-Sheet2!$C$525)^2+(D216-Sheet2!$D$525)^2+(E216-Sheet2!$E$525)^2+(F216-Sheet2!$F$525)^2+(G216-Sheet2!$G$525)^2+(H216-Sheet2!$H$525)^2+(I216-Sheet2!$I$525)^2+(J216-Sheet2!$J$525)^2+(K216-Sheet2!$K$525)^2+(L216-Sheet2!$L$525)^2)</f>
        <v>2.8104492231307838</v>
      </c>
      <c r="O216" s="8">
        <f>SQRT((C216-Sheet2!$C$526)^2+(D216-Sheet2!$D$526)^2+(E216-Sheet2!$E$526)^2+(F216-Sheet2!$F$526)^2+(G216-Sheet2!$G$526)^2+(H216-Sheet2!$H$526)^2+(I216-Sheet2!$I$526)^2+(J216-Sheet2!$J$526)^2+(K216-Sheet2!$K$526)^2+(L216-Sheet2!$L$526)^2)</f>
        <v>3.4107802097082884</v>
      </c>
      <c r="P216" s="12">
        <f t="shared" si="3"/>
        <v>0</v>
      </c>
      <c r="Q216" s="11">
        <f>IF(P216=Sheet1!$M216, 1, 0)</f>
        <v>1</v>
      </c>
    </row>
    <row r="217" spans="1:17" x14ac:dyDescent="0.35">
      <c r="A217" s="6" t="s">
        <v>211</v>
      </c>
      <c r="B217" s="6" t="s">
        <v>240</v>
      </c>
      <c r="C217" s="6">
        <v>0.69206025686639183</v>
      </c>
      <c r="D217" s="6">
        <v>-1.3605085101299068</v>
      </c>
      <c r="E217" s="6">
        <v>-6.365369418234286E-2</v>
      </c>
      <c r="F217" s="6">
        <v>-0.5556819577197375</v>
      </c>
      <c r="G217" s="6">
        <v>-3.3915692804983716E-2</v>
      </c>
      <c r="H217" s="6">
        <v>0.15608346501256934</v>
      </c>
      <c r="I217" s="6">
        <v>0.4757877041900489</v>
      </c>
      <c r="J217" s="6">
        <v>1.7918689956864746</v>
      </c>
      <c r="K217" s="6">
        <v>-0.85982793840377758</v>
      </c>
      <c r="L217" s="6">
        <v>0.24013078367642424</v>
      </c>
      <c r="N217" s="8">
        <f>SQRT((C217-Sheet2!$C$525)^2+(D217-Sheet2!$D$525)^2+(E217-Sheet2!$E$525)^2+(F217-Sheet2!$F$525)^2+(G217-Sheet2!$G$525)^2+(H217-Sheet2!$H$525)^2+(I217-Sheet2!$I$525)^2+(J217-Sheet2!$J$525)^2+(K217-Sheet2!$K$525)^2+(L217-Sheet2!$L$525)^2)</f>
        <v>2.733787969469152</v>
      </c>
      <c r="O217" s="8">
        <f>SQRT((C217-Sheet2!$C$526)^2+(D217-Sheet2!$D$526)^2+(E217-Sheet2!$E$526)^2+(F217-Sheet2!$F$526)^2+(G217-Sheet2!$G$526)^2+(H217-Sheet2!$H$526)^2+(I217-Sheet2!$I$526)^2+(J217-Sheet2!$J$526)^2+(K217-Sheet2!$K$526)^2+(L217-Sheet2!$L$526)^2)</f>
        <v>4.2133868759737902</v>
      </c>
      <c r="P217" s="12">
        <f t="shared" si="3"/>
        <v>0</v>
      </c>
      <c r="Q217" s="11">
        <f>IF(P217=Sheet1!$M217, 1, 0)</f>
        <v>1</v>
      </c>
    </row>
    <row r="218" spans="1:17" x14ac:dyDescent="0.35">
      <c r="A218" s="6" t="s">
        <v>211</v>
      </c>
      <c r="B218" s="6" t="s">
        <v>241</v>
      </c>
      <c r="C218" s="6">
        <v>-0.60701680783691214</v>
      </c>
      <c r="D218" s="6">
        <v>1.3401129430884449</v>
      </c>
      <c r="E218" s="6">
        <v>0.74570353263089417</v>
      </c>
      <c r="F218" s="6">
        <v>1.4641279001851928</v>
      </c>
      <c r="G218" s="6">
        <v>2.1117772201204592</v>
      </c>
      <c r="H218" s="6">
        <v>0.36830541942853212</v>
      </c>
      <c r="I218" s="6">
        <v>0.94753462734205607</v>
      </c>
      <c r="J218" s="6">
        <v>1.393296785290574</v>
      </c>
      <c r="K218" s="6">
        <v>-0.37470857964005644</v>
      </c>
      <c r="L218" s="6">
        <v>-0.32283184410324611</v>
      </c>
      <c r="N218" s="8">
        <f>SQRT((C218-Sheet2!$C$525)^2+(D218-Sheet2!$D$525)^2+(E218-Sheet2!$E$525)^2+(F218-Sheet2!$F$525)^2+(G218-Sheet2!$G$525)^2+(H218-Sheet2!$H$525)^2+(I218-Sheet2!$I$525)^2+(J218-Sheet2!$J$525)^2+(K218-Sheet2!$K$525)^2+(L218-Sheet2!$L$525)^2)</f>
        <v>4.2036530389378699</v>
      </c>
      <c r="O218" s="8">
        <f>SQRT((C218-Sheet2!$C$526)^2+(D218-Sheet2!$D$526)^2+(E218-Sheet2!$E$526)^2+(F218-Sheet2!$F$526)^2+(G218-Sheet2!$G$526)^2+(H218-Sheet2!$H$526)^2+(I218-Sheet2!$I$526)^2+(J218-Sheet2!$J$526)^2+(K218-Sheet2!$K$526)^2+(L218-Sheet2!$L$526)^2)</f>
        <v>1.815789274549672</v>
      </c>
      <c r="P218" s="12">
        <f t="shared" si="3"/>
        <v>1</v>
      </c>
      <c r="Q218" s="11">
        <f>IF(P218=Sheet1!$M218, 1, 0)</f>
        <v>0</v>
      </c>
    </row>
    <row r="219" spans="1:17" x14ac:dyDescent="0.35">
      <c r="A219" s="6" t="s">
        <v>211</v>
      </c>
      <c r="B219" s="6" t="s">
        <v>242</v>
      </c>
      <c r="C219" s="6">
        <v>-0.38558321726248529</v>
      </c>
      <c r="D219" s="6">
        <v>1.5119706719296135</v>
      </c>
      <c r="E219" s="6">
        <v>1.6895238399115102</v>
      </c>
      <c r="F219" s="6">
        <v>1.9555995589736532</v>
      </c>
      <c r="G219" s="6">
        <v>2.2250140585563041</v>
      </c>
      <c r="H219" s="6">
        <v>0.62092495399981695</v>
      </c>
      <c r="I219" s="6">
        <v>0.93605970218430412</v>
      </c>
      <c r="J219" s="6">
        <v>1.0592553137206757</v>
      </c>
      <c r="K219" s="6">
        <v>-0.40287680047149721</v>
      </c>
      <c r="L219" s="6">
        <v>0.29769488720496484</v>
      </c>
      <c r="N219" s="8">
        <f>SQRT((C219-Sheet2!$C$525)^2+(D219-Sheet2!$D$525)^2+(E219-Sheet2!$E$525)^2+(F219-Sheet2!$F$525)^2+(G219-Sheet2!$G$525)^2+(H219-Sheet2!$H$525)^2+(I219-Sheet2!$I$525)^2+(J219-Sheet2!$J$525)^2+(K219-Sheet2!$K$525)^2+(L219-Sheet2!$L$525)^2)</f>
        <v>4.7915334734429846</v>
      </c>
      <c r="O219" s="8">
        <f>SQRT((C219-Sheet2!$C$526)^2+(D219-Sheet2!$D$526)^2+(E219-Sheet2!$E$526)^2+(F219-Sheet2!$F$526)^2+(G219-Sheet2!$G$526)^2+(H219-Sheet2!$H$526)^2+(I219-Sheet2!$I$526)^2+(J219-Sheet2!$J$526)^2+(K219-Sheet2!$K$526)^2+(L219-Sheet2!$L$526)^2)</f>
        <v>1.5682431313256882</v>
      </c>
      <c r="P219" s="12">
        <f t="shared" si="3"/>
        <v>1</v>
      </c>
      <c r="Q219" s="11">
        <f>IF(P219=Sheet1!$M219, 1, 0)</f>
        <v>0</v>
      </c>
    </row>
    <row r="220" spans="1:17" x14ac:dyDescent="0.35">
      <c r="A220" s="6" t="s">
        <v>211</v>
      </c>
      <c r="B220" s="6" t="s">
        <v>243</v>
      </c>
      <c r="C220" s="6">
        <v>-0.9572844874728238</v>
      </c>
      <c r="D220" s="6">
        <v>1.3646640472086125</v>
      </c>
      <c r="E220" s="6">
        <v>2.0328651851049271</v>
      </c>
      <c r="F220" s="6">
        <v>2.1065845826766898</v>
      </c>
      <c r="G220" s="6">
        <v>2.2917947581466773</v>
      </c>
      <c r="H220" s="6">
        <v>1.1240094855341023</v>
      </c>
      <c r="I220" s="6">
        <v>0.86976013460618473</v>
      </c>
      <c r="J220" s="6">
        <v>0.83529569073631238</v>
      </c>
      <c r="K220" s="6">
        <v>0.14014390111241082</v>
      </c>
      <c r="L220" s="6">
        <v>-0.25374472310011775</v>
      </c>
      <c r="N220" s="8">
        <f>SQRT((C220-Sheet2!$C$525)^2+(D220-Sheet2!$D$525)^2+(E220-Sheet2!$E$525)^2+(F220-Sheet2!$F$525)^2+(G220-Sheet2!$G$525)^2+(H220-Sheet2!$H$525)^2+(I220-Sheet2!$I$525)^2+(J220-Sheet2!$J$525)^2+(K220-Sheet2!$K$525)^2+(L220-Sheet2!$L$525)^2)</f>
        <v>5.0806648915278547</v>
      </c>
      <c r="O220" s="8">
        <f>SQRT((C220-Sheet2!$C$526)^2+(D220-Sheet2!$D$526)^2+(E220-Sheet2!$E$526)^2+(F220-Sheet2!$F$526)^2+(G220-Sheet2!$G$526)^2+(H220-Sheet2!$H$526)^2+(I220-Sheet2!$I$526)^2+(J220-Sheet2!$J$526)^2+(K220-Sheet2!$K$526)^2+(L220-Sheet2!$L$526)^2)</f>
        <v>2.1212453120331567</v>
      </c>
      <c r="P220" s="12">
        <f t="shared" si="3"/>
        <v>1</v>
      </c>
      <c r="Q220" s="11">
        <f>IF(P220=Sheet1!$M220, 1, 0)</f>
        <v>0</v>
      </c>
    </row>
    <row r="221" spans="1:17" x14ac:dyDescent="0.35">
      <c r="A221" s="6" t="s">
        <v>211</v>
      </c>
      <c r="B221" s="6" t="s">
        <v>244</v>
      </c>
      <c r="C221" s="6">
        <v>-1.0351217496141374</v>
      </c>
      <c r="D221" s="6">
        <v>1.4383173595691123</v>
      </c>
      <c r="E221" s="6">
        <v>1.878877328569682</v>
      </c>
      <c r="F221" s="6">
        <v>2.0988812651408209</v>
      </c>
      <c r="G221" s="6">
        <v>2.2801807234353109</v>
      </c>
      <c r="H221" s="6">
        <v>0.88701034862287598</v>
      </c>
      <c r="I221" s="6">
        <v>0.84681028429068173</v>
      </c>
      <c r="J221" s="6">
        <v>1.7007667761674115</v>
      </c>
      <c r="K221" s="6">
        <v>-8.5217088313108893E-3</v>
      </c>
      <c r="L221" s="6">
        <v>2.5647921378859624</v>
      </c>
      <c r="N221" s="8">
        <f>SQRT((C221-Sheet2!$C$525)^2+(D221-Sheet2!$D$525)^2+(E221-Sheet2!$E$525)^2+(F221-Sheet2!$F$525)^2+(G221-Sheet2!$G$525)^2+(H221-Sheet2!$H$525)^2+(I221-Sheet2!$I$525)^2+(J221-Sheet2!$J$525)^2+(K221-Sheet2!$K$525)^2+(L221-Sheet2!$L$525)^2)</f>
        <v>5.9159625989492719</v>
      </c>
      <c r="O221" s="8">
        <f>SQRT((C221-Sheet2!$C$526)^2+(D221-Sheet2!$D$526)^2+(E221-Sheet2!$E$526)^2+(F221-Sheet2!$F$526)^2+(G221-Sheet2!$G$526)^2+(H221-Sheet2!$H$526)^2+(I221-Sheet2!$I$526)^2+(J221-Sheet2!$J$526)^2+(K221-Sheet2!$K$526)^2+(L221-Sheet2!$L$526)^2)</f>
        <v>2.5381303373159323</v>
      </c>
      <c r="P221" s="12">
        <f t="shared" si="3"/>
        <v>1</v>
      </c>
      <c r="Q221" s="11">
        <f>IF(P221=Sheet1!$M221, 1, 0)</f>
        <v>0</v>
      </c>
    </row>
    <row r="222" spans="1:17" x14ac:dyDescent="0.35">
      <c r="A222" s="6" t="s">
        <v>211</v>
      </c>
      <c r="B222" s="6" t="s">
        <v>245</v>
      </c>
      <c r="C222" s="6">
        <v>-0.62848915601382627</v>
      </c>
      <c r="D222" s="6">
        <v>0.45627319476243916</v>
      </c>
      <c r="E222" s="6">
        <v>0.8374331409497362</v>
      </c>
      <c r="F222" s="6">
        <v>0.84324050679412765</v>
      </c>
      <c r="G222" s="6">
        <v>1.3888035593377295</v>
      </c>
      <c r="H222" s="6">
        <v>0.93818061681961828</v>
      </c>
      <c r="I222" s="6">
        <v>0.90163492671105006</v>
      </c>
      <c r="J222" s="6">
        <v>0.6948464356444235</v>
      </c>
      <c r="K222" s="6">
        <v>0.98675542721297027</v>
      </c>
      <c r="L222" s="6">
        <v>-0.30010661036843383</v>
      </c>
      <c r="N222" s="8">
        <f>SQRT((C222-Sheet2!$C$525)^2+(D222-Sheet2!$D$525)^2+(E222-Sheet2!$E$525)^2+(F222-Sheet2!$F$525)^2+(G222-Sheet2!$G$525)^2+(H222-Sheet2!$H$525)^2+(I222-Sheet2!$I$525)^2+(J222-Sheet2!$J$525)^2+(K222-Sheet2!$K$525)^2+(L222-Sheet2!$L$525)^2)</f>
        <v>3.2512472014697922</v>
      </c>
      <c r="O222" s="8">
        <f>SQRT((C222-Sheet2!$C$526)^2+(D222-Sheet2!$D$526)^2+(E222-Sheet2!$E$526)^2+(F222-Sheet2!$F$526)^2+(G222-Sheet2!$G$526)^2+(H222-Sheet2!$H$526)^2+(I222-Sheet2!$I$526)^2+(J222-Sheet2!$J$526)^2+(K222-Sheet2!$K$526)^2+(L222-Sheet2!$L$526)^2)</f>
        <v>2.3699585182003173</v>
      </c>
      <c r="P222" s="12">
        <f t="shared" si="3"/>
        <v>1</v>
      </c>
      <c r="Q222" s="11">
        <f>IF(P222=Sheet1!$M222, 1, 0)</f>
        <v>0</v>
      </c>
    </row>
    <row r="223" spans="1:17" x14ac:dyDescent="0.35">
      <c r="A223" s="6" t="s">
        <v>211</v>
      </c>
      <c r="B223" s="6" t="s">
        <v>246</v>
      </c>
      <c r="C223" s="6">
        <v>-0.55736200267779834</v>
      </c>
      <c r="D223" s="6">
        <v>0.18007327341056265</v>
      </c>
      <c r="E223" s="6">
        <v>1.0382067816476035</v>
      </c>
      <c r="F223" s="6">
        <v>0.86172846888021248</v>
      </c>
      <c r="G223" s="6">
        <v>1.4178386461161547</v>
      </c>
      <c r="H223" s="6">
        <v>0.83853325243648835</v>
      </c>
      <c r="I223" s="6">
        <v>0.94753462734205607</v>
      </c>
      <c r="J223" s="6">
        <v>1.2110923462524477</v>
      </c>
      <c r="K223" s="6">
        <v>-0.19005024307838053</v>
      </c>
      <c r="L223" s="6">
        <v>-0.22302942246231655</v>
      </c>
      <c r="N223" s="8">
        <f>SQRT((C223-Sheet2!$C$525)^2+(D223-Sheet2!$D$525)^2+(E223-Sheet2!$E$525)^2+(F223-Sheet2!$F$525)^2+(G223-Sheet2!$G$525)^2+(H223-Sheet2!$H$525)^2+(I223-Sheet2!$I$525)^2+(J223-Sheet2!$J$525)^2+(K223-Sheet2!$K$525)^2+(L223-Sheet2!$L$525)^2)</f>
        <v>3.3586604891082219</v>
      </c>
      <c r="O223" s="8">
        <f>SQRT((C223-Sheet2!$C$526)^2+(D223-Sheet2!$D$526)^2+(E223-Sheet2!$E$526)^2+(F223-Sheet2!$F$526)^2+(G223-Sheet2!$G$526)^2+(H223-Sheet2!$H$526)^2+(I223-Sheet2!$I$526)^2+(J223-Sheet2!$J$526)^2+(K223-Sheet2!$K$526)^2+(L223-Sheet2!$L$526)^2)</f>
        <v>1.8058043745094488</v>
      </c>
      <c r="P223" s="12">
        <f t="shared" si="3"/>
        <v>1</v>
      </c>
      <c r="Q223" s="11">
        <f>IF(P223=Sheet1!$M223, 1, 0)</f>
        <v>0</v>
      </c>
    </row>
    <row r="224" spans="1:17" x14ac:dyDescent="0.35">
      <c r="A224" s="6" t="s">
        <v>247</v>
      </c>
      <c r="B224" s="6" t="s">
        <v>248</v>
      </c>
      <c r="C224" s="6">
        <v>0.81955232416681933</v>
      </c>
      <c r="D224" s="6">
        <v>0.35806877828177169</v>
      </c>
      <c r="E224" s="6">
        <v>-9.423023028862354E-2</v>
      </c>
      <c r="F224" s="6">
        <v>0.73693472479912969</v>
      </c>
      <c r="G224" s="6">
        <v>1.6297947795986381</v>
      </c>
      <c r="H224" s="6">
        <v>1.0098189922950571</v>
      </c>
      <c r="I224" s="6">
        <v>0.26732656382422992</v>
      </c>
      <c r="J224" s="6">
        <v>-0.51984982460975082</v>
      </c>
      <c r="K224" s="6">
        <v>1.135421037156692</v>
      </c>
      <c r="L224" s="6">
        <v>-0.27550661291602135</v>
      </c>
      <c r="N224" s="8">
        <f>SQRT((C224-Sheet2!$C$525)^2+(D224-Sheet2!$D$525)^2+(E224-Sheet2!$E$525)^2+(F224-Sheet2!$F$525)^2+(G224-Sheet2!$G$525)^2+(H224-Sheet2!$H$525)^2+(I224-Sheet2!$I$525)^2+(J224-Sheet2!$J$525)^2+(K224-Sheet2!$K$525)^2+(L224-Sheet2!$L$525)^2)</f>
        <v>2.8510919810408715</v>
      </c>
      <c r="O224" s="8">
        <f>SQRT((C224-Sheet2!$C$526)^2+(D224-Sheet2!$D$526)^2+(E224-Sheet2!$E$526)^2+(F224-Sheet2!$F$526)^2+(G224-Sheet2!$G$526)^2+(H224-Sheet2!$H$526)^2+(I224-Sheet2!$I$526)^2+(J224-Sheet2!$J$526)^2+(K224-Sheet2!$K$526)^2+(L224-Sheet2!$L$526)^2)</f>
        <v>3.7356594423700438</v>
      </c>
      <c r="P224" s="12">
        <f t="shared" si="3"/>
        <v>0</v>
      </c>
      <c r="Q224" s="11">
        <f>IF(P224=Sheet1!$M224, 1, 0)</f>
        <v>1</v>
      </c>
    </row>
    <row r="225" spans="1:17" x14ac:dyDescent="0.35">
      <c r="A225" s="6" t="s">
        <v>247</v>
      </c>
      <c r="B225" s="6" t="s">
        <v>249</v>
      </c>
      <c r="C225" s="6">
        <v>0.2371148798680239</v>
      </c>
      <c r="D225" s="6">
        <v>0.69564645993406615</v>
      </c>
      <c r="E225" s="6">
        <v>1.923084368723341</v>
      </c>
      <c r="F225" s="6">
        <v>1.5950842982949698</v>
      </c>
      <c r="G225" s="6">
        <v>1.2291105820564052</v>
      </c>
      <c r="H225" s="6">
        <v>1.0232848523468314</v>
      </c>
      <c r="I225" s="6">
        <v>0.69954874476620377</v>
      </c>
      <c r="J225" s="6">
        <v>-0.38699242114445043</v>
      </c>
      <c r="K225" s="6">
        <v>0.34045124924710912</v>
      </c>
      <c r="L225" s="6">
        <v>-4.5775666719451991E-2</v>
      </c>
      <c r="N225" s="8">
        <f>SQRT((C225-Sheet2!$C$525)^2+(D225-Sheet2!$D$525)^2+(E225-Sheet2!$E$525)^2+(F225-Sheet2!$F$525)^2+(G225-Sheet2!$G$525)^2+(H225-Sheet2!$H$525)^2+(I225-Sheet2!$I$525)^2+(J225-Sheet2!$J$525)^2+(K225-Sheet2!$K$525)^2+(L225-Sheet2!$L$525)^2)</f>
        <v>3.7546556780761806</v>
      </c>
      <c r="O225" s="8">
        <f>SQRT((C225-Sheet2!$C$526)^2+(D225-Sheet2!$D$526)^2+(E225-Sheet2!$E$526)^2+(F225-Sheet2!$F$526)^2+(G225-Sheet2!$G$526)^2+(H225-Sheet2!$H$526)^2+(I225-Sheet2!$I$526)^2+(J225-Sheet2!$J$526)^2+(K225-Sheet2!$K$526)^2+(L225-Sheet2!$L$526)^2)</f>
        <v>2.4136967808109522</v>
      </c>
      <c r="P225" s="12">
        <f t="shared" si="3"/>
        <v>1</v>
      </c>
      <c r="Q225" s="11">
        <f>IF(P225=Sheet1!$M225, 1, 0)</f>
        <v>0</v>
      </c>
    </row>
    <row r="226" spans="1:17" x14ac:dyDescent="0.35">
      <c r="A226" s="6" t="s">
        <v>247</v>
      </c>
      <c r="B226" s="6" t="s">
        <v>250</v>
      </c>
      <c r="C226" s="6">
        <v>0.72695282265387751</v>
      </c>
      <c r="D226" s="6">
        <v>-0.69762869888540213</v>
      </c>
      <c r="E226" s="6">
        <v>-0.30200331901082006</v>
      </c>
      <c r="F226" s="6">
        <v>3.5932829035024615E-2</v>
      </c>
      <c r="G226" s="6">
        <v>1.3162158423916726</v>
      </c>
      <c r="H226" s="6">
        <v>1.0125121643054118</v>
      </c>
      <c r="I226" s="6">
        <v>0.60966183103048377</v>
      </c>
      <c r="J226" s="6">
        <v>-1.0854427707906007</v>
      </c>
      <c r="K226" s="6">
        <v>1.0211832526736213</v>
      </c>
      <c r="L226" s="6">
        <v>-0.16188865598411101</v>
      </c>
      <c r="N226" s="8">
        <f>SQRT((C226-Sheet2!$C$525)^2+(D226-Sheet2!$D$525)^2+(E226-Sheet2!$E$525)^2+(F226-Sheet2!$F$525)^2+(G226-Sheet2!$G$525)^2+(H226-Sheet2!$H$525)^2+(I226-Sheet2!$I$525)^2+(J226-Sheet2!$J$525)^2+(K226-Sheet2!$K$525)^2+(L226-Sheet2!$L$525)^2)</f>
        <v>2.5360369639860529</v>
      </c>
      <c r="O226" s="8">
        <f>SQRT((C226-Sheet2!$C$526)^2+(D226-Sheet2!$D$526)^2+(E226-Sheet2!$E$526)^2+(F226-Sheet2!$F$526)^2+(G226-Sheet2!$G$526)^2+(H226-Sheet2!$H$526)^2+(I226-Sheet2!$I$526)^2+(J226-Sheet2!$J$526)^2+(K226-Sheet2!$K$526)^2+(L226-Sheet2!$L$526)^2)</f>
        <v>4.4817238936100985</v>
      </c>
      <c r="P226" s="12">
        <f t="shared" si="3"/>
        <v>0</v>
      </c>
      <c r="Q226" s="11">
        <f>IF(P226=Sheet1!$M226, 1, 0)</f>
        <v>1</v>
      </c>
    </row>
    <row r="227" spans="1:17" x14ac:dyDescent="0.35">
      <c r="A227" s="6" t="s">
        <v>247</v>
      </c>
      <c r="B227" s="6" t="s">
        <v>251</v>
      </c>
      <c r="C227" s="6">
        <v>-0.48757687110282733</v>
      </c>
      <c r="D227" s="6">
        <v>1.5242462239896968</v>
      </c>
      <c r="E227" s="6">
        <v>2.1128062493827935</v>
      </c>
      <c r="F227" s="6">
        <v>2.1682111229636449</v>
      </c>
      <c r="G227" s="6">
        <v>1.5281719758741599</v>
      </c>
      <c r="H227" s="6">
        <v>1.1423230552045154</v>
      </c>
      <c r="I227" s="6">
        <v>0.7091111823976638</v>
      </c>
      <c r="J227" s="6">
        <v>4.1947195757804846E-2</v>
      </c>
      <c r="K227" s="6">
        <v>0.56110231242673703</v>
      </c>
      <c r="L227" s="6">
        <v>0.28882973693992725</v>
      </c>
      <c r="N227" s="8">
        <f>SQRT((C227-Sheet2!$C$525)^2+(D227-Sheet2!$D$525)^2+(E227-Sheet2!$E$525)^2+(F227-Sheet2!$F$525)^2+(G227-Sheet2!$G$525)^2+(H227-Sheet2!$H$525)^2+(I227-Sheet2!$I$525)^2+(J227-Sheet2!$J$525)^2+(K227-Sheet2!$K$525)^2+(L227-Sheet2!$L$525)^2)</f>
        <v>4.687645595290177</v>
      </c>
      <c r="O227" s="8">
        <f>SQRT((C227-Sheet2!$C$526)^2+(D227-Sheet2!$D$526)^2+(E227-Sheet2!$E$526)^2+(F227-Sheet2!$F$526)^2+(G227-Sheet2!$G$526)^2+(H227-Sheet2!$H$526)^2+(I227-Sheet2!$I$526)^2+(J227-Sheet2!$J$526)^2+(K227-Sheet2!$K$526)^2+(L227-Sheet2!$L$526)^2)</f>
        <v>2.1160007166461723</v>
      </c>
      <c r="P227" s="12">
        <f t="shared" si="3"/>
        <v>1</v>
      </c>
      <c r="Q227" s="11">
        <f>IF(P227=Sheet1!$M227, 1, 0)</f>
        <v>0</v>
      </c>
    </row>
    <row r="228" spans="1:17" x14ac:dyDescent="0.35">
      <c r="A228" s="6" t="s">
        <v>247</v>
      </c>
      <c r="B228" s="6" t="s">
        <v>252</v>
      </c>
      <c r="C228" s="6">
        <v>-0.61506893840325494</v>
      </c>
      <c r="D228" s="6">
        <v>2.0152683063930339</v>
      </c>
      <c r="E228" s="6">
        <v>3.1225687248926173</v>
      </c>
      <c r="F228" s="6">
        <v>2.6581421182449327</v>
      </c>
      <c r="G228" s="6">
        <v>1.4817158370286845</v>
      </c>
      <c r="H228" s="6">
        <v>1.1293958295548123</v>
      </c>
      <c r="I228" s="6">
        <v>0.94753462734205607</v>
      </c>
      <c r="J228" s="6">
        <v>1.5451338178223459</v>
      </c>
      <c r="K228" s="6">
        <v>0.37487907470776016</v>
      </c>
      <c r="L228" s="6">
        <v>0.13427154400603661</v>
      </c>
      <c r="N228" s="8">
        <f>SQRT((C228-Sheet2!$C$525)^2+(D228-Sheet2!$D$525)^2+(E228-Sheet2!$E$525)^2+(F228-Sheet2!$F$525)^2+(G228-Sheet2!$G$525)^2+(H228-Sheet2!$H$525)^2+(I228-Sheet2!$I$525)^2+(J228-Sheet2!$J$525)^2+(K228-Sheet2!$K$525)^2+(L228-Sheet2!$L$525)^2)</f>
        <v>6.0034520968129081</v>
      </c>
      <c r="O228" s="8">
        <f>SQRT((C228-Sheet2!$C$526)^2+(D228-Sheet2!$D$526)^2+(E228-Sheet2!$E$526)^2+(F228-Sheet2!$F$526)^2+(G228-Sheet2!$G$526)^2+(H228-Sheet2!$H$526)^2+(I228-Sheet2!$I$526)^2+(J228-Sheet2!$J$526)^2+(K228-Sheet2!$K$526)^2+(L228-Sheet2!$L$526)^2)</f>
        <v>2.6125784297614381</v>
      </c>
      <c r="P228" s="12">
        <f t="shared" si="3"/>
        <v>1</v>
      </c>
      <c r="Q228" s="11">
        <f>IF(P228=Sheet1!$M228, 1, 0)</f>
        <v>0</v>
      </c>
    </row>
    <row r="229" spans="1:17" x14ac:dyDescent="0.35">
      <c r="A229" s="6" t="s">
        <v>253</v>
      </c>
      <c r="B229" s="6" t="s">
        <v>254</v>
      </c>
      <c r="C229" s="6">
        <v>0.38071120830113708</v>
      </c>
      <c r="D229" s="6">
        <v>-0.50735764195410882</v>
      </c>
      <c r="E229" s="6">
        <v>-0.52966957580216301</v>
      </c>
      <c r="F229" s="6">
        <v>-0.20903266860561937</v>
      </c>
      <c r="G229" s="6">
        <v>0.70067200268910856</v>
      </c>
      <c r="H229" s="6">
        <v>-0.29636943272704497</v>
      </c>
      <c r="I229" s="6">
        <v>-0.53719318890257117</v>
      </c>
      <c r="J229" s="6">
        <v>-1.1461775838033095</v>
      </c>
      <c r="K229" s="6">
        <v>1.7379079827180879</v>
      </c>
      <c r="L229" s="6">
        <v>-0.22685043175476557</v>
      </c>
      <c r="N229" s="8">
        <f>SQRT((C229-Sheet2!$C$525)^2+(D229-Sheet2!$D$525)^2+(E229-Sheet2!$E$525)^2+(F229-Sheet2!$F$525)^2+(G229-Sheet2!$G$525)^2+(H229-Sheet2!$H$525)^2+(I229-Sheet2!$I$525)^2+(J229-Sheet2!$J$525)^2+(K229-Sheet2!$K$525)^2+(L229-Sheet2!$L$525)^2)</f>
        <v>2.1121560193721503</v>
      </c>
      <c r="O229" s="8">
        <f>SQRT((C229-Sheet2!$C$526)^2+(D229-Sheet2!$D$526)^2+(E229-Sheet2!$E$526)^2+(F229-Sheet2!$F$526)^2+(G229-Sheet2!$G$526)^2+(H229-Sheet2!$H$526)^2+(I229-Sheet2!$I$526)^2+(J229-Sheet2!$J$526)^2+(K229-Sheet2!$K$526)^2+(L229-Sheet2!$L$526)^2)</f>
        <v>5.1034499260412352</v>
      </c>
      <c r="P229" s="12">
        <f t="shared" si="3"/>
        <v>0</v>
      </c>
      <c r="Q229" s="11">
        <f>IF(P229=Sheet1!$M229, 1, 0)</f>
        <v>1</v>
      </c>
    </row>
    <row r="230" spans="1:17" x14ac:dyDescent="0.35">
      <c r="A230" s="6" t="s">
        <v>253</v>
      </c>
      <c r="B230" s="6" t="s">
        <v>255</v>
      </c>
      <c r="C230" s="6">
        <v>-0.27016934581157204</v>
      </c>
      <c r="D230" s="6">
        <v>-0.54418429813435942</v>
      </c>
      <c r="E230" s="6">
        <v>-0.17453968656777041</v>
      </c>
      <c r="F230" s="6">
        <v>0.17459254468067273</v>
      </c>
      <c r="G230" s="6">
        <v>0.92714567956080651</v>
      </c>
      <c r="H230" s="6">
        <v>0.55413428814301613</v>
      </c>
      <c r="I230" s="6">
        <v>0.71166116576605254</v>
      </c>
      <c r="J230" s="6">
        <v>-0.25793094349244444</v>
      </c>
      <c r="K230" s="6">
        <v>0.49537646382003891</v>
      </c>
      <c r="L230" s="6">
        <v>-0.15345528037507564</v>
      </c>
      <c r="N230" s="8">
        <f>SQRT((C230-Sheet2!$C$525)^2+(D230-Sheet2!$D$525)^2+(E230-Sheet2!$E$525)^2+(F230-Sheet2!$F$525)^2+(G230-Sheet2!$G$525)^2+(H230-Sheet2!$H$525)^2+(I230-Sheet2!$I$525)^2+(J230-Sheet2!$J$525)^2+(K230-Sheet2!$K$525)^2+(L230-Sheet2!$L$525)^2)</f>
        <v>1.8111153609424873</v>
      </c>
      <c r="O230" s="8">
        <f>SQRT((C230-Sheet2!$C$526)^2+(D230-Sheet2!$D$526)^2+(E230-Sheet2!$E$526)^2+(F230-Sheet2!$F$526)^2+(G230-Sheet2!$G$526)^2+(H230-Sheet2!$H$526)^2+(I230-Sheet2!$I$526)^2+(J230-Sheet2!$J$526)^2+(K230-Sheet2!$K$526)^2+(L230-Sheet2!$L$526)^2)</f>
        <v>3.4780475288349249</v>
      </c>
      <c r="P230" s="12">
        <f t="shared" si="3"/>
        <v>0</v>
      </c>
      <c r="Q230" s="11">
        <f>IF(P230=Sheet1!$M230, 1, 0)</f>
        <v>1</v>
      </c>
    </row>
    <row r="231" spans="1:17" x14ac:dyDescent="0.35">
      <c r="A231" s="6" t="s">
        <v>253</v>
      </c>
      <c r="B231" s="6" t="s">
        <v>256</v>
      </c>
      <c r="C231" s="6">
        <v>-1.7869254732831037E-2</v>
      </c>
      <c r="D231" s="6">
        <v>-0.5380465221043178</v>
      </c>
      <c r="E231" s="6">
        <v>-0.21432602270606335</v>
      </c>
      <c r="F231" s="6">
        <v>2.0526193963286907E-2</v>
      </c>
      <c r="G231" s="6">
        <v>1.220400056022878</v>
      </c>
      <c r="H231" s="6">
        <v>-9.2765628744218259E-2</v>
      </c>
      <c r="I231" s="6">
        <v>-0.59648030221762027</v>
      </c>
      <c r="J231" s="6">
        <v>-0.5805846376224596</v>
      </c>
      <c r="K231" s="6">
        <v>0.45312413257287665</v>
      </c>
      <c r="L231" s="6">
        <v>-0.18816088174274986</v>
      </c>
      <c r="N231" s="8">
        <f>SQRT((C231-Sheet2!$C$525)^2+(D231-Sheet2!$D$525)^2+(E231-Sheet2!$E$525)^2+(F231-Sheet2!$F$525)^2+(G231-Sheet2!$G$525)^2+(H231-Sheet2!$H$525)^2+(I231-Sheet2!$I$525)^2+(J231-Sheet2!$J$525)^2+(K231-Sheet2!$K$525)^2+(L231-Sheet2!$L$525)^2)</f>
        <v>1.6329009129909267</v>
      </c>
      <c r="O231" s="8">
        <f>SQRT((C231-Sheet2!$C$526)^2+(D231-Sheet2!$D$526)^2+(E231-Sheet2!$E$526)^2+(F231-Sheet2!$F$526)^2+(G231-Sheet2!$G$526)^2+(H231-Sheet2!$H$526)^2+(I231-Sheet2!$I$526)^2+(J231-Sheet2!$J$526)^2+(K231-Sheet2!$K$526)^2+(L231-Sheet2!$L$526)^2)</f>
        <v>4.0723853852325433</v>
      </c>
      <c r="P231" s="12">
        <f t="shared" si="3"/>
        <v>0</v>
      </c>
      <c r="Q231" s="11">
        <f>IF(P231=Sheet1!$M231, 1, 0)</f>
        <v>1</v>
      </c>
    </row>
    <row r="232" spans="1:17" x14ac:dyDescent="0.35">
      <c r="A232" s="6" t="s">
        <v>253</v>
      </c>
      <c r="B232" s="6" t="s">
        <v>257</v>
      </c>
      <c r="C232" s="6">
        <v>-0.63922533010228344</v>
      </c>
      <c r="D232" s="6">
        <v>-5.9299991761064347E-2</v>
      </c>
      <c r="E232" s="6">
        <v>0.17764306665637825</v>
      </c>
      <c r="F232" s="6">
        <v>0.49659121768000963</v>
      </c>
      <c r="G232" s="6">
        <v>1.3075053163581454</v>
      </c>
      <c r="H232" s="6">
        <v>0.43994379490397106</v>
      </c>
      <c r="I232" s="6">
        <v>0.78178570839675676</v>
      </c>
      <c r="J232" s="6">
        <v>-5.6746875387846736E-2</v>
      </c>
      <c r="K232" s="6">
        <v>0.43747512099985425</v>
      </c>
      <c r="L232" s="6">
        <v>0.11338360922119914</v>
      </c>
      <c r="N232" s="8">
        <f>SQRT((C232-Sheet2!$C$525)^2+(D232-Sheet2!$D$525)^2+(E232-Sheet2!$E$525)^2+(F232-Sheet2!$F$525)^2+(G232-Sheet2!$G$525)^2+(H232-Sheet2!$H$525)^2+(I232-Sheet2!$I$525)^2+(J232-Sheet2!$J$525)^2+(K232-Sheet2!$K$525)^2+(L232-Sheet2!$L$525)^2)</f>
        <v>2.3397756110637138</v>
      </c>
      <c r="O232" s="8">
        <f>SQRT((C232-Sheet2!$C$526)^2+(D232-Sheet2!$D$526)^2+(E232-Sheet2!$E$526)^2+(F232-Sheet2!$F$526)^2+(G232-Sheet2!$G$526)^2+(H232-Sheet2!$H$526)^2+(I232-Sheet2!$I$526)^2+(J232-Sheet2!$J$526)^2+(K232-Sheet2!$K$526)^2+(L232-Sheet2!$L$526)^2)</f>
        <v>2.7721486427170543</v>
      </c>
      <c r="P232" s="12">
        <f t="shared" si="3"/>
        <v>0</v>
      </c>
      <c r="Q232" s="11">
        <f>IF(P232=Sheet1!$M232, 1, 0)</f>
        <v>1</v>
      </c>
    </row>
    <row r="233" spans="1:17" x14ac:dyDescent="0.35">
      <c r="A233" s="6" t="s">
        <v>253</v>
      </c>
      <c r="B233" s="6" t="s">
        <v>258</v>
      </c>
      <c r="C233" s="6">
        <v>-0.35203267323605703</v>
      </c>
      <c r="D233" s="6">
        <v>-0.57487317828456785</v>
      </c>
      <c r="E233" s="6">
        <v>0.15922346659235373</v>
      </c>
      <c r="F233" s="6">
        <v>0.17305188117349807</v>
      </c>
      <c r="G233" s="6">
        <v>1.1478123390768211</v>
      </c>
      <c r="H233" s="6">
        <v>-8.2531575104869942E-2</v>
      </c>
      <c r="I233" s="6">
        <v>0.52232490066315251</v>
      </c>
      <c r="J233" s="6">
        <v>-0.53123760204963355</v>
      </c>
      <c r="K233" s="6">
        <v>0.15266311037082919</v>
      </c>
      <c r="L233" s="6">
        <v>7.8062565987579755E-2</v>
      </c>
      <c r="N233" s="8">
        <f>SQRT((C233-Sheet2!$C$525)^2+(D233-Sheet2!$D$525)^2+(E233-Sheet2!$E$525)^2+(F233-Sheet2!$F$525)^2+(G233-Sheet2!$G$525)^2+(H233-Sheet2!$H$525)^2+(I233-Sheet2!$I$525)^2+(J233-Sheet2!$J$525)^2+(K233-Sheet2!$K$525)^2+(L233-Sheet2!$L$525)^2)</f>
        <v>1.8196260249258929</v>
      </c>
      <c r="O233" s="8">
        <f>SQRT((C233-Sheet2!$C$526)^2+(D233-Sheet2!$D$526)^2+(E233-Sheet2!$E$526)^2+(F233-Sheet2!$F$526)^2+(G233-Sheet2!$G$526)^2+(H233-Sheet2!$H$526)^2+(I233-Sheet2!$I$526)^2+(J233-Sheet2!$J$526)^2+(K233-Sheet2!$K$526)^2+(L233-Sheet2!$L$526)^2)</f>
        <v>3.4425243117676141</v>
      </c>
      <c r="P233" s="12">
        <f t="shared" si="3"/>
        <v>0</v>
      </c>
      <c r="Q233" s="11">
        <f>IF(P233=Sheet1!$M233, 1, 0)</f>
        <v>1</v>
      </c>
    </row>
    <row r="234" spans="1:17" x14ac:dyDescent="0.35">
      <c r="A234" s="6" t="s">
        <v>253</v>
      </c>
      <c r="B234" s="6" t="s">
        <v>259</v>
      </c>
      <c r="C234" s="6">
        <v>-8.4970342785687644E-2</v>
      </c>
      <c r="D234" s="6">
        <v>-0.21888216854214865</v>
      </c>
      <c r="E234" s="6">
        <v>0.29552850706613509</v>
      </c>
      <c r="F234" s="6">
        <v>0.40569207075675146</v>
      </c>
      <c r="G234" s="6">
        <v>0.86907550600396422</v>
      </c>
      <c r="H234" s="6">
        <v>0.52343212722497123</v>
      </c>
      <c r="I234" s="6">
        <v>0.71484864497653888</v>
      </c>
      <c r="J234" s="6">
        <v>3.4355344131216416E-2</v>
      </c>
      <c r="K234" s="6">
        <v>-1.9476016932426125E-2</v>
      </c>
      <c r="L234" s="6">
        <v>0.15457287205003942</v>
      </c>
      <c r="N234" s="8">
        <f>SQRT((C234-Sheet2!$C$525)^2+(D234-Sheet2!$D$525)^2+(E234-Sheet2!$E$525)^2+(F234-Sheet2!$F$525)^2+(G234-Sheet2!$G$525)^2+(H234-Sheet2!$H$525)^2+(I234-Sheet2!$I$525)^2+(J234-Sheet2!$J$525)^2+(K234-Sheet2!$K$525)^2+(L234-Sheet2!$L$525)^2)</f>
        <v>1.9160190010183162</v>
      </c>
      <c r="O234" s="8">
        <f>SQRT((C234-Sheet2!$C$526)^2+(D234-Sheet2!$D$526)^2+(E234-Sheet2!$E$526)^2+(F234-Sheet2!$F$526)^2+(G234-Sheet2!$G$526)^2+(H234-Sheet2!$H$526)^2+(I234-Sheet2!$I$526)^2+(J234-Sheet2!$J$526)^2+(K234-Sheet2!$K$526)^2+(L234-Sheet2!$L$526)^2)</f>
        <v>2.7038104449835512</v>
      </c>
      <c r="P234" s="12">
        <f t="shared" si="3"/>
        <v>0</v>
      </c>
      <c r="Q234" s="11">
        <f>IF(P234=Sheet1!$M234, 1, 0)</f>
        <v>1</v>
      </c>
    </row>
    <row r="235" spans="1:17" x14ac:dyDescent="0.35">
      <c r="A235" s="6" t="s">
        <v>253</v>
      </c>
      <c r="B235" s="6" t="s">
        <v>260</v>
      </c>
      <c r="C235" s="6">
        <v>-0.23796082354620079</v>
      </c>
      <c r="D235" s="6">
        <v>-0.61783761049485997</v>
      </c>
      <c r="E235" s="6">
        <v>-5.9601382168257465E-2</v>
      </c>
      <c r="F235" s="6">
        <v>0.10372202335067403</v>
      </c>
      <c r="G235" s="6">
        <v>0.85746147129259331</v>
      </c>
      <c r="H235" s="6">
        <v>0.1932492387554669</v>
      </c>
      <c r="I235" s="6">
        <v>0.5739620638730345</v>
      </c>
      <c r="J235" s="6">
        <v>0.12925348946357379</v>
      </c>
      <c r="K235" s="6">
        <v>-0.15249261530312544</v>
      </c>
      <c r="L235" s="6">
        <v>0.97485760712348635</v>
      </c>
      <c r="N235" s="8">
        <f>SQRT((C235-Sheet2!$C$525)^2+(D235-Sheet2!$D$525)^2+(E235-Sheet2!$E$525)^2+(F235-Sheet2!$F$525)^2+(G235-Sheet2!$G$525)^2+(H235-Sheet2!$H$525)^2+(I235-Sheet2!$I$525)^2+(J235-Sheet2!$J$525)^2+(K235-Sheet2!$K$525)^2+(L235-Sheet2!$L$525)^2)</f>
        <v>1.9806122598560212</v>
      </c>
      <c r="O235" s="8">
        <f>SQRT((C235-Sheet2!$C$526)^2+(D235-Sheet2!$D$526)^2+(E235-Sheet2!$E$526)^2+(F235-Sheet2!$F$526)^2+(G235-Sheet2!$G$526)^2+(H235-Sheet2!$H$526)^2+(I235-Sheet2!$I$526)^2+(J235-Sheet2!$J$526)^2+(K235-Sheet2!$K$526)^2+(L235-Sheet2!$L$526)^2)</f>
        <v>3.1364667779029438</v>
      </c>
      <c r="P235" s="12">
        <f t="shared" si="3"/>
        <v>0</v>
      </c>
      <c r="Q235" s="11">
        <f>IF(P235=Sheet1!$M235, 1, 0)</f>
        <v>1</v>
      </c>
    </row>
    <row r="236" spans="1:17" x14ac:dyDescent="0.35">
      <c r="A236" s="6" t="s">
        <v>253</v>
      </c>
      <c r="B236" s="6" t="s">
        <v>261</v>
      </c>
      <c r="C236" s="6">
        <v>-0.29835180279377166</v>
      </c>
      <c r="D236" s="6">
        <v>-1.0843085887780297</v>
      </c>
      <c r="E236" s="6">
        <v>-0.4132577033975281</v>
      </c>
      <c r="F236" s="6">
        <v>-0.5941985453990839</v>
      </c>
      <c r="G236" s="6">
        <v>0.16061938861044522</v>
      </c>
      <c r="H236" s="6">
        <v>0.32521466726285392</v>
      </c>
      <c r="I236" s="6">
        <v>0.67532390276650645</v>
      </c>
      <c r="J236" s="6">
        <v>-0.5881764892490482</v>
      </c>
      <c r="K236" s="6">
        <v>-0.51241988148266071</v>
      </c>
      <c r="L236" s="6">
        <v>1.3776597790438605E-2</v>
      </c>
      <c r="N236" s="8">
        <f>SQRT((C236-Sheet2!$C$525)^2+(D236-Sheet2!$D$525)^2+(E236-Sheet2!$E$525)^2+(F236-Sheet2!$F$525)^2+(G236-Sheet2!$G$525)^2+(H236-Sheet2!$H$525)^2+(I236-Sheet2!$I$525)^2+(J236-Sheet2!$J$525)^2+(K236-Sheet2!$K$525)^2+(L236-Sheet2!$L$525)^2)</f>
        <v>1.6096658038282776</v>
      </c>
      <c r="O236" s="8">
        <f>SQRT((C236-Sheet2!$C$526)^2+(D236-Sheet2!$D$526)^2+(E236-Sheet2!$E$526)^2+(F236-Sheet2!$F$526)^2+(G236-Sheet2!$G$526)^2+(H236-Sheet2!$H$526)^2+(I236-Sheet2!$I$526)^2+(J236-Sheet2!$J$526)^2+(K236-Sheet2!$K$526)^2+(L236-Sheet2!$L$526)^2)</f>
        <v>4.2534364570601157</v>
      </c>
      <c r="P236" s="12">
        <f t="shared" si="3"/>
        <v>0</v>
      </c>
      <c r="Q236" s="11">
        <f>IF(P236=Sheet1!$M236, 1, 0)</f>
        <v>1</v>
      </c>
    </row>
    <row r="237" spans="1:17" x14ac:dyDescent="0.35">
      <c r="A237" s="6" t="s">
        <v>253</v>
      </c>
      <c r="B237" s="6" t="s">
        <v>262</v>
      </c>
      <c r="C237" s="6">
        <v>-0.25003901939571499</v>
      </c>
      <c r="D237" s="6">
        <v>-1.1947885573187804</v>
      </c>
      <c r="E237" s="6">
        <v>-0.33700055913246663</v>
      </c>
      <c r="F237" s="6">
        <v>-0.40161560700235166</v>
      </c>
      <c r="G237" s="6">
        <v>-0.10940691842888441</v>
      </c>
      <c r="H237" s="6">
        <v>-0.70196113748648536</v>
      </c>
      <c r="I237" s="6">
        <v>0.58734947655707759</v>
      </c>
      <c r="J237" s="6">
        <v>0.14443719271675098</v>
      </c>
      <c r="K237" s="6">
        <v>-7.7377359752613006E-2</v>
      </c>
      <c r="L237" s="6">
        <v>0.68378197996613654</v>
      </c>
      <c r="N237" s="8">
        <f>SQRT((C237-Sheet2!$C$525)^2+(D237-Sheet2!$D$525)^2+(E237-Sheet2!$E$525)^2+(F237-Sheet2!$F$525)^2+(G237-Sheet2!$G$525)^2+(H237-Sheet2!$H$525)^2+(I237-Sheet2!$I$525)^2+(J237-Sheet2!$J$525)^2+(K237-Sheet2!$K$525)^2+(L237-Sheet2!$L$525)^2)</f>
        <v>1.6672001428612131</v>
      </c>
      <c r="O237" s="8">
        <f>SQRT((C237-Sheet2!$C$526)^2+(D237-Sheet2!$D$526)^2+(E237-Sheet2!$E$526)^2+(F237-Sheet2!$F$526)^2+(G237-Sheet2!$G$526)^2+(H237-Sheet2!$H$526)^2+(I237-Sheet2!$I$526)^2+(J237-Sheet2!$J$526)^2+(K237-Sheet2!$K$526)^2+(L237-Sheet2!$L$526)^2)</f>
        <v>4.2345613757636311</v>
      </c>
      <c r="P237" s="12">
        <f t="shared" si="3"/>
        <v>0</v>
      </c>
      <c r="Q237" s="11">
        <f>IF(P237=Sheet1!$M237, 1, 0)</f>
        <v>1</v>
      </c>
    </row>
    <row r="238" spans="1:17" x14ac:dyDescent="0.35">
      <c r="A238" s="6" t="s">
        <v>253</v>
      </c>
      <c r="B238" s="6" t="s">
        <v>263</v>
      </c>
      <c r="C238" s="6">
        <v>-0.56407211148308389</v>
      </c>
      <c r="D238" s="6">
        <v>-0.62397538652490159</v>
      </c>
      <c r="E238" s="6">
        <v>0.69707578846186946</v>
      </c>
      <c r="F238" s="6">
        <v>0.22389377691023513</v>
      </c>
      <c r="G238" s="6">
        <v>0.3086983311804028</v>
      </c>
      <c r="H238" s="6">
        <v>0.21264007723002179</v>
      </c>
      <c r="I238" s="6">
        <v>0.57523705555722882</v>
      </c>
      <c r="J238" s="6">
        <v>0.13684534109016222</v>
      </c>
      <c r="K238" s="6">
        <v>0.44686452794366632</v>
      </c>
      <c r="L238" s="6">
        <v>0.70012911387170906</v>
      </c>
      <c r="N238" s="8">
        <f>SQRT((C238-Sheet2!$C$525)^2+(D238-Sheet2!$D$525)^2+(E238-Sheet2!$E$525)^2+(F238-Sheet2!$F$525)^2+(G238-Sheet2!$G$525)^2+(H238-Sheet2!$H$525)^2+(I238-Sheet2!$I$525)^2+(J238-Sheet2!$J$525)^2+(K238-Sheet2!$K$525)^2+(L238-Sheet2!$L$525)^2)</f>
        <v>1.9961265314320493</v>
      </c>
      <c r="O238" s="8">
        <f>SQRT((C238-Sheet2!$C$526)^2+(D238-Sheet2!$D$526)^2+(E238-Sheet2!$E$526)^2+(F238-Sheet2!$F$526)^2+(G238-Sheet2!$G$526)^2+(H238-Sheet2!$H$526)^2+(I238-Sheet2!$I$526)^2+(J238-Sheet2!$J$526)^2+(K238-Sheet2!$K$526)^2+(L238-Sheet2!$L$526)^2)</f>
        <v>2.9846922431947926</v>
      </c>
      <c r="P238" s="12">
        <f t="shared" si="3"/>
        <v>0</v>
      </c>
      <c r="Q238" s="11">
        <f>IF(P238=Sheet1!$M238, 1, 0)</f>
        <v>1</v>
      </c>
    </row>
    <row r="239" spans="1:17" x14ac:dyDescent="0.35">
      <c r="A239" s="6" t="s">
        <v>253</v>
      </c>
      <c r="B239" s="6" t="s">
        <v>264</v>
      </c>
      <c r="C239" s="6">
        <v>0.3297143813809662</v>
      </c>
      <c r="D239" s="6">
        <v>-1.5323662389710742</v>
      </c>
      <c r="E239" s="6">
        <v>0.13454120250656088</v>
      </c>
      <c r="F239" s="6">
        <v>-0.51408404302604171</v>
      </c>
      <c r="G239" s="6">
        <v>-0.80334549243318876</v>
      </c>
      <c r="H239" s="6">
        <v>-1.3133111838370364</v>
      </c>
      <c r="I239" s="6">
        <v>0.52933735492622291</v>
      </c>
      <c r="J239" s="6">
        <v>-0.22756353698609008</v>
      </c>
      <c r="K239" s="6">
        <v>0.69255400964013314</v>
      </c>
      <c r="L239" s="6">
        <v>-0.16804658500661951</v>
      </c>
      <c r="N239" s="8">
        <f>SQRT((C239-Sheet2!$C$525)^2+(D239-Sheet2!$D$525)^2+(E239-Sheet2!$E$525)^2+(F239-Sheet2!$F$525)^2+(G239-Sheet2!$G$525)^2+(H239-Sheet2!$H$525)^2+(I239-Sheet2!$I$525)^2+(J239-Sheet2!$J$525)^2+(K239-Sheet2!$K$525)^2+(L239-Sheet2!$L$525)^2)</f>
        <v>2.0485827022307288</v>
      </c>
      <c r="O239" s="8">
        <f>SQRT((C239-Sheet2!$C$526)^2+(D239-Sheet2!$D$526)^2+(E239-Sheet2!$E$526)^2+(F239-Sheet2!$F$526)^2+(G239-Sheet2!$G$526)^2+(H239-Sheet2!$H$526)^2+(I239-Sheet2!$I$526)^2+(J239-Sheet2!$J$526)^2+(K239-Sheet2!$K$526)^2+(L239-Sheet2!$L$526)^2)</f>
        <v>5.2008049914382193</v>
      </c>
      <c r="P239" s="12">
        <f t="shared" si="3"/>
        <v>0</v>
      </c>
      <c r="Q239" s="11">
        <f>IF(P239=Sheet1!$M239, 1, 0)</f>
        <v>1</v>
      </c>
    </row>
    <row r="240" spans="1:17" x14ac:dyDescent="0.35">
      <c r="A240" s="6" t="s">
        <v>253</v>
      </c>
      <c r="B240" s="6" t="s">
        <v>265</v>
      </c>
      <c r="C240" s="6">
        <v>4.7889811558968473E-2</v>
      </c>
      <c r="D240" s="6">
        <v>-1.1149974689282383</v>
      </c>
      <c r="E240" s="6">
        <v>-0.12112284638209933</v>
      </c>
      <c r="F240" s="6">
        <v>-0.33074508567235295</v>
      </c>
      <c r="G240" s="6">
        <v>-0.12102095314025532</v>
      </c>
      <c r="H240" s="6">
        <v>-0.93788300559357041</v>
      </c>
      <c r="I240" s="6">
        <v>0.87613509302715742</v>
      </c>
      <c r="J240" s="6">
        <v>-0.52364575042304495</v>
      </c>
      <c r="K240" s="6">
        <v>0.338886348089806</v>
      </c>
      <c r="L240" s="6">
        <v>-0.17234719765172146</v>
      </c>
      <c r="N240" s="8">
        <f>SQRT((C240-Sheet2!$C$525)^2+(D240-Sheet2!$D$525)^2+(E240-Sheet2!$E$525)^2+(F240-Sheet2!$F$525)^2+(G240-Sheet2!$G$525)^2+(H240-Sheet2!$H$525)^2+(I240-Sheet2!$I$525)^2+(J240-Sheet2!$J$525)^2+(K240-Sheet2!$K$525)^2+(L240-Sheet2!$L$525)^2)</f>
        <v>1.5805130080946765</v>
      </c>
      <c r="O240" s="8">
        <f>SQRT((C240-Sheet2!$C$526)^2+(D240-Sheet2!$D$526)^2+(E240-Sheet2!$E$526)^2+(F240-Sheet2!$F$526)^2+(G240-Sheet2!$G$526)^2+(H240-Sheet2!$H$526)^2+(I240-Sheet2!$I$526)^2+(J240-Sheet2!$J$526)^2+(K240-Sheet2!$K$526)^2+(L240-Sheet2!$L$526)^2)</f>
        <v>4.5846820645718767</v>
      </c>
      <c r="P240" s="12">
        <f t="shared" si="3"/>
        <v>0</v>
      </c>
      <c r="Q240" s="11">
        <f>IF(P240=Sheet1!$M240, 1, 0)</f>
        <v>1</v>
      </c>
    </row>
    <row r="241" spans="1:17" x14ac:dyDescent="0.35">
      <c r="A241" s="6" t="s">
        <v>253</v>
      </c>
      <c r="B241" s="6" t="s">
        <v>266</v>
      </c>
      <c r="C241" s="6">
        <v>0.89067947750284748</v>
      </c>
      <c r="D241" s="6">
        <v>-1.4218862704303237</v>
      </c>
      <c r="E241" s="6">
        <v>0.23732257086381767</v>
      </c>
      <c r="F241" s="6">
        <v>-0.56492593876277875</v>
      </c>
      <c r="G241" s="6">
        <v>-0.66688058457460209</v>
      </c>
      <c r="H241" s="6">
        <v>-0.81130392110689231</v>
      </c>
      <c r="I241" s="6">
        <v>0.51276246303169348</v>
      </c>
      <c r="J241" s="6">
        <v>-0.19340020466644148</v>
      </c>
      <c r="K241" s="6">
        <v>0.59083543441548092</v>
      </c>
      <c r="L241" s="6">
        <v>3.5528019202226022E-2</v>
      </c>
      <c r="N241" s="8">
        <f>SQRT((C241-Sheet2!$C$525)^2+(D241-Sheet2!$D$525)^2+(E241-Sheet2!$E$525)^2+(F241-Sheet2!$F$525)^2+(G241-Sheet2!$G$525)^2+(H241-Sheet2!$H$525)^2+(I241-Sheet2!$I$525)^2+(J241-Sheet2!$J$525)^2+(K241-Sheet2!$K$525)^2+(L241-Sheet2!$L$525)^2)</f>
        <v>1.8586861490173632</v>
      </c>
      <c r="O241" s="8">
        <f>SQRT((C241-Sheet2!$C$526)^2+(D241-Sheet2!$D$526)^2+(E241-Sheet2!$E$526)^2+(F241-Sheet2!$F$526)^2+(G241-Sheet2!$G$526)^2+(H241-Sheet2!$H$526)^2+(I241-Sheet2!$I$526)^2+(J241-Sheet2!$J$526)^2+(K241-Sheet2!$K$526)^2+(L241-Sheet2!$L$526)^2)</f>
        <v>4.9882675213769385</v>
      </c>
      <c r="P241" s="12">
        <f t="shared" si="3"/>
        <v>0</v>
      </c>
      <c r="Q241" s="11">
        <f>IF(P241=Sheet1!$M241, 1, 0)</f>
        <v>1</v>
      </c>
    </row>
    <row r="242" spans="1:17" x14ac:dyDescent="0.35">
      <c r="A242" s="6" t="s">
        <v>253</v>
      </c>
      <c r="B242" s="6" t="s">
        <v>267</v>
      </c>
      <c r="C242" s="6">
        <v>-0.34532256443077147</v>
      </c>
      <c r="D242" s="6">
        <v>-0.6301131625549431</v>
      </c>
      <c r="E242" s="6">
        <v>-1.0236853996671774E-2</v>
      </c>
      <c r="F242" s="6">
        <v>-0.15356878234735838</v>
      </c>
      <c r="G242" s="6">
        <v>0.17223342332181613</v>
      </c>
      <c r="H242" s="6">
        <v>0.30797836639658327</v>
      </c>
      <c r="I242" s="6">
        <v>0.77923572502836713</v>
      </c>
      <c r="J242" s="6">
        <v>0.36839681570111432</v>
      </c>
      <c r="K242" s="6">
        <v>-6.7987952808798685E-2</v>
      </c>
      <c r="L242" s="6">
        <v>1.7899966096458755</v>
      </c>
      <c r="N242" s="8">
        <f>SQRT((C242-Sheet2!$C$525)^2+(D242-Sheet2!$D$525)^2+(E242-Sheet2!$E$525)^2+(F242-Sheet2!$F$525)^2+(G242-Sheet2!$G$525)^2+(H242-Sheet2!$H$525)^2+(I242-Sheet2!$I$525)^2+(J242-Sheet2!$J$525)^2+(K242-Sheet2!$K$525)^2+(L242-Sheet2!$L$525)^2)</f>
        <v>2.4677525978331127</v>
      </c>
      <c r="O242" s="8">
        <f>SQRT((C242-Sheet2!$C$526)^2+(D242-Sheet2!$D$526)^2+(E242-Sheet2!$E$526)^2+(F242-Sheet2!$F$526)^2+(G242-Sheet2!$G$526)^2+(H242-Sheet2!$H$526)^2+(I242-Sheet2!$I$526)^2+(J242-Sheet2!$J$526)^2+(K242-Sheet2!$K$526)^2+(L242-Sheet2!$L$526)^2)</f>
        <v>3.3890833001561149</v>
      </c>
      <c r="P242" s="12">
        <f t="shared" si="3"/>
        <v>0</v>
      </c>
      <c r="Q242" s="11">
        <f>IF(P242=Sheet1!$M242, 1, 0)</f>
        <v>1</v>
      </c>
    </row>
    <row r="243" spans="1:17" x14ac:dyDescent="0.35">
      <c r="A243" s="6" t="s">
        <v>253</v>
      </c>
      <c r="B243" s="6" t="s">
        <v>268</v>
      </c>
      <c r="C243" s="6">
        <v>-0.85126476834931031</v>
      </c>
      <c r="D243" s="6">
        <v>1.4014907033888628</v>
      </c>
      <c r="E243" s="6">
        <v>1.566849303485107</v>
      </c>
      <c r="F243" s="6">
        <v>1.6520888480604032</v>
      </c>
      <c r="G243" s="6">
        <v>1.2784702295797243</v>
      </c>
      <c r="H243" s="6">
        <v>0.9613418961086696</v>
      </c>
      <c r="I243" s="6">
        <v>0.74481094955511218</v>
      </c>
      <c r="J243" s="6">
        <v>2.2056249093355524</v>
      </c>
      <c r="K243" s="6">
        <v>-0.46860264907819527</v>
      </c>
      <c r="L243" s="6">
        <v>2.4872652682932488</v>
      </c>
      <c r="N243" s="8">
        <f>SQRT((C243-Sheet2!$C$525)^2+(D243-Sheet2!$D$525)^2+(E243-Sheet2!$E$525)^2+(F243-Sheet2!$F$525)^2+(G243-Sheet2!$G$525)^2+(H243-Sheet2!$H$525)^2+(I243-Sheet2!$I$525)^2+(J243-Sheet2!$J$525)^2+(K243-Sheet2!$K$525)^2+(L243-Sheet2!$L$525)^2)</f>
        <v>5.4184912909927769</v>
      </c>
      <c r="O243" s="8">
        <f>SQRT((C243-Sheet2!$C$526)^2+(D243-Sheet2!$D$526)^2+(E243-Sheet2!$E$526)^2+(F243-Sheet2!$F$526)^2+(G243-Sheet2!$G$526)^2+(H243-Sheet2!$H$526)^2+(I243-Sheet2!$I$526)^2+(J243-Sheet2!$J$526)^2+(K243-Sheet2!$K$526)^2+(L243-Sheet2!$L$526)^2)</f>
        <v>2.0738871562571521</v>
      </c>
      <c r="P243" s="12">
        <f t="shared" si="3"/>
        <v>1</v>
      </c>
      <c r="Q243" s="11">
        <f>IF(P243=Sheet1!$M243, 1, 0)</f>
        <v>0</v>
      </c>
    </row>
    <row r="244" spans="1:17" x14ac:dyDescent="0.35">
      <c r="A244" s="6" t="s">
        <v>253</v>
      </c>
      <c r="B244" s="6" t="s">
        <v>269</v>
      </c>
      <c r="C244" s="6">
        <v>-0.22185656241351531</v>
      </c>
      <c r="D244" s="6">
        <v>0.12483328914018736</v>
      </c>
      <c r="E244" s="6">
        <v>0.92805757326473681</v>
      </c>
      <c r="F244" s="6">
        <v>0.65065756839739541</v>
      </c>
      <c r="G244" s="6">
        <v>0.85165445393690997</v>
      </c>
      <c r="H244" s="6">
        <v>0.54605477211195208</v>
      </c>
      <c r="I244" s="6">
        <v>0.84362280508019538</v>
      </c>
      <c r="J244" s="6">
        <v>0.1823964508496938</v>
      </c>
      <c r="K244" s="6">
        <v>0.15735781384273634</v>
      </c>
      <c r="L244" s="6">
        <v>0.79891311232576523</v>
      </c>
      <c r="N244" s="8">
        <f>SQRT((C244-Sheet2!$C$525)^2+(D244-Sheet2!$D$525)^2+(E244-Sheet2!$E$525)^2+(F244-Sheet2!$F$525)^2+(G244-Sheet2!$G$525)^2+(H244-Sheet2!$H$525)^2+(I244-Sheet2!$I$525)^2+(J244-Sheet2!$J$525)^2+(K244-Sheet2!$K$525)^2+(L244-Sheet2!$L$525)^2)</f>
        <v>2.5881730152397933</v>
      </c>
      <c r="O244" s="8">
        <f>SQRT((C244-Sheet2!$C$526)^2+(D244-Sheet2!$D$526)^2+(E244-Sheet2!$E$526)^2+(F244-Sheet2!$F$526)^2+(G244-Sheet2!$G$526)^2+(H244-Sheet2!$H$526)^2+(I244-Sheet2!$I$526)^2+(J244-Sheet2!$J$526)^2+(K244-Sheet2!$K$526)^2+(L244-Sheet2!$L$526)^2)</f>
        <v>2.0692382569333492</v>
      </c>
      <c r="P244" s="12">
        <f t="shared" si="3"/>
        <v>1</v>
      </c>
      <c r="Q244" s="11">
        <f>IF(P244=Sheet1!$M244, 1, 0)</f>
        <v>0</v>
      </c>
    </row>
    <row r="245" spans="1:17" x14ac:dyDescent="0.35">
      <c r="A245" s="6" t="s">
        <v>253</v>
      </c>
      <c r="B245" s="6" t="s">
        <v>270</v>
      </c>
      <c r="C245" s="6">
        <v>-0.30506191159905743</v>
      </c>
      <c r="D245" s="6">
        <v>6.9593304869812064E-2</v>
      </c>
      <c r="E245" s="6">
        <v>0.39388917140802598</v>
      </c>
      <c r="F245" s="6">
        <v>0.54281112289522493</v>
      </c>
      <c r="G245" s="6">
        <v>0.82261936715848472</v>
      </c>
      <c r="H245" s="6">
        <v>0.74050179125957216</v>
      </c>
      <c r="I245" s="6">
        <v>0.9118348601846068</v>
      </c>
      <c r="J245" s="6">
        <v>0.77076495191030947</v>
      </c>
      <c r="K245" s="6">
        <v>0.19178563930338741</v>
      </c>
      <c r="L245" s="6">
        <v>0.13768501686359072</v>
      </c>
      <c r="N245" s="8">
        <f>SQRT((C245-Sheet2!$C$525)^2+(D245-Sheet2!$D$525)^2+(E245-Sheet2!$E$525)^2+(F245-Sheet2!$F$525)^2+(G245-Sheet2!$G$525)^2+(H245-Sheet2!$H$525)^2+(I245-Sheet2!$I$525)^2+(J245-Sheet2!$J$525)^2+(K245-Sheet2!$K$525)^2+(L245-Sheet2!$L$525)^2)</f>
        <v>2.4312581288327877</v>
      </c>
      <c r="O245" s="8">
        <f>SQRT((C245-Sheet2!$C$526)^2+(D245-Sheet2!$D$526)^2+(E245-Sheet2!$E$526)^2+(F245-Sheet2!$F$526)^2+(G245-Sheet2!$G$526)^2+(H245-Sheet2!$H$526)^2+(I245-Sheet2!$I$526)^2+(J245-Sheet2!$J$526)^2+(K245-Sheet2!$K$526)^2+(L245-Sheet2!$L$526)^2)</f>
        <v>2.2146383308327091</v>
      </c>
      <c r="P245" s="12">
        <f t="shared" si="3"/>
        <v>1</v>
      </c>
      <c r="Q245" s="11">
        <f>IF(P245=Sheet1!$M245, 1, 0)</f>
        <v>0</v>
      </c>
    </row>
    <row r="246" spans="1:17" x14ac:dyDescent="0.35">
      <c r="A246" s="6" t="s">
        <v>253</v>
      </c>
      <c r="B246" s="6" t="s">
        <v>271</v>
      </c>
      <c r="C246" s="6">
        <v>-5.6787885803487995E-2</v>
      </c>
      <c r="D246" s="6">
        <v>-0.40301544944339984</v>
      </c>
      <c r="E246" s="6">
        <v>0.68049814840424738</v>
      </c>
      <c r="F246" s="6">
        <v>0.31479292383349328</v>
      </c>
      <c r="G246" s="6">
        <v>0.56420709483052189</v>
      </c>
      <c r="H246" s="6">
        <v>0.2498058509729186</v>
      </c>
      <c r="I246" s="6">
        <v>0.88569753065861745</v>
      </c>
      <c r="J246" s="6">
        <v>-3.0175394694786566E-2</v>
      </c>
      <c r="K246" s="6">
        <v>-0.81757560715661526</v>
      </c>
      <c r="L246" s="6">
        <v>-6.9442346394103502E-2</v>
      </c>
      <c r="N246" s="8">
        <f>SQRT((C246-Sheet2!$C$525)^2+(D246-Sheet2!$D$525)^2+(E246-Sheet2!$E$525)^2+(F246-Sheet2!$F$525)^2+(G246-Sheet2!$G$525)^2+(H246-Sheet2!$H$525)^2+(I246-Sheet2!$I$525)^2+(J246-Sheet2!$J$525)^2+(K246-Sheet2!$K$525)^2+(L246-Sheet2!$L$525)^2)</f>
        <v>2.0905499812621682</v>
      </c>
      <c r="O246" s="8">
        <f>SQRT((C246-Sheet2!$C$526)^2+(D246-Sheet2!$D$526)^2+(E246-Sheet2!$E$526)^2+(F246-Sheet2!$F$526)^2+(G246-Sheet2!$G$526)^2+(H246-Sheet2!$H$526)^2+(I246-Sheet2!$I$526)^2+(J246-Sheet2!$J$526)^2+(K246-Sheet2!$K$526)^2+(L246-Sheet2!$L$526)^2)</f>
        <v>2.8254982098131047</v>
      </c>
      <c r="P246" s="12">
        <f t="shared" si="3"/>
        <v>0</v>
      </c>
      <c r="Q246" s="11">
        <f>IF(P246=Sheet1!$M246, 1, 0)</f>
        <v>1</v>
      </c>
    </row>
    <row r="247" spans="1:17" x14ac:dyDescent="0.35">
      <c r="A247" s="6" t="s">
        <v>253</v>
      </c>
      <c r="B247" s="6" t="s">
        <v>272</v>
      </c>
      <c r="C247" s="6">
        <v>-4.8735755237145136E-2</v>
      </c>
      <c r="D247" s="6">
        <v>-0.37846434532323298</v>
      </c>
      <c r="E247" s="6">
        <v>0.49114465974607541</v>
      </c>
      <c r="F247" s="6">
        <v>0.30092695226892807</v>
      </c>
      <c r="G247" s="6">
        <v>0.53517200805210074</v>
      </c>
      <c r="H247" s="6">
        <v>0.64031579247437176</v>
      </c>
      <c r="I247" s="6">
        <v>0.63516166471437552</v>
      </c>
      <c r="J247" s="6">
        <v>-2.6379468881492351E-2</v>
      </c>
      <c r="K247" s="6">
        <v>-0.26516549862889294</v>
      </c>
      <c r="L247" s="6">
        <v>-0.17952471998212227</v>
      </c>
      <c r="N247" s="8">
        <f>SQRT((C247-Sheet2!$C$525)^2+(D247-Sheet2!$D$525)^2+(E247-Sheet2!$E$525)^2+(F247-Sheet2!$F$525)^2+(G247-Sheet2!$G$525)^2+(H247-Sheet2!$H$525)^2+(I247-Sheet2!$I$525)^2+(J247-Sheet2!$J$525)^2+(K247-Sheet2!$K$525)^2+(L247-Sheet2!$L$525)^2)</f>
        <v>1.7937233586926653</v>
      </c>
      <c r="O247" s="8">
        <f>SQRT((C247-Sheet2!$C$526)^2+(D247-Sheet2!$D$526)^2+(E247-Sheet2!$E$526)^2+(F247-Sheet2!$F$526)^2+(G247-Sheet2!$G$526)^2+(H247-Sheet2!$H$526)^2+(I247-Sheet2!$I$526)^2+(J247-Sheet2!$J$526)^2+(K247-Sheet2!$K$526)^2+(L247-Sheet2!$L$526)^2)</f>
        <v>2.8759445777037258</v>
      </c>
      <c r="P247" s="12">
        <f t="shared" si="3"/>
        <v>0</v>
      </c>
      <c r="Q247" s="11">
        <f>IF(P247=Sheet1!$M247, 1, 0)</f>
        <v>1</v>
      </c>
    </row>
    <row r="248" spans="1:17" x14ac:dyDescent="0.35">
      <c r="A248" s="6" t="s">
        <v>253</v>
      </c>
      <c r="B248" s="6" t="s">
        <v>273</v>
      </c>
      <c r="C248" s="6">
        <v>-0.21648847536928667</v>
      </c>
      <c r="D248" s="6">
        <v>-4.7024439700981191E-2</v>
      </c>
      <c r="E248" s="6">
        <v>0.5556132599701612</v>
      </c>
      <c r="F248" s="6">
        <v>0.65065756839739541</v>
      </c>
      <c r="G248" s="6">
        <v>0.86907550600396422</v>
      </c>
      <c r="H248" s="6">
        <v>0.603150018731475</v>
      </c>
      <c r="I248" s="6">
        <v>0.94115966892108338</v>
      </c>
      <c r="J248" s="6">
        <v>-0.4553190857837478</v>
      </c>
      <c r="K248" s="6">
        <v>0.60178974251659834</v>
      </c>
      <c r="L248" s="6">
        <v>-0.17859067087872441</v>
      </c>
      <c r="N248" s="8">
        <f>SQRT((C248-Sheet2!$C$525)^2+(D248-Sheet2!$D$525)^2+(E248-Sheet2!$E$525)^2+(F248-Sheet2!$F$525)^2+(G248-Sheet2!$G$525)^2+(H248-Sheet2!$H$525)^2+(I248-Sheet2!$I$525)^2+(J248-Sheet2!$J$525)^2+(K248-Sheet2!$K$525)^2+(L248-Sheet2!$L$525)^2)</f>
        <v>2.2849637111430208</v>
      </c>
      <c r="O248" s="8">
        <f>SQRT((C248-Sheet2!$C$526)^2+(D248-Sheet2!$D$526)^2+(E248-Sheet2!$E$526)^2+(F248-Sheet2!$F$526)^2+(G248-Sheet2!$G$526)^2+(H248-Sheet2!$H$526)^2+(I248-Sheet2!$I$526)^2+(J248-Sheet2!$J$526)^2+(K248-Sheet2!$K$526)^2+(L248-Sheet2!$L$526)^2)</f>
        <v>2.9443581460716102</v>
      </c>
      <c r="P248" s="12">
        <f t="shared" si="3"/>
        <v>0</v>
      </c>
      <c r="Q248" s="11">
        <f>IF(P248=Sheet1!$M248, 1, 0)</f>
        <v>1</v>
      </c>
    </row>
    <row r="249" spans="1:17" x14ac:dyDescent="0.35">
      <c r="A249" s="6" t="s">
        <v>253</v>
      </c>
      <c r="B249" s="6" t="s">
        <v>274</v>
      </c>
      <c r="C249" s="6">
        <v>0.4424442093097653</v>
      </c>
      <c r="D249" s="6">
        <v>-0.72217980300556894</v>
      </c>
      <c r="E249" s="6">
        <v>0.41783465149125787</v>
      </c>
      <c r="F249" s="6">
        <v>0.17151121766632563</v>
      </c>
      <c r="G249" s="6">
        <v>0.79939129773574702</v>
      </c>
      <c r="H249" s="6">
        <v>0.1156858848572466</v>
      </c>
      <c r="I249" s="6">
        <v>0.9424346606052777</v>
      </c>
      <c r="J249" s="6">
        <v>-0.30727797906527027</v>
      </c>
      <c r="K249" s="6">
        <v>0.53449899275259716</v>
      </c>
      <c r="L249" s="6">
        <v>-0.17009843400343092</v>
      </c>
      <c r="N249" s="8">
        <f>SQRT((C249-Sheet2!$C$525)^2+(D249-Sheet2!$D$525)^2+(E249-Sheet2!$E$525)^2+(F249-Sheet2!$F$525)^2+(G249-Sheet2!$G$525)^2+(H249-Sheet2!$H$525)^2+(I249-Sheet2!$I$525)^2+(J249-Sheet2!$J$525)^2+(K249-Sheet2!$K$525)^2+(L249-Sheet2!$L$525)^2)</f>
        <v>1.887378367270776</v>
      </c>
      <c r="O249" s="8">
        <f>SQRT((C249-Sheet2!$C$526)^2+(D249-Sheet2!$D$526)^2+(E249-Sheet2!$E$526)^2+(F249-Sheet2!$F$526)^2+(G249-Sheet2!$G$526)^2+(H249-Sheet2!$H$526)^2+(I249-Sheet2!$I$526)^2+(J249-Sheet2!$J$526)^2+(K249-Sheet2!$K$526)^2+(L249-Sheet2!$L$526)^2)</f>
        <v>3.6320184097675456</v>
      </c>
      <c r="P249" s="12">
        <f t="shared" si="3"/>
        <v>0</v>
      </c>
      <c r="Q249" s="11">
        <f>IF(P249=Sheet1!$M249, 1, 0)</f>
        <v>1</v>
      </c>
    </row>
    <row r="250" spans="1:17" x14ac:dyDescent="0.35">
      <c r="A250" s="6" t="s">
        <v>253</v>
      </c>
      <c r="B250" s="6" t="s">
        <v>275</v>
      </c>
      <c r="C250" s="6">
        <v>0.13377920426662479</v>
      </c>
      <c r="D250" s="6">
        <v>-0.6485264906450684</v>
      </c>
      <c r="E250" s="6">
        <v>-3.8234646093989029E-2</v>
      </c>
      <c r="F250" s="6">
        <v>-5.1884990873884256E-2</v>
      </c>
      <c r="G250" s="6">
        <v>0.59904919896463049</v>
      </c>
      <c r="H250" s="6">
        <v>0.74104042566164263</v>
      </c>
      <c r="I250" s="6">
        <v>0.77158577492319913</v>
      </c>
      <c r="J250" s="6">
        <v>-9.0910207707495333E-2</v>
      </c>
      <c r="K250" s="6">
        <v>0.37174927239315614</v>
      </c>
      <c r="L250" s="6">
        <v>0.91677793991597745</v>
      </c>
      <c r="N250" s="8">
        <f>SQRT((C250-Sheet2!$C$525)^2+(D250-Sheet2!$D$525)^2+(E250-Sheet2!$E$525)^2+(F250-Sheet2!$F$525)^2+(G250-Sheet2!$G$525)^2+(H250-Sheet2!$H$525)^2+(I250-Sheet2!$I$525)^2+(J250-Sheet2!$J$525)^2+(K250-Sheet2!$K$525)^2+(L250-Sheet2!$L$525)^2)</f>
        <v>1.9881080448351793</v>
      </c>
      <c r="O250" s="8">
        <f>SQRT((C250-Sheet2!$C$526)^2+(D250-Sheet2!$D$526)^2+(E250-Sheet2!$E$526)^2+(F250-Sheet2!$F$526)^2+(G250-Sheet2!$G$526)^2+(H250-Sheet2!$H$526)^2+(I250-Sheet2!$I$526)^2+(J250-Sheet2!$J$526)^2+(K250-Sheet2!$K$526)^2+(L250-Sheet2!$L$526)^2)</f>
        <v>3.435867639649457</v>
      </c>
      <c r="P250" s="12">
        <f t="shared" si="3"/>
        <v>0</v>
      </c>
      <c r="Q250" s="11">
        <f>IF(P250=Sheet1!$M250, 1, 0)</f>
        <v>1</v>
      </c>
    </row>
    <row r="251" spans="1:17" x14ac:dyDescent="0.35">
      <c r="A251" s="6" t="s">
        <v>253</v>
      </c>
      <c r="B251" s="6" t="s">
        <v>276</v>
      </c>
      <c r="C251" s="6">
        <v>0.54175381962799285</v>
      </c>
      <c r="D251" s="6">
        <v>-0.77128201124590268</v>
      </c>
      <c r="E251" s="6">
        <v>2.0339682109608917E-2</v>
      </c>
      <c r="F251" s="6">
        <v>-0.15665010936170767</v>
      </c>
      <c r="G251" s="6">
        <v>0.5525930601191551</v>
      </c>
      <c r="H251" s="6">
        <v>0.3553781937788284</v>
      </c>
      <c r="I251" s="6">
        <v>0.71803612418702611</v>
      </c>
      <c r="J251" s="6">
        <v>-0.14405316909361568</v>
      </c>
      <c r="K251" s="6">
        <v>0.67377519575250444</v>
      </c>
      <c r="L251" s="6">
        <v>0.46012107834554333</v>
      </c>
      <c r="N251" s="8">
        <f>SQRT((C251-Sheet2!$C$525)^2+(D251-Sheet2!$D$525)^2+(E251-Sheet2!$E$525)^2+(F251-Sheet2!$F$525)^2+(G251-Sheet2!$G$525)^2+(H251-Sheet2!$H$525)^2+(I251-Sheet2!$I$525)^2+(J251-Sheet2!$J$525)^2+(K251-Sheet2!$K$525)^2+(L251-Sheet2!$L$525)^2)</f>
        <v>1.6954575493931374</v>
      </c>
      <c r="O251" s="8">
        <f>SQRT((C251-Sheet2!$C$526)^2+(D251-Sheet2!$D$526)^2+(E251-Sheet2!$E$526)^2+(F251-Sheet2!$F$526)^2+(G251-Sheet2!$G$526)^2+(H251-Sheet2!$H$526)^2+(I251-Sheet2!$I$526)^2+(J251-Sheet2!$J$526)^2+(K251-Sheet2!$K$526)^2+(L251-Sheet2!$L$526)^2)</f>
        <v>3.8041559929493509</v>
      </c>
      <c r="P251" s="12">
        <f t="shared" si="3"/>
        <v>0</v>
      </c>
      <c r="Q251" s="11">
        <f>IF(P251=Sheet1!$M251, 1, 0)</f>
        <v>1</v>
      </c>
    </row>
    <row r="252" spans="1:17" x14ac:dyDescent="0.35">
      <c r="A252" s="6" t="s">
        <v>253</v>
      </c>
      <c r="B252" s="6" t="s">
        <v>277</v>
      </c>
      <c r="C252" s="6">
        <v>0.21295848816899557</v>
      </c>
      <c r="D252" s="6">
        <v>-0.24343327266231607</v>
      </c>
      <c r="E252" s="6">
        <v>0.43662264355656288</v>
      </c>
      <c r="F252" s="6">
        <v>0.49196922715848784</v>
      </c>
      <c r="G252" s="6">
        <v>0.82261936715848472</v>
      </c>
      <c r="H252" s="6">
        <v>0.67317249100070098</v>
      </c>
      <c r="I252" s="6">
        <v>-0.20123288011729001</v>
      </c>
      <c r="J252" s="6">
        <v>-6.0542801201140951E-2</v>
      </c>
      <c r="K252" s="6">
        <v>0.19648034277529458</v>
      </c>
      <c r="L252" s="6">
        <v>0.12395897493554346</v>
      </c>
      <c r="N252" s="8">
        <f>SQRT((C252-Sheet2!$C$525)^2+(D252-Sheet2!$D$525)^2+(E252-Sheet2!$E$525)^2+(F252-Sheet2!$F$525)^2+(G252-Sheet2!$G$525)^2+(H252-Sheet2!$H$525)^2+(I252-Sheet2!$I$525)^2+(J252-Sheet2!$J$525)^2+(K252-Sheet2!$K$525)^2+(L252-Sheet2!$L$525)^2)</f>
        <v>1.7846884385617834</v>
      </c>
      <c r="O252" s="8">
        <f>SQRT((C252-Sheet2!$C$526)^2+(D252-Sheet2!$D$526)^2+(E252-Sheet2!$E$526)^2+(F252-Sheet2!$F$526)^2+(G252-Sheet2!$G$526)^2+(H252-Sheet2!$H$526)^2+(I252-Sheet2!$I$526)^2+(J252-Sheet2!$J$526)^2+(K252-Sheet2!$K$526)^2+(L252-Sheet2!$L$526)^2)</f>
        <v>2.9786741483562835</v>
      </c>
      <c r="P252" s="12">
        <f t="shared" si="3"/>
        <v>0</v>
      </c>
      <c r="Q252" s="11">
        <f>IF(P252=Sheet1!$M252, 1, 0)</f>
        <v>1</v>
      </c>
    </row>
    <row r="253" spans="1:17" x14ac:dyDescent="0.35">
      <c r="A253" s="6" t="s">
        <v>253</v>
      </c>
      <c r="B253" s="6" t="s">
        <v>278</v>
      </c>
      <c r="C253" s="6">
        <v>1.9707354576768584E-2</v>
      </c>
      <c r="D253" s="6">
        <v>0.68950868390402453</v>
      </c>
      <c r="E253" s="6">
        <v>1.0886764858230307</v>
      </c>
      <c r="F253" s="6">
        <v>1.0127134925832513</v>
      </c>
      <c r="G253" s="6">
        <v>0.87488252335964767</v>
      </c>
      <c r="H253" s="6">
        <v>0.77335848978590138</v>
      </c>
      <c r="I253" s="6">
        <v>0.24565170519292129</v>
      </c>
      <c r="J253" s="6">
        <v>1.1161942009200903</v>
      </c>
      <c r="K253" s="6">
        <v>-5.3919065167046297E-3</v>
      </c>
      <c r="L253" s="6">
        <v>1.6581159889102921</v>
      </c>
      <c r="N253" s="8">
        <f>SQRT((C253-Sheet2!$C$525)^2+(D253-Sheet2!$D$525)^2+(E253-Sheet2!$E$525)^2+(F253-Sheet2!$F$525)^2+(G253-Sheet2!$G$525)^2+(H253-Sheet2!$H$525)^2+(I253-Sheet2!$I$525)^2+(J253-Sheet2!$J$525)^2+(K253-Sheet2!$K$525)^2+(L253-Sheet2!$L$525)^2)</f>
        <v>3.5134455671281657</v>
      </c>
      <c r="O253" s="8">
        <f>SQRT((C253-Sheet2!$C$526)^2+(D253-Sheet2!$D$526)^2+(E253-Sheet2!$E$526)^2+(F253-Sheet2!$F$526)^2+(G253-Sheet2!$G$526)^2+(H253-Sheet2!$H$526)^2+(I253-Sheet2!$I$526)^2+(J253-Sheet2!$J$526)^2+(K253-Sheet2!$K$526)^2+(L253-Sheet2!$L$526)^2)</f>
        <v>1.6675872828205569</v>
      </c>
      <c r="P253" s="12">
        <f t="shared" si="3"/>
        <v>1</v>
      </c>
      <c r="Q253" s="11">
        <f>IF(P253=Sheet1!$M253, 1, 0)</f>
        <v>0</v>
      </c>
    </row>
    <row r="254" spans="1:17" x14ac:dyDescent="0.35">
      <c r="A254" s="6" t="s">
        <v>253</v>
      </c>
      <c r="B254" s="6" t="s">
        <v>279</v>
      </c>
      <c r="C254" s="6">
        <v>1.2476572659440446</v>
      </c>
      <c r="D254" s="6">
        <v>-1.5200906869109911</v>
      </c>
      <c r="E254" s="6">
        <v>-0.60850546407618789</v>
      </c>
      <c r="F254" s="6">
        <v>-0.85765200512581274</v>
      </c>
      <c r="G254" s="6">
        <v>0.16352289728828898</v>
      </c>
      <c r="H254" s="6">
        <v>-2.0340040138079942</v>
      </c>
      <c r="I254" s="6">
        <v>0.78114821255465916</v>
      </c>
      <c r="J254" s="6">
        <v>1.1427656816131504</v>
      </c>
      <c r="K254" s="6">
        <v>-0.12588929562898557</v>
      </c>
      <c r="L254" s="6">
        <v>-0.10053216933804988</v>
      </c>
      <c r="N254" s="8">
        <f>SQRT((C254-Sheet2!$C$525)^2+(D254-Sheet2!$D$525)^2+(E254-Sheet2!$E$525)^2+(F254-Sheet2!$F$525)^2+(G254-Sheet2!$G$525)^2+(H254-Sheet2!$H$525)^2+(I254-Sheet2!$I$525)^2+(J254-Sheet2!$J$525)^2+(K254-Sheet2!$K$525)^2+(L254-Sheet2!$L$525)^2)</f>
        <v>3.0903772210960279</v>
      </c>
      <c r="O254" s="8">
        <f>SQRT((C254-Sheet2!$C$526)^2+(D254-Sheet2!$D$526)^2+(E254-Sheet2!$E$526)^2+(F254-Sheet2!$F$526)^2+(G254-Sheet2!$G$526)^2+(H254-Sheet2!$H$526)^2+(I254-Sheet2!$I$526)^2+(J254-Sheet2!$J$526)^2+(K254-Sheet2!$K$526)^2+(L254-Sheet2!$L$526)^2)</f>
        <v>5.5848907258290827</v>
      </c>
      <c r="P254" s="12">
        <f t="shared" si="3"/>
        <v>0</v>
      </c>
      <c r="Q254" s="11">
        <f>IF(P254=Sheet1!$M254, 1, 0)</f>
        <v>0</v>
      </c>
    </row>
    <row r="255" spans="1:17" x14ac:dyDescent="0.35">
      <c r="A255" s="6" t="s">
        <v>253</v>
      </c>
      <c r="B255" s="6" t="s">
        <v>280</v>
      </c>
      <c r="C255" s="6">
        <v>1.5415600316155569</v>
      </c>
      <c r="D255" s="6">
        <v>-2.1952460502155788</v>
      </c>
      <c r="E255" s="6">
        <v>-0.56540359992637057</v>
      </c>
      <c r="F255" s="6">
        <v>-1.097995512244935</v>
      </c>
      <c r="G255" s="6">
        <v>-0.46073146844780222</v>
      </c>
      <c r="H255" s="6">
        <v>-5.2906682990966757E-2</v>
      </c>
      <c r="I255" s="6">
        <v>0.26796405966632758</v>
      </c>
      <c r="J255" s="6">
        <v>-0.61095204412881376</v>
      </c>
      <c r="K255" s="6">
        <v>0.11354058143827095</v>
      </c>
      <c r="L255" s="6">
        <v>-0.16673199583183601</v>
      </c>
      <c r="N255" s="8">
        <f>SQRT((C255-Sheet2!$C$525)^2+(D255-Sheet2!$D$525)^2+(E255-Sheet2!$E$525)^2+(F255-Sheet2!$F$525)^2+(G255-Sheet2!$G$525)^2+(H255-Sheet2!$H$525)^2+(I255-Sheet2!$I$525)^2+(J255-Sheet2!$J$525)^2+(K255-Sheet2!$K$525)^2+(L255-Sheet2!$L$525)^2)</f>
        <v>2.5487466611734737</v>
      </c>
      <c r="O255" s="8">
        <f>SQRT((C255-Sheet2!$C$526)^2+(D255-Sheet2!$D$526)^2+(E255-Sheet2!$E$526)^2+(F255-Sheet2!$F$526)^2+(G255-Sheet2!$G$526)^2+(H255-Sheet2!$H$526)^2+(I255-Sheet2!$I$526)^2+(J255-Sheet2!$J$526)^2+(K255-Sheet2!$K$526)^2+(L255-Sheet2!$L$526)^2)</f>
        <v>5.9744532874522154</v>
      </c>
      <c r="P255" s="12">
        <f t="shared" si="3"/>
        <v>0</v>
      </c>
      <c r="Q255" s="11">
        <f>IF(P255=Sheet1!$M255, 1, 0)</f>
        <v>0</v>
      </c>
    </row>
    <row r="256" spans="1:17" x14ac:dyDescent="0.35">
      <c r="A256" s="6" t="s">
        <v>253</v>
      </c>
      <c r="B256" s="6" t="s">
        <v>281</v>
      </c>
      <c r="C256" s="6">
        <v>0.40620962176122277</v>
      </c>
      <c r="D256" s="6">
        <v>-1.0658952606879044</v>
      </c>
      <c r="E256" s="6">
        <v>-0.56024611190844364</v>
      </c>
      <c r="F256" s="6">
        <v>-0.54335664966234465</v>
      </c>
      <c r="G256" s="6">
        <v>-0.57687181556149081</v>
      </c>
      <c r="H256" s="6">
        <v>-0.34215335690307785</v>
      </c>
      <c r="I256" s="6">
        <v>0.25585163866647886</v>
      </c>
      <c r="J256" s="6">
        <v>-0.74380944759411416</v>
      </c>
      <c r="K256" s="6">
        <v>-0.56093181735903319</v>
      </c>
      <c r="L256" s="6">
        <v>-0.21872573824953981</v>
      </c>
      <c r="N256" s="8">
        <f>SQRT((C256-Sheet2!$C$525)^2+(D256-Sheet2!$D$525)^2+(E256-Sheet2!$E$525)^2+(F256-Sheet2!$F$525)^2+(G256-Sheet2!$G$525)^2+(H256-Sheet2!$H$525)^2+(I256-Sheet2!$I$525)^2+(J256-Sheet2!$J$525)^2+(K256-Sheet2!$K$525)^2+(L256-Sheet2!$L$525)^2)</f>
        <v>1.3403279405299791</v>
      </c>
      <c r="O256" s="8">
        <f>SQRT((C256-Sheet2!$C$526)^2+(D256-Sheet2!$D$526)^2+(E256-Sheet2!$E$526)^2+(F256-Sheet2!$F$526)^2+(G256-Sheet2!$G$526)^2+(H256-Sheet2!$H$526)^2+(I256-Sheet2!$I$526)^2+(J256-Sheet2!$J$526)^2+(K256-Sheet2!$K$526)^2+(L256-Sheet2!$L$526)^2)</f>
        <v>4.8501760141042416</v>
      </c>
      <c r="P256" s="12">
        <f t="shared" si="3"/>
        <v>0</v>
      </c>
      <c r="Q256" s="11">
        <f>IF(P256=Sheet1!$M256, 1, 0)</f>
        <v>1</v>
      </c>
    </row>
    <row r="257" spans="1:17" x14ac:dyDescent="0.35">
      <c r="A257" s="6" t="s">
        <v>253</v>
      </c>
      <c r="B257" s="6" t="s">
        <v>282</v>
      </c>
      <c r="C257" s="6">
        <v>1.1054029592719887</v>
      </c>
      <c r="D257" s="6">
        <v>-1.5446417910311578</v>
      </c>
      <c r="E257" s="6">
        <v>-0.48804127965746763</v>
      </c>
      <c r="F257" s="6">
        <v>-0.44475418520321763</v>
      </c>
      <c r="G257" s="6">
        <v>0.5525930601191551</v>
      </c>
      <c r="H257" s="6">
        <v>-0.62170461157791113</v>
      </c>
      <c r="I257" s="6">
        <v>0.83852283834341712</v>
      </c>
      <c r="J257" s="6">
        <v>-1.0436875868443634</v>
      </c>
      <c r="K257" s="6">
        <v>0.96484681101073766</v>
      </c>
      <c r="L257" s="6">
        <v>4.5912070129967716E-2</v>
      </c>
      <c r="N257" s="8">
        <f>SQRT((C257-Sheet2!$C$525)^2+(D257-Sheet2!$D$525)^2+(E257-Sheet2!$E$525)^2+(F257-Sheet2!$F$525)^2+(G257-Sheet2!$G$525)^2+(H257-Sheet2!$H$525)^2+(I257-Sheet2!$I$525)^2+(J257-Sheet2!$J$525)^2+(K257-Sheet2!$K$525)^2+(L257-Sheet2!$L$525)^2)</f>
        <v>2.3650189074949264</v>
      </c>
      <c r="O257" s="8">
        <f>SQRT((C257-Sheet2!$C$526)^2+(D257-Sheet2!$D$526)^2+(E257-Sheet2!$E$526)^2+(F257-Sheet2!$F$526)^2+(G257-Sheet2!$G$526)^2+(H257-Sheet2!$H$526)^2+(I257-Sheet2!$I$526)^2+(J257-Sheet2!$J$526)^2+(K257-Sheet2!$K$526)^2+(L257-Sheet2!$L$526)^2)</f>
        <v>5.3915380229389189</v>
      </c>
      <c r="P257" s="12">
        <f t="shared" si="3"/>
        <v>0</v>
      </c>
      <c r="Q257" s="11">
        <f>IF(P257=Sheet1!$M257, 1, 0)</f>
        <v>0</v>
      </c>
    </row>
    <row r="258" spans="1:17" x14ac:dyDescent="0.35">
      <c r="A258" s="6" t="s">
        <v>253</v>
      </c>
      <c r="B258" s="6" t="s">
        <v>283</v>
      </c>
      <c r="C258" s="6">
        <v>-0.60701680783691214</v>
      </c>
      <c r="D258" s="6">
        <v>1.0516374696764854</v>
      </c>
      <c r="E258" s="6">
        <v>0.7493874526436991</v>
      </c>
      <c r="F258" s="6">
        <v>1.3362528290897606</v>
      </c>
      <c r="G258" s="6">
        <v>1.2726632122240409</v>
      </c>
      <c r="H258" s="6">
        <v>0.99904630425363761</v>
      </c>
      <c r="I258" s="6">
        <v>0.88059756392183908</v>
      </c>
      <c r="J258" s="6">
        <v>0.49745829335312031</v>
      </c>
      <c r="K258" s="6">
        <v>-0.33089134723559105</v>
      </c>
      <c r="L258" s="6">
        <v>1.3481782616672624</v>
      </c>
      <c r="N258" s="8">
        <f>SQRT((C258-Sheet2!$C$525)^2+(D258-Sheet2!$D$525)^2+(E258-Sheet2!$E$525)^2+(F258-Sheet2!$F$525)^2+(G258-Sheet2!$G$525)^2+(H258-Sheet2!$H$525)^2+(I258-Sheet2!$I$525)^2+(J258-Sheet2!$J$525)^2+(K258-Sheet2!$K$525)^2+(L258-Sheet2!$L$525)^2)</f>
        <v>3.7663321515492831</v>
      </c>
      <c r="O258" s="8">
        <f>SQRT((C258-Sheet2!$C$526)^2+(D258-Sheet2!$D$526)^2+(E258-Sheet2!$E$526)^2+(F258-Sheet2!$F$526)^2+(G258-Sheet2!$G$526)^2+(H258-Sheet2!$H$526)^2+(I258-Sheet2!$I$526)^2+(J258-Sheet2!$J$526)^2+(K258-Sheet2!$K$526)^2+(L258-Sheet2!$L$526)^2)</f>
        <v>1.2673382412157843</v>
      </c>
      <c r="P258" s="12">
        <f t="shared" si="3"/>
        <v>1</v>
      </c>
      <c r="Q258" s="11">
        <f>IF(P258=Sheet1!$M258, 1, 0)</f>
        <v>0</v>
      </c>
    </row>
    <row r="259" spans="1:17" x14ac:dyDescent="0.35">
      <c r="A259" s="6" t="s">
        <v>253</v>
      </c>
      <c r="B259" s="6" t="s">
        <v>284</v>
      </c>
      <c r="C259" s="6">
        <v>-0.58822850318211239</v>
      </c>
      <c r="D259" s="6">
        <v>1.1743929902773191</v>
      </c>
      <c r="E259" s="6">
        <v>1.2861345985093733</v>
      </c>
      <c r="F259" s="6">
        <v>1.3947980423623687</v>
      </c>
      <c r="G259" s="6">
        <v>1.220400056022878</v>
      </c>
      <c r="H259" s="6">
        <v>1.0539870132648763</v>
      </c>
      <c r="I259" s="6">
        <v>0.7613858414496425</v>
      </c>
      <c r="J259" s="6">
        <v>0.58856051287218347</v>
      </c>
      <c r="K259" s="6">
        <v>7.7547854820316758E-2</v>
      </c>
      <c r="L259" s="6">
        <v>-0.35604077710757687</v>
      </c>
      <c r="N259" s="8">
        <f>SQRT((C259-Sheet2!$C$525)^2+(D259-Sheet2!$D$525)^2+(E259-Sheet2!$E$525)^2+(F259-Sheet2!$F$525)^2+(G259-Sheet2!$G$525)^2+(H259-Sheet2!$H$525)^2+(I259-Sheet2!$I$525)^2+(J259-Sheet2!$J$525)^2+(K259-Sheet2!$K$525)^2+(L259-Sheet2!$L$525)^2)</f>
        <v>3.6793211903169363</v>
      </c>
      <c r="O259" s="8">
        <f>SQRT((C259-Sheet2!$C$526)^2+(D259-Sheet2!$D$526)^2+(E259-Sheet2!$E$526)^2+(F259-Sheet2!$F$526)^2+(G259-Sheet2!$G$526)^2+(H259-Sheet2!$H$526)^2+(I259-Sheet2!$I$526)^2+(J259-Sheet2!$J$526)^2+(K259-Sheet2!$K$526)^2+(L259-Sheet2!$L$526)^2)</f>
        <v>1.5067750767608261</v>
      </c>
      <c r="P259" s="12">
        <f t="shared" ref="P259:P322" si="4">IF(N259&lt;=O259, 0, 1)</f>
        <v>1</v>
      </c>
      <c r="Q259" s="11">
        <f>IF(P259=Sheet1!$M259, 1, 0)</f>
        <v>0</v>
      </c>
    </row>
    <row r="260" spans="1:17" x14ac:dyDescent="0.35">
      <c r="A260" s="6" t="s">
        <v>253</v>
      </c>
      <c r="B260" s="6" t="s">
        <v>285</v>
      </c>
      <c r="C260" s="6">
        <v>-1.0270696190477946</v>
      </c>
      <c r="D260" s="6">
        <v>1.2112196464575697</v>
      </c>
      <c r="E260" s="6">
        <v>2.3349466261549292</v>
      </c>
      <c r="F260" s="6">
        <v>1.8662410755575696</v>
      </c>
      <c r="G260" s="6">
        <v>1.0752246221307642</v>
      </c>
      <c r="H260" s="6">
        <v>0.53205027765810653</v>
      </c>
      <c r="I260" s="6">
        <v>0.94307215644737541</v>
      </c>
      <c r="J260" s="6">
        <v>1.742521960113649</v>
      </c>
      <c r="K260" s="6">
        <v>-0.29333371946033371</v>
      </c>
      <c r="L260" s="6">
        <v>0.65496739465853504</v>
      </c>
      <c r="N260" s="8">
        <f>SQRT((C260-Sheet2!$C$525)^2+(D260-Sheet2!$D$525)^2+(E260-Sheet2!$E$525)^2+(F260-Sheet2!$F$525)^2+(G260-Sheet2!$G$525)^2+(H260-Sheet2!$H$525)^2+(I260-Sheet2!$I$525)^2+(J260-Sheet2!$J$525)^2+(K260-Sheet2!$K$525)^2+(L260-Sheet2!$L$525)^2)</f>
        <v>4.8901362193339128</v>
      </c>
      <c r="O260" s="8">
        <f>SQRT((C260-Sheet2!$C$526)^2+(D260-Sheet2!$D$526)^2+(E260-Sheet2!$E$526)^2+(F260-Sheet2!$F$526)^2+(G260-Sheet2!$G$526)^2+(H260-Sheet2!$H$526)^2+(I260-Sheet2!$I$526)^2+(J260-Sheet2!$J$526)^2+(K260-Sheet2!$K$526)^2+(L260-Sheet2!$L$526)^2)</f>
        <v>1.3036437658006146</v>
      </c>
      <c r="P260" s="12">
        <f t="shared" si="4"/>
        <v>1</v>
      </c>
      <c r="Q260" s="11">
        <f>IF(P260=Sheet1!$M260, 1, 0)</f>
        <v>0</v>
      </c>
    </row>
    <row r="261" spans="1:17" x14ac:dyDescent="0.35">
      <c r="A261" s="6" t="s">
        <v>253</v>
      </c>
      <c r="B261" s="6" t="s">
        <v>286</v>
      </c>
      <c r="C261" s="6">
        <v>-0.64861948242968326</v>
      </c>
      <c r="D261" s="6">
        <v>0.31510434607147958</v>
      </c>
      <c r="E261" s="6">
        <v>0.7073907644977232</v>
      </c>
      <c r="F261" s="6">
        <v>0.57516505654587502</v>
      </c>
      <c r="G261" s="6">
        <v>0.20126851010023725</v>
      </c>
      <c r="H261" s="6">
        <v>0.67694293181519738</v>
      </c>
      <c r="I261" s="6">
        <v>0.92585976871074749</v>
      </c>
      <c r="J261" s="6">
        <v>0.56578495799241746</v>
      </c>
      <c r="K261" s="6">
        <v>3.8425325887758537E-2</v>
      </c>
      <c r="L261" s="6">
        <v>-0.28423358442572877</v>
      </c>
      <c r="N261" s="8">
        <f>SQRT((C261-Sheet2!$C$525)^2+(D261-Sheet2!$D$525)^2+(E261-Sheet2!$E$525)^2+(F261-Sheet2!$F$525)^2+(G261-Sheet2!$G$525)^2+(H261-Sheet2!$H$525)^2+(I261-Sheet2!$I$525)^2+(J261-Sheet2!$J$525)^2+(K261-Sheet2!$K$525)^2+(L261-Sheet2!$L$525)^2)</f>
        <v>2.3995692174590975</v>
      </c>
      <c r="O261" s="8">
        <f>SQRT((C261-Sheet2!$C$526)^2+(D261-Sheet2!$D$526)^2+(E261-Sheet2!$E$526)^2+(F261-Sheet2!$F$526)^2+(G261-Sheet2!$G$526)^2+(H261-Sheet2!$H$526)^2+(I261-Sheet2!$I$526)^2+(J261-Sheet2!$J$526)^2+(K261-Sheet2!$K$526)^2+(L261-Sheet2!$L$526)^2)</f>
        <v>2.1905097669496705</v>
      </c>
      <c r="P261" s="12">
        <f t="shared" si="4"/>
        <v>1</v>
      </c>
      <c r="Q261" s="11">
        <f>IF(P261=Sheet1!$M261, 1, 0)</f>
        <v>0</v>
      </c>
    </row>
    <row r="262" spans="1:17" x14ac:dyDescent="0.35">
      <c r="A262" s="6" t="s">
        <v>253</v>
      </c>
      <c r="B262" s="6" t="s">
        <v>287</v>
      </c>
      <c r="C262" s="6">
        <v>-0.72377270104888269</v>
      </c>
      <c r="D262" s="6">
        <v>0.54833983521306495</v>
      </c>
      <c r="E262" s="6">
        <v>1.1159374939177868</v>
      </c>
      <c r="F262" s="6">
        <v>0.87713510395195238</v>
      </c>
      <c r="G262" s="6">
        <v>0.56420709483052189</v>
      </c>
      <c r="H262" s="6">
        <v>0.80244474749773331</v>
      </c>
      <c r="I262" s="6">
        <v>0.92522227286865066</v>
      </c>
      <c r="J262" s="6">
        <v>0.44431533196700029</v>
      </c>
      <c r="K262" s="6">
        <v>0.34358105156171315</v>
      </c>
      <c r="L262" s="6">
        <v>-0.33535443745829446</v>
      </c>
      <c r="N262" s="8">
        <f>SQRT((C262-Sheet2!$C$525)^2+(D262-Sheet2!$D$525)^2+(E262-Sheet2!$E$525)^2+(F262-Sheet2!$F$525)^2+(G262-Sheet2!$G$525)^2+(H262-Sheet2!$H$525)^2+(I262-Sheet2!$I$525)^2+(J262-Sheet2!$J$525)^2+(K262-Sheet2!$K$525)^2+(L262-Sheet2!$L$525)^2)</f>
        <v>2.8975144726640578</v>
      </c>
      <c r="O262" s="8">
        <f>SQRT((C262-Sheet2!$C$526)^2+(D262-Sheet2!$D$526)^2+(E262-Sheet2!$E$526)^2+(F262-Sheet2!$F$526)^2+(G262-Sheet2!$G$526)^2+(H262-Sheet2!$H$526)^2+(I262-Sheet2!$I$526)^2+(J262-Sheet2!$J$526)^2+(K262-Sheet2!$K$526)^2+(L262-Sheet2!$L$526)^2)</f>
        <v>1.9634777327701898</v>
      </c>
      <c r="P262" s="12">
        <f t="shared" si="4"/>
        <v>1</v>
      </c>
      <c r="Q262" s="11">
        <f>IF(P262=Sheet1!$M262, 1, 0)</f>
        <v>0</v>
      </c>
    </row>
    <row r="263" spans="1:17" x14ac:dyDescent="0.35">
      <c r="A263" s="6" t="s">
        <v>253</v>
      </c>
      <c r="B263" s="6" t="s">
        <v>288</v>
      </c>
      <c r="C263" s="6">
        <v>-0.7895317673406822</v>
      </c>
      <c r="D263" s="6">
        <v>1.2480463026378201</v>
      </c>
      <c r="E263" s="6">
        <v>1.2102458462455923</v>
      </c>
      <c r="F263" s="6">
        <v>1.310061549467807</v>
      </c>
      <c r="G263" s="6">
        <v>1.0839351481642914</v>
      </c>
      <c r="H263" s="6">
        <v>0.98504180979979217</v>
      </c>
      <c r="I263" s="6">
        <v>0.92394728118445546</v>
      </c>
      <c r="J263" s="6">
        <v>0.68725458401783501</v>
      </c>
      <c r="K263" s="6">
        <v>-0.37157877732545014</v>
      </c>
      <c r="L263" s="6">
        <v>-0.35495594955287663</v>
      </c>
      <c r="N263" s="8">
        <f>SQRT((C263-Sheet2!$C$525)^2+(D263-Sheet2!$D$525)^2+(E263-Sheet2!$E$525)^2+(F263-Sheet2!$F$525)^2+(G263-Sheet2!$G$525)^2+(H263-Sheet2!$H$525)^2+(I263-Sheet2!$I$525)^2+(J263-Sheet2!$J$525)^2+(K263-Sheet2!$K$525)^2+(L263-Sheet2!$L$525)^2)</f>
        <v>3.7164571023062396</v>
      </c>
      <c r="O263" s="8">
        <f>SQRT((C263-Sheet2!$C$526)^2+(D263-Sheet2!$D$526)^2+(E263-Sheet2!$E$526)^2+(F263-Sheet2!$F$526)^2+(G263-Sheet2!$G$526)^2+(H263-Sheet2!$H$526)^2+(I263-Sheet2!$I$526)^2+(J263-Sheet2!$J$526)^2+(K263-Sheet2!$K$526)^2+(L263-Sheet2!$L$526)^2)</f>
        <v>1.2929682456243343</v>
      </c>
      <c r="P263" s="12">
        <f t="shared" si="4"/>
        <v>1</v>
      </c>
      <c r="Q263" s="11">
        <f>IF(P263=Sheet1!$M263, 1, 0)</f>
        <v>0</v>
      </c>
    </row>
    <row r="264" spans="1:17" x14ac:dyDescent="0.35">
      <c r="A264" s="6" t="s">
        <v>253</v>
      </c>
      <c r="B264" s="6" t="s">
        <v>289</v>
      </c>
      <c r="C264" s="6">
        <v>-0.96399459627810935</v>
      </c>
      <c r="D264" s="6">
        <v>1.8004461453415732</v>
      </c>
      <c r="E264" s="6">
        <v>2.1256999694276106</v>
      </c>
      <c r="F264" s="6">
        <v>1.7445286584908339</v>
      </c>
      <c r="G264" s="6">
        <v>0.92133866220512306</v>
      </c>
      <c r="H264" s="6">
        <v>1.083073270976709</v>
      </c>
      <c r="I264" s="6">
        <v>0.91757232276348277</v>
      </c>
      <c r="J264" s="6">
        <v>1.1731330881195048</v>
      </c>
      <c r="K264" s="6">
        <v>-0.40600660278610123</v>
      </c>
      <c r="L264" s="6">
        <v>-0.23435803268760869</v>
      </c>
      <c r="N264" s="8">
        <f>SQRT((C264-Sheet2!$C$525)^2+(D264-Sheet2!$D$525)^2+(E264-Sheet2!$E$525)^2+(F264-Sheet2!$F$525)^2+(G264-Sheet2!$G$525)^2+(H264-Sheet2!$H$525)^2+(I264-Sheet2!$I$525)^2+(J264-Sheet2!$J$525)^2+(K264-Sheet2!$K$525)^2+(L264-Sheet2!$L$525)^2)</f>
        <v>4.7378144774275137</v>
      </c>
      <c r="O264" s="8">
        <f>SQRT((C264-Sheet2!$C$526)^2+(D264-Sheet2!$D$526)^2+(E264-Sheet2!$E$526)^2+(F264-Sheet2!$F$526)^2+(G264-Sheet2!$G$526)^2+(H264-Sheet2!$H$526)^2+(I264-Sheet2!$I$526)^2+(J264-Sheet2!$J$526)^2+(K264-Sheet2!$K$526)^2+(L264-Sheet2!$L$526)^2)</f>
        <v>1.4064319308238593</v>
      </c>
      <c r="P264" s="12">
        <f t="shared" si="4"/>
        <v>1</v>
      </c>
      <c r="Q264" s="11">
        <f>IF(P264=Sheet1!$M264, 1, 0)</f>
        <v>0</v>
      </c>
    </row>
    <row r="265" spans="1:17" x14ac:dyDescent="0.35">
      <c r="A265" s="6" t="s">
        <v>253</v>
      </c>
      <c r="B265" s="6" t="s">
        <v>290</v>
      </c>
      <c r="C265" s="6">
        <v>-0.94520629162330949</v>
      </c>
      <c r="D265" s="6">
        <v>1.266459630727945</v>
      </c>
      <c r="E265" s="6">
        <v>2.7766486356902367</v>
      </c>
      <c r="F265" s="6">
        <v>1.9078389902512631</v>
      </c>
      <c r="G265" s="6">
        <v>1.313312333713833</v>
      </c>
      <c r="H265" s="6">
        <v>0.96942141213973443</v>
      </c>
      <c r="I265" s="6">
        <v>0.82386043397517872</v>
      </c>
      <c r="J265" s="6">
        <v>1.7539097375535317</v>
      </c>
      <c r="K265" s="6">
        <v>-0.33871585302210222</v>
      </c>
      <c r="L265" s="6">
        <v>8.0605190854491298</v>
      </c>
      <c r="N265" s="8">
        <f>SQRT((C265-Sheet2!$C$525)^2+(D265-Sheet2!$D$525)^2+(E265-Sheet2!$E$525)^2+(F265-Sheet2!$F$525)^2+(G265-Sheet2!$G$525)^2+(H265-Sheet2!$H$525)^2+(I265-Sheet2!$I$525)^2+(J265-Sheet2!$J$525)^2+(K265-Sheet2!$K$525)^2+(L265-Sheet2!$L$525)^2)</f>
        <v>9.7483889235676475</v>
      </c>
      <c r="O265" s="8">
        <f>SQRT((C265-Sheet2!$C$526)^2+(D265-Sheet2!$D$526)^2+(E265-Sheet2!$E$526)^2+(F265-Sheet2!$F$526)^2+(G265-Sheet2!$G$526)^2+(H265-Sheet2!$H$526)^2+(I265-Sheet2!$I$526)^2+(J265-Sheet2!$J$526)^2+(K265-Sheet2!$K$526)^2+(L265-Sheet2!$L$526)^2)</f>
        <v>7.4858472014682551</v>
      </c>
      <c r="P265" s="12">
        <f t="shared" si="4"/>
        <v>1</v>
      </c>
      <c r="Q265" s="11">
        <f>IF(P265=Sheet1!$M265, 1, 0)</f>
        <v>0</v>
      </c>
    </row>
    <row r="266" spans="1:17" x14ac:dyDescent="0.35">
      <c r="A266" s="6" t="s">
        <v>253</v>
      </c>
      <c r="B266" s="6" t="s">
        <v>291</v>
      </c>
      <c r="C266" s="6">
        <v>-1.0981967723838226</v>
      </c>
      <c r="D266" s="6">
        <v>0.53606428315298182</v>
      </c>
      <c r="E266" s="6">
        <v>0.94389842931979795</v>
      </c>
      <c r="F266" s="6">
        <v>0.97881889542542655</v>
      </c>
      <c r="G266" s="6">
        <v>0.86907550600396422</v>
      </c>
      <c r="H266" s="6">
        <v>0.98935088501635982</v>
      </c>
      <c r="I266" s="6">
        <v>0.94753462734205607</v>
      </c>
      <c r="J266" s="6">
        <v>0.57337680961900628</v>
      </c>
      <c r="K266" s="6">
        <v>0.66908049228059729</v>
      </c>
      <c r="L266" s="6">
        <v>-0.21924395559581894</v>
      </c>
      <c r="N266" s="8">
        <f>SQRT((C266-Sheet2!$C$525)^2+(D266-Sheet2!$D$525)^2+(E266-Sheet2!$E$525)^2+(F266-Sheet2!$F$525)^2+(G266-Sheet2!$G$525)^2+(H266-Sheet2!$H$525)^2+(I266-Sheet2!$I$525)^2+(J266-Sheet2!$J$525)^2+(K266-Sheet2!$K$525)^2+(L266-Sheet2!$L$525)^2)</f>
        <v>3.226391327875354</v>
      </c>
      <c r="O266" s="8">
        <f>SQRT((C266-Sheet2!$C$526)^2+(D266-Sheet2!$D$526)^2+(E266-Sheet2!$E$526)^2+(F266-Sheet2!$F$526)^2+(G266-Sheet2!$G$526)^2+(H266-Sheet2!$H$526)^2+(I266-Sheet2!$I$526)^2+(J266-Sheet2!$J$526)^2+(K266-Sheet2!$K$526)^2+(L266-Sheet2!$L$526)^2)</f>
        <v>2.0598598378030002</v>
      </c>
      <c r="P266" s="12">
        <f t="shared" si="4"/>
        <v>1</v>
      </c>
      <c r="Q266" s="11">
        <f>IF(P266=Sheet1!$M266, 1, 0)</f>
        <v>0</v>
      </c>
    </row>
    <row r="267" spans="1:17" x14ac:dyDescent="0.35">
      <c r="A267" s="6" t="s">
        <v>292</v>
      </c>
      <c r="B267" s="6" t="s">
        <v>293</v>
      </c>
      <c r="C267" s="6">
        <v>-0.20843634480294382</v>
      </c>
      <c r="D267" s="6">
        <v>-0.81424644345619435</v>
      </c>
      <c r="E267" s="6">
        <v>-0.62250436012484656</v>
      </c>
      <c r="F267" s="6">
        <v>-0.73285826104472984</v>
      </c>
      <c r="G267" s="6">
        <v>-1.4130823147800653</v>
      </c>
      <c r="H267" s="6">
        <v>-1.5131445470053662</v>
      </c>
      <c r="I267" s="6">
        <v>-0.19932039259099801</v>
      </c>
      <c r="J267" s="6">
        <v>1.0023164265212616</v>
      </c>
      <c r="K267" s="6">
        <v>-1.1180366293586617</v>
      </c>
      <c r="L267" s="6">
        <v>-3.8369949895332593E-2</v>
      </c>
      <c r="N267" s="8">
        <f>SQRT((C267-Sheet2!$C$525)^2+(D267-Sheet2!$D$525)^2+(E267-Sheet2!$E$525)^2+(F267-Sheet2!$F$525)^2+(G267-Sheet2!$G$525)^2+(H267-Sheet2!$H$525)^2+(I267-Sheet2!$I$525)^2+(J267-Sheet2!$J$525)^2+(K267-Sheet2!$K$525)^2+(L267-Sheet2!$L$525)^2)</f>
        <v>2.6588154419210279</v>
      </c>
      <c r="O267" s="8">
        <f>SQRT((C267-Sheet2!$C$526)^2+(D267-Sheet2!$D$526)^2+(E267-Sheet2!$E$526)^2+(F267-Sheet2!$F$526)^2+(G267-Sheet2!$G$526)^2+(H267-Sheet2!$H$526)^2+(I267-Sheet2!$I$526)^2+(J267-Sheet2!$J$526)^2+(K267-Sheet2!$K$526)^2+(L267-Sheet2!$L$526)^2)</f>
        <v>5.1602638020792408</v>
      </c>
      <c r="P267" s="12">
        <f t="shared" si="4"/>
        <v>0</v>
      </c>
      <c r="Q267" s="11">
        <f>IF(P267=Sheet1!$M267, 1, 0)</f>
        <v>1</v>
      </c>
    </row>
    <row r="268" spans="1:17" x14ac:dyDescent="0.35">
      <c r="A268" s="6" t="s">
        <v>292</v>
      </c>
      <c r="B268" s="6" t="s">
        <v>294</v>
      </c>
      <c r="C268" s="6">
        <v>-0.26614328052840069</v>
      </c>
      <c r="D268" s="6">
        <v>-1.243890765559114</v>
      </c>
      <c r="E268" s="6">
        <v>-0.58971747201088287</v>
      </c>
      <c r="F268" s="6">
        <v>-0.90849390086254977</v>
      </c>
      <c r="G268" s="6">
        <v>-0.67559111060812926</v>
      </c>
      <c r="H268" s="6">
        <v>-1.0978574230086484</v>
      </c>
      <c r="I268" s="6">
        <v>-0.75330427937355815</v>
      </c>
      <c r="J268" s="6">
        <v>1.0630512395339704</v>
      </c>
      <c r="K268" s="6">
        <v>-0.42478541667372988</v>
      </c>
      <c r="L268" s="6">
        <v>-1.5024238595189919E-2</v>
      </c>
      <c r="N268" s="8">
        <f>SQRT((C268-Sheet2!$C$525)^2+(D268-Sheet2!$D$525)^2+(E268-Sheet2!$E$525)^2+(F268-Sheet2!$F$525)^2+(G268-Sheet2!$G$525)^2+(H268-Sheet2!$H$525)^2+(I268-Sheet2!$I$525)^2+(J268-Sheet2!$J$525)^2+(K268-Sheet2!$K$525)^2+(L268-Sheet2!$L$525)^2)</f>
        <v>2.2307964917338219</v>
      </c>
      <c r="O268" s="8">
        <f>SQRT((C268-Sheet2!$C$526)^2+(D268-Sheet2!$D$526)^2+(E268-Sheet2!$E$526)^2+(F268-Sheet2!$F$526)^2+(G268-Sheet2!$G$526)^2+(H268-Sheet2!$H$526)^2+(I268-Sheet2!$I$526)^2+(J268-Sheet2!$J$526)^2+(K268-Sheet2!$K$526)^2+(L268-Sheet2!$L$526)^2)</f>
        <v>5.0671024676349035</v>
      </c>
      <c r="P268" s="12">
        <f t="shared" si="4"/>
        <v>0</v>
      </c>
      <c r="Q268" s="11">
        <f>IF(P268=Sheet1!$M268, 1, 0)</f>
        <v>1</v>
      </c>
    </row>
    <row r="269" spans="1:17" x14ac:dyDescent="0.35">
      <c r="A269" s="6" t="s">
        <v>292</v>
      </c>
      <c r="B269" s="6" t="s">
        <v>295</v>
      </c>
      <c r="C269" s="6">
        <v>-0.69156417878351151</v>
      </c>
      <c r="D269" s="6">
        <v>0.10641996105006153</v>
      </c>
      <c r="E269" s="6">
        <v>0.71770574053357694</v>
      </c>
      <c r="F269" s="6">
        <v>0.36409415606305789</v>
      </c>
      <c r="G269" s="6">
        <v>7.9321145630865258E-2</v>
      </c>
      <c r="H269" s="6">
        <v>0.46795278381166128</v>
      </c>
      <c r="I269" s="6">
        <v>0.81812297139630275</v>
      </c>
      <c r="J269" s="6">
        <v>1.5185623371292858</v>
      </c>
      <c r="K269" s="6">
        <v>-0.86452264187568473</v>
      </c>
      <c r="L269" s="6">
        <v>1.5847998833844377</v>
      </c>
      <c r="N269" s="8">
        <f>SQRT((C269-Sheet2!$C$525)^2+(D269-Sheet2!$D$525)^2+(E269-Sheet2!$E$525)^2+(F269-Sheet2!$F$525)^2+(G269-Sheet2!$G$525)^2+(H269-Sheet2!$H$525)^2+(I269-Sheet2!$I$525)^2+(J269-Sheet2!$J$525)^2+(K269-Sheet2!$K$525)^2+(L269-Sheet2!$L$525)^2)</f>
        <v>3.3520295682604631</v>
      </c>
      <c r="O269" s="8">
        <f>SQRT((C269-Sheet2!$C$526)^2+(D269-Sheet2!$D$526)^2+(E269-Sheet2!$E$526)^2+(F269-Sheet2!$F$526)^2+(G269-Sheet2!$G$526)^2+(H269-Sheet2!$H$526)^2+(I269-Sheet2!$I$526)^2+(J269-Sheet2!$J$526)^2+(K269-Sheet2!$K$526)^2+(L269-Sheet2!$L$526)^2)</f>
        <v>2.2170663288612835</v>
      </c>
      <c r="P269" s="12">
        <f t="shared" si="4"/>
        <v>1</v>
      </c>
      <c r="Q269" s="11">
        <f>IF(P269=Sheet1!$M269, 1, 0)</f>
        <v>0</v>
      </c>
    </row>
    <row r="270" spans="1:17" x14ac:dyDescent="0.35">
      <c r="A270" s="6" t="s">
        <v>292</v>
      </c>
      <c r="B270" s="6" t="s">
        <v>296</v>
      </c>
      <c r="C270" s="6">
        <v>-0.91031372583582404</v>
      </c>
      <c r="D270" s="6">
        <v>-0.56873540225452623</v>
      </c>
      <c r="E270" s="6">
        <v>0.14301421853601215</v>
      </c>
      <c r="F270" s="6">
        <v>-0.47864878236104458</v>
      </c>
      <c r="G270" s="6">
        <v>-1.4217928408135925</v>
      </c>
      <c r="H270" s="6">
        <v>0.16901069066227312</v>
      </c>
      <c r="I270" s="6">
        <v>0.45857531645342187</v>
      </c>
      <c r="J270" s="6">
        <v>2.0955430607500185</v>
      </c>
      <c r="K270" s="6">
        <v>-0.87704185113410305</v>
      </c>
      <c r="L270" s="6">
        <v>0.69012994917913772</v>
      </c>
      <c r="N270" s="8">
        <f>SQRT((C270-Sheet2!$C$525)^2+(D270-Sheet2!$D$525)^2+(E270-Sheet2!$E$525)^2+(F270-Sheet2!$F$525)^2+(G270-Sheet2!$G$525)^2+(H270-Sheet2!$H$525)^2+(I270-Sheet2!$I$525)^2+(J270-Sheet2!$J$525)^2+(K270-Sheet2!$K$525)^2+(L270-Sheet2!$L$525)^2)</f>
        <v>3.2868071842002151</v>
      </c>
      <c r="O270" s="8">
        <f>SQRT((C270-Sheet2!$C$526)^2+(D270-Sheet2!$D$526)^2+(E270-Sheet2!$E$526)^2+(F270-Sheet2!$F$526)^2+(G270-Sheet2!$G$526)^2+(H270-Sheet2!$H$526)^2+(I270-Sheet2!$I$526)^2+(J270-Sheet2!$J$526)^2+(K270-Sheet2!$K$526)^2+(L270-Sheet2!$L$526)^2)</f>
        <v>4.0041973505135546</v>
      </c>
      <c r="P270" s="12">
        <f t="shared" si="4"/>
        <v>0</v>
      </c>
      <c r="Q270" s="11">
        <f>IF(P270=Sheet1!$M270, 1, 0)</f>
        <v>1</v>
      </c>
    </row>
    <row r="271" spans="1:17" x14ac:dyDescent="0.35">
      <c r="A271" s="6" t="s">
        <v>292</v>
      </c>
      <c r="B271" s="6" t="s">
        <v>297</v>
      </c>
      <c r="C271" s="6">
        <v>-0.85126476834931031</v>
      </c>
      <c r="D271" s="6">
        <v>1.4690062397193213</v>
      </c>
      <c r="E271" s="6">
        <v>1.5657441274812653</v>
      </c>
      <c r="F271" s="6">
        <v>1.3208461940180229</v>
      </c>
      <c r="G271" s="6">
        <v>0.56420709483052189</v>
      </c>
      <c r="H271" s="6">
        <v>0.95541691768588888</v>
      </c>
      <c r="I271" s="6">
        <v>0.82003545892259477</v>
      </c>
      <c r="J271" s="6">
        <v>1.52235826294258</v>
      </c>
      <c r="K271" s="6">
        <v>-0.77375837475214992</v>
      </c>
      <c r="L271" s="6">
        <v>1.770667861118824</v>
      </c>
      <c r="N271" s="8">
        <f>SQRT((C271-Sheet2!$C$525)^2+(D271-Sheet2!$D$525)^2+(E271-Sheet2!$E$525)^2+(F271-Sheet2!$F$525)^2+(G271-Sheet2!$G$525)^2+(H271-Sheet2!$H$525)^2+(I271-Sheet2!$I$525)^2+(J271-Sheet2!$J$525)^2+(K271-Sheet2!$K$525)^2+(L271-Sheet2!$L$525)^2)</f>
        <v>4.5994515578349402</v>
      </c>
      <c r="O271" s="8">
        <f>SQRT((C271-Sheet2!$C$526)^2+(D271-Sheet2!$D$526)^2+(E271-Sheet2!$E$526)^2+(F271-Sheet2!$F$526)^2+(G271-Sheet2!$G$526)^2+(H271-Sheet2!$H$526)^2+(I271-Sheet2!$I$526)^2+(J271-Sheet2!$J$526)^2+(K271-Sheet2!$K$526)^2+(L271-Sheet2!$L$526)^2)</f>
        <v>1.1860228298797157</v>
      </c>
      <c r="P271" s="12">
        <f t="shared" si="4"/>
        <v>1</v>
      </c>
      <c r="Q271" s="11">
        <f>IF(P271=Sheet1!$M271, 1, 0)</f>
        <v>0</v>
      </c>
    </row>
    <row r="272" spans="1:17" x14ac:dyDescent="0.35">
      <c r="A272" s="6" t="s">
        <v>292</v>
      </c>
      <c r="B272" s="6" t="s">
        <v>298</v>
      </c>
      <c r="C272" s="6">
        <v>-1.0780664459679656</v>
      </c>
      <c r="D272" s="6">
        <v>1.0086730374661932</v>
      </c>
      <c r="E272" s="6">
        <v>1.0006307975169935</v>
      </c>
      <c r="F272" s="6">
        <v>0.52740448782348504</v>
      </c>
      <c r="G272" s="6">
        <v>-0.86141566599003516</v>
      </c>
      <c r="H272" s="6">
        <v>1.0701460453270053</v>
      </c>
      <c r="I272" s="6">
        <v>0.86593515955360079</v>
      </c>
      <c r="J272" s="6">
        <v>1.9247263991517753</v>
      </c>
      <c r="K272" s="6">
        <v>-1.2667022393023832</v>
      </c>
      <c r="L272" s="6">
        <v>1.1514678380959502</v>
      </c>
      <c r="N272" s="8">
        <f>SQRT((C272-Sheet2!$C$525)^2+(D272-Sheet2!$D$525)^2+(E272-Sheet2!$E$525)^2+(F272-Sheet2!$F$525)^2+(G272-Sheet2!$G$525)^2+(H272-Sheet2!$H$525)^2+(I272-Sheet2!$I$525)^2+(J272-Sheet2!$J$525)^2+(K272-Sheet2!$K$525)^2+(L272-Sheet2!$L$525)^2)</f>
        <v>4.1654007419880861</v>
      </c>
      <c r="O272" s="8">
        <f>SQRT((C272-Sheet2!$C$526)^2+(D272-Sheet2!$D$526)^2+(E272-Sheet2!$E$526)^2+(F272-Sheet2!$F$526)^2+(G272-Sheet2!$G$526)^2+(H272-Sheet2!$H$526)^2+(I272-Sheet2!$I$526)^2+(J272-Sheet2!$J$526)^2+(K272-Sheet2!$K$526)^2+(L272-Sheet2!$L$526)^2)</f>
        <v>2.3930127821418639</v>
      </c>
      <c r="P272" s="12">
        <f t="shared" si="4"/>
        <v>1</v>
      </c>
      <c r="Q272" s="11">
        <f>IF(P272=Sheet1!$M272, 1, 0)</f>
        <v>0</v>
      </c>
    </row>
    <row r="273" spans="1:17" x14ac:dyDescent="0.35">
      <c r="A273" s="6" t="s">
        <v>292</v>
      </c>
      <c r="B273" s="6" t="s">
        <v>299</v>
      </c>
      <c r="C273" s="6">
        <v>-0.73585089689839689</v>
      </c>
      <c r="D273" s="6">
        <v>0.27827768989123008</v>
      </c>
      <c r="E273" s="6">
        <v>1.0890448778243111</v>
      </c>
      <c r="F273" s="6">
        <v>0.38720410867066446</v>
      </c>
      <c r="G273" s="6">
        <v>-0.44621392505858753</v>
      </c>
      <c r="H273" s="6">
        <v>0.7302677376202239</v>
      </c>
      <c r="I273" s="6">
        <v>0.8442603009222921</v>
      </c>
      <c r="J273" s="6">
        <v>1.6514197405945858</v>
      </c>
      <c r="K273" s="6">
        <v>-1.1430750478754994</v>
      </c>
      <c r="L273" s="6">
        <v>2.9462132734870916E-2</v>
      </c>
      <c r="N273" s="8">
        <f>SQRT((C273-Sheet2!$C$525)^2+(D273-Sheet2!$D$525)^2+(E273-Sheet2!$E$525)^2+(F273-Sheet2!$F$525)^2+(G273-Sheet2!$G$525)^2+(H273-Sheet2!$H$525)^2+(I273-Sheet2!$I$525)^2+(J273-Sheet2!$J$525)^2+(K273-Sheet2!$K$525)^2+(L273-Sheet2!$L$525)^2)</f>
        <v>3.3073222470318759</v>
      </c>
      <c r="O273" s="8">
        <f>SQRT((C273-Sheet2!$C$526)^2+(D273-Sheet2!$D$526)^2+(E273-Sheet2!$E$526)^2+(F273-Sheet2!$F$526)^2+(G273-Sheet2!$G$526)^2+(H273-Sheet2!$H$526)^2+(I273-Sheet2!$I$526)^2+(J273-Sheet2!$J$526)^2+(K273-Sheet2!$K$526)^2+(L273-Sheet2!$L$526)^2)</f>
        <v>2.3132480655668153</v>
      </c>
      <c r="P273" s="12">
        <f t="shared" si="4"/>
        <v>1</v>
      </c>
      <c r="Q273" s="11">
        <f>IF(P273=Sheet1!$M273, 1, 0)</f>
        <v>0</v>
      </c>
    </row>
    <row r="274" spans="1:17" x14ac:dyDescent="0.35">
      <c r="A274" s="6" t="s">
        <v>292</v>
      </c>
      <c r="B274" s="6" t="s">
        <v>300</v>
      </c>
      <c r="C274" s="6">
        <v>-1.3021840800645066</v>
      </c>
      <c r="D274" s="6">
        <v>2.0766460666934505</v>
      </c>
      <c r="E274" s="6">
        <v>1.998973120987122</v>
      </c>
      <c r="F274" s="6">
        <v>1.7984518812419181</v>
      </c>
      <c r="G274" s="6">
        <v>0.81681234980280126</v>
      </c>
      <c r="H274" s="6">
        <v>1.1654843344935675</v>
      </c>
      <c r="I274" s="6">
        <v>0.89780995165846611</v>
      </c>
      <c r="J274" s="6">
        <v>1.3439497497177479</v>
      </c>
      <c r="K274" s="6">
        <v>-1.0804790015834054</v>
      </c>
      <c r="L274" s="6">
        <v>0.84416041753347004</v>
      </c>
      <c r="N274" s="8">
        <f>SQRT((C274-Sheet2!$C$525)^2+(D274-Sheet2!$D$525)^2+(E274-Sheet2!$E$525)^2+(F274-Sheet2!$F$525)^2+(G274-Sheet2!$G$525)^2+(H274-Sheet2!$H$525)^2+(I274-Sheet2!$I$525)^2+(J274-Sheet2!$J$525)^2+(K274-Sheet2!$K$525)^2+(L274-Sheet2!$L$525)^2)</f>
        <v>5.1841520608961549</v>
      </c>
      <c r="O274" s="8">
        <f>SQRT((C274-Sheet2!$C$526)^2+(D274-Sheet2!$D$526)^2+(E274-Sheet2!$E$526)^2+(F274-Sheet2!$F$526)^2+(G274-Sheet2!$G$526)^2+(H274-Sheet2!$H$526)^2+(I274-Sheet2!$I$526)^2+(J274-Sheet2!$J$526)^2+(K274-Sheet2!$K$526)^2+(L274-Sheet2!$L$526)^2)</f>
        <v>1.3140211327454607</v>
      </c>
      <c r="P274" s="12">
        <f t="shared" si="4"/>
        <v>1</v>
      </c>
      <c r="Q274" s="11">
        <f>IF(P274=Sheet1!$M274, 1, 0)</f>
        <v>0</v>
      </c>
    </row>
    <row r="275" spans="1:17" x14ac:dyDescent="0.35">
      <c r="A275" s="6" t="s">
        <v>301</v>
      </c>
      <c r="B275" s="6" t="s">
        <v>302</v>
      </c>
      <c r="C275" s="6">
        <v>-0.96802066156128086</v>
      </c>
      <c r="D275" s="6">
        <v>-5.3162215731022769E-2</v>
      </c>
      <c r="E275" s="6">
        <v>0.49740732376784375</v>
      </c>
      <c r="F275" s="6">
        <v>0.43496467739305439</v>
      </c>
      <c r="G275" s="6">
        <v>0.81390884112495754</v>
      </c>
      <c r="H275" s="6">
        <v>1.0254393899551149</v>
      </c>
      <c r="I275" s="6">
        <v>0.44455040792728123</v>
      </c>
      <c r="J275" s="6">
        <v>-0.36042094045139028</v>
      </c>
      <c r="K275" s="6">
        <v>1.8458861625719505</v>
      </c>
      <c r="L275" s="6">
        <v>-0.27312455994665846</v>
      </c>
      <c r="N275" s="8">
        <f>SQRT((C275-Sheet2!$C$525)^2+(D275-Sheet2!$D$525)^2+(E275-Sheet2!$E$525)^2+(F275-Sheet2!$F$525)^2+(G275-Sheet2!$G$525)^2+(H275-Sheet2!$H$525)^2+(I275-Sheet2!$I$525)^2+(J275-Sheet2!$J$525)^2+(K275-Sheet2!$K$525)^2+(L275-Sheet2!$L$525)^2)</f>
        <v>2.9050165197394509</v>
      </c>
      <c r="O275" s="8">
        <f>SQRT((C275-Sheet2!$C$526)^2+(D275-Sheet2!$D$526)^2+(E275-Sheet2!$E$526)^2+(F275-Sheet2!$F$526)^2+(G275-Sheet2!$G$526)^2+(H275-Sheet2!$H$526)^2+(I275-Sheet2!$I$526)^2+(J275-Sheet2!$J$526)^2+(K275-Sheet2!$K$526)^2+(L275-Sheet2!$L$526)^2)</f>
        <v>3.6715836672644588</v>
      </c>
      <c r="P275" s="12">
        <f t="shared" si="4"/>
        <v>0</v>
      </c>
      <c r="Q275" s="11">
        <f>IF(P275=Sheet1!$M275, 1, 0)</f>
        <v>1</v>
      </c>
    </row>
    <row r="276" spans="1:17" x14ac:dyDescent="0.35">
      <c r="A276" s="6" t="s">
        <v>301</v>
      </c>
      <c r="B276" s="6" t="s">
        <v>303</v>
      </c>
      <c r="C276" s="6">
        <v>-0.95996853099493795</v>
      </c>
      <c r="D276" s="6">
        <v>0.43172209064227285</v>
      </c>
      <c r="E276" s="6">
        <v>1.4740145191624234</v>
      </c>
      <c r="F276" s="6">
        <v>1.0050101750473823</v>
      </c>
      <c r="G276" s="6">
        <v>1.1884614605666131</v>
      </c>
      <c r="H276" s="6">
        <v>1.1385526143900191</v>
      </c>
      <c r="I276" s="6">
        <v>0.82959789655405469</v>
      </c>
      <c r="J276" s="6">
        <v>-0.42495167927739341</v>
      </c>
      <c r="K276" s="6">
        <v>0.86312823578608755</v>
      </c>
      <c r="L276" s="6">
        <v>-0.15561563720137889</v>
      </c>
      <c r="N276" s="8">
        <f>SQRT((C276-Sheet2!$C$525)^2+(D276-Sheet2!$D$525)^2+(E276-Sheet2!$E$525)^2+(F276-Sheet2!$F$525)^2+(G276-Sheet2!$G$525)^2+(H276-Sheet2!$H$525)^2+(I276-Sheet2!$I$525)^2+(J276-Sheet2!$J$525)^2+(K276-Sheet2!$K$525)^2+(L276-Sheet2!$L$525)^2)</f>
        <v>3.4762001027469882</v>
      </c>
      <c r="O276" s="8">
        <f>SQRT((C276-Sheet2!$C$526)^2+(D276-Sheet2!$D$526)^2+(E276-Sheet2!$E$526)^2+(F276-Sheet2!$F$526)^2+(G276-Sheet2!$G$526)^2+(H276-Sheet2!$H$526)^2+(I276-Sheet2!$I$526)^2+(J276-Sheet2!$J$526)^2+(K276-Sheet2!$K$526)^2+(L276-Sheet2!$L$526)^2)</f>
        <v>2.6088222609461416</v>
      </c>
      <c r="P276" s="12">
        <f t="shared" si="4"/>
        <v>1</v>
      </c>
      <c r="Q276" s="11">
        <f>IF(P276=Sheet1!$M276, 1, 0)</f>
        <v>0</v>
      </c>
    </row>
    <row r="277" spans="1:17" x14ac:dyDescent="0.35">
      <c r="A277" s="6" t="s">
        <v>301</v>
      </c>
      <c r="B277" s="6" t="s">
        <v>304</v>
      </c>
      <c r="C277" s="6">
        <v>-1.2954739712592209</v>
      </c>
      <c r="D277" s="6">
        <v>1.3401129430884449</v>
      </c>
      <c r="E277" s="6">
        <v>2.5795589150051748</v>
      </c>
      <c r="F277" s="6">
        <v>1.8338871419069174</v>
      </c>
      <c r="G277" s="6">
        <v>1.6036632014980607</v>
      </c>
      <c r="H277" s="6">
        <v>1.2058819146488902</v>
      </c>
      <c r="I277" s="6">
        <v>0.94753462734205607</v>
      </c>
      <c r="J277" s="6">
        <v>0.71003013889760069</v>
      </c>
      <c r="K277" s="6">
        <v>0.47816255108971334</v>
      </c>
      <c r="L277" s="6">
        <v>0.14805042943510158</v>
      </c>
      <c r="N277" s="8">
        <f>SQRT((C277-Sheet2!$C$525)^2+(D277-Sheet2!$D$525)^2+(E277-Sheet2!$E$525)^2+(F277-Sheet2!$F$525)^2+(G277-Sheet2!$G$525)^2+(H277-Sheet2!$H$525)^2+(I277-Sheet2!$I$525)^2+(J277-Sheet2!$J$525)^2+(K277-Sheet2!$K$525)^2+(L277-Sheet2!$L$525)^2)</f>
        <v>5.0590222422480826</v>
      </c>
      <c r="O277" s="8">
        <f>SQRT((C277-Sheet2!$C$526)^2+(D277-Sheet2!$D$526)^2+(E277-Sheet2!$E$526)^2+(F277-Sheet2!$F$526)^2+(G277-Sheet2!$G$526)^2+(H277-Sheet2!$H$526)^2+(I277-Sheet2!$I$526)^2+(J277-Sheet2!$J$526)^2+(K277-Sheet2!$K$526)^2+(L277-Sheet2!$L$526)^2)</f>
        <v>2.0510004383403113</v>
      </c>
      <c r="P277" s="12">
        <f t="shared" si="4"/>
        <v>1</v>
      </c>
      <c r="Q277" s="11">
        <f>IF(P277=Sheet1!$M277, 1, 0)</f>
        <v>0</v>
      </c>
    </row>
    <row r="278" spans="1:17" x14ac:dyDescent="0.35">
      <c r="A278" s="6" t="s">
        <v>301</v>
      </c>
      <c r="B278" s="6" t="s">
        <v>305</v>
      </c>
      <c r="C278" s="6">
        <v>-0.99620311854348065</v>
      </c>
      <c r="D278" s="6">
        <v>0.52378873109289759</v>
      </c>
      <c r="E278" s="6">
        <v>1.4979599992456551</v>
      </c>
      <c r="F278" s="6">
        <v>1.1975931134441147</v>
      </c>
      <c r="G278" s="6">
        <v>1.1971719866001402</v>
      </c>
      <c r="H278" s="6">
        <v>0.8767762949835276</v>
      </c>
      <c r="I278" s="6">
        <v>0.86529766371150318</v>
      </c>
      <c r="J278" s="6">
        <v>0.69864236145771796</v>
      </c>
      <c r="K278" s="6">
        <v>6.5028645561898399E-2</v>
      </c>
      <c r="L278" s="6">
        <v>-9.8404325160059633E-2</v>
      </c>
      <c r="N278" s="8">
        <f>SQRT((C278-Sheet2!$C$525)^2+(D278-Sheet2!$D$525)^2+(E278-Sheet2!$E$525)^2+(F278-Sheet2!$F$525)^2+(G278-Sheet2!$G$525)^2+(H278-Sheet2!$H$525)^2+(I278-Sheet2!$I$525)^2+(J278-Sheet2!$J$525)^2+(K278-Sheet2!$K$525)^2+(L278-Sheet2!$L$525)^2)</f>
        <v>3.5793118099416419</v>
      </c>
      <c r="O278" s="8">
        <f>SQRT((C278-Sheet2!$C$526)^2+(D278-Sheet2!$D$526)^2+(E278-Sheet2!$E$526)^2+(F278-Sheet2!$F$526)^2+(G278-Sheet2!$G$526)^2+(H278-Sheet2!$H$526)^2+(I278-Sheet2!$I$526)^2+(J278-Sheet2!$J$526)^2+(K278-Sheet2!$K$526)^2+(L278-Sheet2!$L$526)^2)</f>
        <v>1.5164208986206602</v>
      </c>
      <c r="P278" s="12">
        <f t="shared" si="4"/>
        <v>1</v>
      </c>
      <c r="Q278" s="11">
        <f>IF(P278=Sheet1!$M278, 1, 0)</f>
        <v>0</v>
      </c>
    </row>
    <row r="279" spans="1:17" x14ac:dyDescent="0.35">
      <c r="A279" s="6" t="s">
        <v>301</v>
      </c>
      <c r="B279" s="6" t="s">
        <v>306</v>
      </c>
      <c r="C279" s="6">
        <v>-0.89018339941996716</v>
      </c>
      <c r="D279" s="6">
        <v>-0.1820555123618981</v>
      </c>
      <c r="E279" s="6">
        <v>0.35447122727101354</v>
      </c>
      <c r="F279" s="6">
        <v>0.28089832667566861</v>
      </c>
      <c r="G279" s="6">
        <v>0.50904042995151932</v>
      </c>
      <c r="H279" s="6">
        <v>1.007664454686773</v>
      </c>
      <c r="I279" s="6">
        <v>0.94498464397366644</v>
      </c>
      <c r="J279" s="6">
        <v>0.11027386039710205</v>
      </c>
      <c r="K279" s="6">
        <v>0.52667448696608588</v>
      </c>
      <c r="L279" s="6">
        <v>-0.3420137215473979</v>
      </c>
      <c r="N279" s="8">
        <f>SQRT((C279-Sheet2!$C$525)^2+(D279-Sheet2!$D$525)^2+(E279-Sheet2!$E$525)^2+(F279-Sheet2!$F$525)^2+(G279-Sheet2!$G$525)^2+(H279-Sheet2!$H$525)^2+(I279-Sheet2!$I$525)^2+(J279-Sheet2!$J$525)^2+(K279-Sheet2!$K$525)^2+(L279-Sheet2!$L$525)^2)</f>
        <v>2.3400911897860674</v>
      </c>
      <c r="O279" s="8">
        <f>SQRT((C279-Sheet2!$C$526)^2+(D279-Sheet2!$D$526)^2+(E279-Sheet2!$E$526)^2+(F279-Sheet2!$F$526)^2+(G279-Sheet2!$G$526)^2+(H279-Sheet2!$H$526)^2+(I279-Sheet2!$I$526)^2+(J279-Sheet2!$J$526)^2+(K279-Sheet2!$K$526)^2+(L279-Sheet2!$L$526)^2)</f>
        <v>2.9525626412518564</v>
      </c>
      <c r="P279" s="12">
        <f t="shared" si="4"/>
        <v>0</v>
      </c>
      <c r="Q279" s="11">
        <f>IF(P279=Sheet1!$M279, 1, 0)</f>
        <v>1</v>
      </c>
    </row>
    <row r="280" spans="1:17" x14ac:dyDescent="0.35">
      <c r="A280" s="6" t="s">
        <v>301</v>
      </c>
      <c r="B280" s="6" t="s">
        <v>307</v>
      </c>
      <c r="C280" s="6">
        <v>-0.96399459627810935</v>
      </c>
      <c r="D280" s="6">
        <v>-0.77128201124590268</v>
      </c>
      <c r="E280" s="6">
        <v>0.32278951516089138</v>
      </c>
      <c r="F280" s="6">
        <v>-8.5779588031708959E-2</v>
      </c>
      <c r="G280" s="6">
        <v>0.2796632444019817</v>
      </c>
      <c r="H280" s="6">
        <v>0.52827983684361013</v>
      </c>
      <c r="I280" s="6">
        <v>0.38398830292803693</v>
      </c>
      <c r="J280" s="6">
        <v>-1.2372798033223726</v>
      </c>
      <c r="K280" s="6">
        <v>1.9757729586280435</v>
      </c>
      <c r="L280" s="6">
        <v>-0.36732139147607279</v>
      </c>
      <c r="N280" s="8">
        <f>SQRT((C280-Sheet2!$C$525)^2+(D280-Sheet2!$D$525)^2+(E280-Sheet2!$E$525)^2+(F280-Sheet2!$F$525)^2+(G280-Sheet2!$G$525)^2+(H280-Sheet2!$H$525)^2+(I280-Sheet2!$I$525)^2+(J280-Sheet2!$J$525)^2+(K280-Sheet2!$K$525)^2+(L280-Sheet2!$L$525)^2)</f>
        <v>2.7185908068122964</v>
      </c>
      <c r="O280" s="8">
        <f>SQRT((C280-Sheet2!$C$526)^2+(D280-Sheet2!$D$526)^2+(E280-Sheet2!$E$526)^2+(F280-Sheet2!$F$526)^2+(G280-Sheet2!$G$526)^2+(H280-Sheet2!$H$526)^2+(I280-Sheet2!$I$526)^2+(J280-Sheet2!$J$526)^2+(K280-Sheet2!$K$526)^2+(L280-Sheet2!$L$526)^2)</f>
        <v>4.7420571507124034</v>
      </c>
      <c r="P280" s="12">
        <f t="shared" si="4"/>
        <v>0</v>
      </c>
      <c r="Q280" s="11">
        <f>IF(P280=Sheet1!$M280, 1, 0)</f>
        <v>1</v>
      </c>
    </row>
    <row r="281" spans="1:17" x14ac:dyDescent="0.35">
      <c r="A281" s="6" t="s">
        <v>301</v>
      </c>
      <c r="B281" s="6" t="s">
        <v>308</v>
      </c>
      <c r="C281" s="6">
        <v>-0.73719291865945402</v>
      </c>
      <c r="D281" s="6">
        <v>-1.2929929737994477</v>
      </c>
      <c r="E281" s="6">
        <v>-5.5180678152891585E-2</v>
      </c>
      <c r="F281" s="6">
        <v>-0.39545295297365524</v>
      </c>
      <c r="G281" s="6">
        <v>0.2622421923349274</v>
      </c>
      <c r="H281" s="6">
        <v>0.5471320409160938</v>
      </c>
      <c r="I281" s="6">
        <v>0.84872277181697375</v>
      </c>
      <c r="J281" s="6">
        <v>-1.0398916610310691</v>
      </c>
      <c r="K281" s="6">
        <v>1.8286722498416248</v>
      </c>
      <c r="L281" s="6">
        <v>-0.23806685662736335</v>
      </c>
      <c r="N281" s="8">
        <f>SQRT((C281-Sheet2!$C$525)^2+(D281-Sheet2!$D$525)^2+(E281-Sheet2!$E$525)^2+(F281-Sheet2!$F$525)^2+(G281-Sheet2!$G$525)^2+(H281-Sheet2!$H$525)^2+(I281-Sheet2!$I$525)^2+(J281-Sheet2!$J$525)^2+(K281-Sheet2!$K$525)^2+(L281-Sheet2!$L$525)^2)</f>
        <v>2.6716574977589675</v>
      </c>
      <c r="O281" s="8">
        <f>SQRT((C281-Sheet2!$C$526)^2+(D281-Sheet2!$D$526)^2+(E281-Sheet2!$E$526)^2+(F281-Sheet2!$F$526)^2+(G281-Sheet2!$G$526)^2+(H281-Sheet2!$H$526)^2+(I281-Sheet2!$I$526)^2+(J281-Sheet2!$J$526)^2+(K281-Sheet2!$K$526)^2+(L281-Sheet2!$L$526)^2)</f>
        <v>4.9876070231223428</v>
      </c>
      <c r="P281" s="12">
        <f t="shared" si="4"/>
        <v>0</v>
      </c>
      <c r="Q281" s="11">
        <f>IF(P281=Sheet1!$M281, 1, 0)</f>
        <v>1</v>
      </c>
    </row>
    <row r="282" spans="1:17" x14ac:dyDescent="0.35">
      <c r="A282" s="6" t="s">
        <v>301</v>
      </c>
      <c r="B282" s="6" t="s">
        <v>309</v>
      </c>
      <c r="C282" s="6">
        <v>-0.82576635488922479</v>
      </c>
      <c r="D282" s="6">
        <v>-0.72831757903561056</v>
      </c>
      <c r="E282" s="6">
        <v>1.1188846299280308</v>
      </c>
      <c r="F282" s="6">
        <v>0.40569207075675146</v>
      </c>
      <c r="G282" s="6">
        <v>0.66582989855500407</v>
      </c>
      <c r="H282" s="6">
        <v>0.91286479992228275</v>
      </c>
      <c r="I282" s="6">
        <v>0.52551237987363886</v>
      </c>
      <c r="J282" s="6">
        <v>0.12166163783698503</v>
      </c>
      <c r="K282" s="6">
        <v>0.56579701589864417</v>
      </c>
      <c r="L282" s="6">
        <v>-3.4757709884394076E-3</v>
      </c>
      <c r="N282" s="8">
        <f>SQRT((C282-Sheet2!$C$525)^2+(D282-Sheet2!$D$525)^2+(E282-Sheet2!$E$525)^2+(F282-Sheet2!$F$525)^2+(G282-Sheet2!$G$525)^2+(H282-Sheet2!$H$525)^2+(I282-Sheet2!$I$525)^2+(J282-Sheet2!$J$525)^2+(K282-Sheet2!$K$525)^2+(L282-Sheet2!$L$525)^2)</f>
        <v>2.5689312993705666</v>
      </c>
      <c r="O282" s="8">
        <f>SQRT((C282-Sheet2!$C$526)^2+(D282-Sheet2!$D$526)^2+(E282-Sheet2!$E$526)^2+(F282-Sheet2!$F$526)^2+(G282-Sheet2!$G$526)^2+(H282-Sheet2!$H$526)^2+(I282-Sheet2!$I$526)^2+(J282-Sheet2!$J$526)^2+(K282-Sheet2!$K$526)^2+(L282-Sheet2!$L$526)^2)</f>
        <v>2.9495171769631763</v>
      </c>
      <c r="P282" s="12">
        <f t="shared" si="4"/>
        <v>0</v>
      </c>
      <c r="Q282" s="11">
        <f>IF(P282=Sheet1!$M282, 1, 0)</f>
        <v>1</v>
      </c>
    </row>
    <row r="283" spans="1:17" x14ac:dyDescent="0.35">
      <c r="A283" s="6" t="s">
        <v>301</v>
      </c>
      <c r="B283" s="6" t="s">
        <v>310</v>
      </c>
      <c r="C283" s="6">
        <v>-1.2498452313832784</v>
      </c>
      <c r="D283" s="6">
        <v>1.8679616816720328</v>
      </c>
      <c r="E283" s="6">
        <v>3.4161771499131679</v>
      </c>
      <c r="F283" s="6">
        <v>2.1728331134851668</v>
      </c>
      <c r="G283" s="6">
        <v>1.5310754845520038</v>
      </c>
      <c r="H283" s="6">
        <v>1.2263500219275869</v>
      </c>
      <c r="I283" s="6">
        <v>0.94753462734205607</v>
      </c>
      <c r="J283" s="6">
        <v>0.74419347121724921</v>
      </c>
      <c r="K283" s="6">
        <v>-0.12432439447168243</v>
      </c>
      <c r="L283" s="6">
        <v>0.21904202687170493</v>
      </c>
      <c r="N283" s="8">
        <f>SQRT((C283-Sheet2!$C$525)^2+(D283-Sheet2!$D$525)^2+(E283-Sheet2!$E$525)^2+(F283-Sheet2!$F$525)^2+(G283-Sheet2!$G$525)^2+(H283-Sheet2!$H$525)^2+(I283-Sheet2!$I$525)^2+(J283-Sheet2!$J$525)^2+(K283-Sheet2!$K$525)^2+(L283-Sheet2!$L$525)^2)</f>
        <v>5.872075765674623</v>
      </c>
      <c r="O283" s="8">
        <f>SQRT((C283-Sheet2!$C$526)^2+(D283-Sheet2!$D$526)^2+(E283-Sheet2!$E$526)^2+(F283-Sheet2!$F$526)^2+(G283-Sheet2!$G$526)^2+(H283-Sheet2!$H$526)^2+(I283-Sheet2!$I$526)^2+(J283-Sheet2!$J$526)^2+(K283-Sheet2!$K$526)^2+(L283-Sheet2!$L$526)^2)</f>
        <v>2.514723107498948</v>
      </c>
      <c r="P283" s="12">
        <f t="shared" si="4"/>
        <v>1</v>
      </c>
      <c r="Q283" s="11">
        <f>IF(P283=Sheet1!$M283, 1, 0)</f>
        <v>0</v>
      </c>
    </row>
    <row r="284" spans="1:17" x14ac:dyDescent="0.35">
      <c r="A284" s="6" t="s">
        <v>311</v>
      </c>
      <c r="B284" s="6" t="s">
        <v>312</v>
      </c>
      <c r="C284" s="6">
        <v>0.29482181559348081</v>
      </c>
      <c r="D284" s="6">
        <v>-1.2377529895290724</v>
      </c>
      <c r="E284" s="6">
        <v>0.37178565133119662</v>
      </c>
      <c r="F284" s="6">
        <v>-0.20287001457692297</v>
      </c>
      <c r="G284" s="6">
        <v>-0.71624023209792131</v>
      </c>
      <c r="H284" s="6">
        <v>-0.16709717623001263</v>
      </c>
      <c r="I284" s="6">
        <v>0.42223805345387583</v>
      </c>
      <c r="J284" s="6">
        <v>-0.6602990797016397</v>
      </c>
      <c r="K284" s="6">
        <v>0.15892271500003949</v>
      </c>
      <c r="L284" s="6">
        <v>-0.24011906083948406</v>
      </c>
      <c r="N284" s="8">
        <f>SQRT((C284-Sheet2!$C$525)^2+(D284-Sheet2!$D$525)^2+(E284-Sheet2!$E$525)^2+(F284-Sheet2!$F$525)^2+(G284-Sheet2!$G$525)^2+(H284-Sheet2!$H$525)^2+(I284-Sheet2!$I$525)^2+(J284-Sheet2!$J$525)^2+(K284-Sheet2!$K$525)^2+(L284-Sheet2!$L$525)^2)</f>
        <v>1.4625046135008843</v>
      </c>
      <c r="O284" s="8">
        <f>SQRT((C284-Sheet2!$C$526)^2+(D284-Sheet2!$D$526)^2+(E284-Sheet2!$E$526)^2+(F284-Sheet2!$F$526)^2+(G284-Sheet2!$G$526)^2+(H284-Sheet2!$H$526)^2+(I284-Sheet2!$I$526)^2+(J284-Sheet2!$J$526)^2+(K284-Sheet2!$K$526)^2+(L284-Sheet2!$L$526)^2)</f>
        <v>4.5126997628748358</v>
      </c>
      <c r="P284" s="12">
        <f t="shared" si="4"/>
        <v>0</v>
      </c>
      <c r="Q284" s="11">
        <f>IF(P284=Sheet1!$M284, 1, 0)</f>
        <v>1</v>
      </c>
    </row>
    <row r="285" spans="1:17" x14ac:dyDescent="0.35">
      <c r="A285" s="6" t="s">
        <v>311</v>
      </c>
      <c r="B285" s="6" t="s">
        <v>313</v>
      </c>
      <c r="C285" s="6">
        <v>0.15659357420459602</v>
      </c>
      <c r="D285" s="6">
        <v>-1.3175440779196146</v>
      </c>
      <c r="E285" s="6">
        <v>-0.13364817442563601</v>
      </c>
      <c r="F285" s="6">
        <v>-0.49405541743278225</v>
      </c>
      <c r="G285" s="6">
        <v>-0.95142443500314633</v>
      </c>
      <c r="H285" s="6">
        <v>0.10437456241375656</v>
      </c>
      <c r="I285" s="6">
        <v>0.47068773745327058</v>
      </c>
      <c r="J285" s="6">
        <v>-1.0360957352177749</v>
      </c>
      <c r="K285" s="6">
        <v>0.87408254388720275</v>
      </c>
      <c r="L285" s="6">
        <v>-0.20741256944269451</v>
      </c>
      <c r="N285" s="8">
        <f>SQRT((C285-Sheet2!$C$525)^2+(D285-Sheet2!$D$525)^2+(E285-Sheet2!$E$525)^2+(F285-Sheet2!$F$525)^2+(G285-Sheet2!$G$525)^2+(H285-Sheet2!$H$525)^2+(I285-Sheet2!$I$525)^2+(J285-Sheet2!$J$525)^2+(K285-Sheet2!$K$525)^2+(L285-Sheet2!$L$525)^2)</f>
        <v>1.8043372458619484</v>
      </c>
      <c r="O285" s="8">
        <f>SQRT((C285-Sheet2!$C$526)^2+(D285-Sheet2!$D$526)^2+(E285-Sheet2!$E$526)^2+(F285-Sheet2!$F$526)^2+(G285-Sheet2!$G$526)^2+(H285-Sheet2!$H$526)^2+(I285-Sheet2!$I$526)^2+(J285-Sheet2!$J$526)^2+(K285-Sheet2!$K$526)^2+(L285-Sheet2!$L$526)^2)</f>
        <v>5.1266536715025657</v>
      </c>
      <c r="P285" s="12">
        <f t="shared" si="4"/>
        <v>0</v>
      </c>
      <c r="Q285" s="11">
        <f>IF(P285=Sheet1!$M285, 1, 0)</f>
        <v>1</v>
      </c>
    </row>
    <row r="286" spans="1:17" x14ac:dyDescent="0.35">
      <c r="A286" s="6" t="s">
        <v>311</v>
      </c>
      <c r="B286" s="6" t="s">
        <v>314</v>
      </c>
      <c r="C286" s="6">
        <v>0.41694579584967983</v>
      </c>
      <c r="D286" s="6">
        <v>-1.0597574846578628</v>
      </c>
      <c r="E286" s="6">
        <v>-0.32226487908124701</v>
      </c>
      <c r="F286" s="6">
        <v>-0.50329939847582572</v>
      </c>
      <c r="G286" s="6">
        <v>-1.0153016259156762</v>
      </c>
      <c r="H286" s="6">
        <v>0.39523713953208062</v>
      </c>
      <c r="I286" s="6">
        <v>0.62878670629340283</v>
      </c>
      <c r="J286" s="6">
        <v>-0.86148314780623725</v>
      </c>
      <c r="K286" s="6">
        <v>2.4325992698065704E-3</v>
      </c>
      <c r="L286" s="6">
        <v>-0.15782578685604323</v>
      </c>
      <c r="N286" s="8">
        <f>SQRT((C286-Sheet2!$C$525)^2+(D286-Sheet2!$D$525)^2+(E286-Sheet2!$E$525)^2+(F286-Sheet2!$F$525)^2+(G286-Sheet2!$G$525)^2+(H286-Sheet2!$H$525)^2+(I286-Sheet2!$I$525)^2+(J286-Sheet2!$J$525)^2+(K286-Sheet2!$K$525)^2+(L286-Sheet2!$L$525)^2)</f>
        <v>1.626935075799856</v>
      </c>
      <c r="O286" s="8">
        <f>SQRT((C286-Sheet2!$C$526)^2+(D286-Sheet2!$D$526)^2+(E286-Sheet2!$E$526)^2+(F286-Sheet2!$F$526)^2+(G286-Sheet2!$G$526)^2+(H286-Sheet2!$H$526)^2+(I286-Sheet2!$I$526)^2+(J286-Sheet2!$J$526)^2+(K286-Sheet2!$K$526)^2+(L286-Sheet2!$L$526)^2)</f>
        <v>4.8328709351282084</v>
      </c>
      <c r="P286" s="12">
        <f t="shared" si="4"/>
        <v>0</v>
      </c>
      <c r="Q286" s="11">
        <f>IF(P286=Sheet1!$M286, 1, 0)</f>
        <v>1</v>
      </c>
    </row>
    <row r="287" spans="1:17" x14ac:dyDescent="0.35">
      <c r="A287" s="6" t="s">
        <v>311</v>
      </c>
      <c r="B287" s="6" t="s">
        <v>315</v>
      </c>
      <c r="C287" s="6">
        <v>0.21966859697428132</v>
      </c>
      <c r="D287" s="6">
        <v>-0.17591773633185653</v>
      </c>
      <c r="E287" s="6">
        <v>-0.42651981544362572</v>
      </c>
      <c r="F287" s="6">
        <v>-0.29530982500735359</v>
      </c>
      <c r="G287" s="6">
        <v>-0.55945076349443645</v>
      </c>
      <c r="H287" s="6">
        <v>0.58214327705070712</v>
      </c>
      <c r="I287" s="6">
        <v>0.74863592460769612</v>
      </c>
      <c r="J287" s="6">
        <v>-0.63372759900857956</v>
      </c>
      <c r="K287" s="6">
        <v>-0.40757150394340436</v>
      </c>
      <c r="L287" s="6">
        <v>-0.24537169230363243</v>
      </c>
      <c r="N287" s="8">
        <f>SQRT((C287-Sheet2!$C$525)^2+(D287-Sheet2!$D$525)^2+(E287-Sheet2!$E$525)^2+(F287-Sheet2!$F$525)^2+(G287-Sheet2!$G$525)^2+(H287-Sheet2!$H$525)^2+(I287-Sheet2!$I$525)^2+(J287-Sheet2!$J$525)^2+(K287-Sheet2!$K$525)^2+(L287-Sheet2!$L$525)^2)</f>
        <v>1.4226944093979672</v>
      </c>
      <c r="O287" s="8">
        <f>SQRT((C287-Sheet2!$C$526)^2+(D287-Sheet2!$D$526)^2+(E287-Sheet2!$E$526)^2+(F287-Sheet2!$F$526)^2+(G287-Sheet2!$G$526)^2+(H287-Sheet2!$H$526)^2+(I287-Sheet2!$I$526)^2+(J287-Sheet2!$J$526)^2+(K287-Sheet2!$K$526)^2+(L287-Sheet2!$L$526)^2)</f>
        <v>4.0353077646703515</v>
      </c>
      <c r="P287" s="12">
        <f t="shared" si="4"/>
        <v>0</v>
      </c>
      <c r="Q287" s="11">
        <f>IF(P287=Sheet1!$M287, 1, 0)</f>
        <v>1</v>
      </c>
    </row>
    <row r="288" spans="1:17" x14ac:dyDescent="0.35">
      <c r="A288" s="6" t="s">
        <v>311</v>
      </c>
      <c r="B288" s="6" t="s">
        <v>316</v>
      </c>
      <c r="C288" s="6">
        <v>4.3863746275796929E-2</v>
      </c>
      <c r="D288" s="6">
        <v>0.17393549738052108</v>
      </c>
      <c r="E288" s="6">
        <v>-0.52524887178679713</v>
      </c>
      <c r="F288" s="6">
        <v>-0.22752063069170417</v>
      </c>
      <c r="G288" s="6">
        <v>-0.77431040565476761</v>
      </c>
      <c r="H288" s="6">
        <v>0.3510691185622607</v>
      </c>
      <c r="I288" s="6">
        <v>0.72887355350267946</v>
      </c>
      <c r="J288" s="6">
        <v>-0.77417685410046855</v>
      </c>
      <c r="K288" s="6">
        <v>-0.29802842293224086</v>
      </c>
      <c r="L288" s="6">
        <v>-0.35489938673862004</v>
      </c>
      <c r="N288" s="8">
        <f>SQRT((C288-Sheet2!$C$525)^2+(D288-Sheet2!$D$525)^2+(E288-Sheet2!$E$525)^2+(F288-Sheet2!$F$525)^2+(G288-Sheet2!$G$525)^2+(H288-Sheet2!$H$525)^2+(I288-Sheet2!$I$525)^2+(J288-Sheet2!$J$525)^2+(K288-Sheet2!$K$525)^2+(L288-Sheet2!$L$525)^2)</f>
        <v>1.4805575140675571</v>
      </c>
      <c r="O288" s="8">
        <f>SQRT((C288-Sheet2!$C$526)^2+(D288-Sheet2!$D$526)^2+(E288-Sheet2!$E$526)^2+(F288-Sheet2!$F$526)^2+(G288-Sheet2!$G$526)^2+(H288-Sheet2!$H$526)^2+(I288-Sheet2!$I$526)^2+(J288-Sheet2!$J$526)^2+(K288-Sheet2!$K$526)^2+(L288-Sheet2!$L$526)^2)</f>
        <v>4.103436357313571</v>
      </c>
      <c r="P288" s="12">
        <f t="shared" si="4"/>
        <v>0</v>
      </c>
      <c r="Q288" s="11">
        <f>IF(P288=Sheet1!$M288, 1, 0)</f>
        <v>1</v>
      </c>
    </row>
    <row r="289" spans="1:17" x14ac:dyDescent="0.35">
      <c r="A289" s="6" t="s">
        <v>311</v>
      </c>
      <c r="B289" s="6" t="s">
        <v>317</v>
      </c>
      <c r="C289" s="6">
        <v>0.34984470779682325</v>
      </c>
      <c r="D289" s="6">
        <v>-0.32322436105285768</v>
      </c>
      <c r="E289" s="6">
        <v>-0.67407924030411515</v>
      </c>
      <c r="F289" s="6">
        <v>-0.50329939847582572</v>
      </c>
      <c r="G289" s="6">
        <v>-0.91658233086903773</v>
      </c>
      <c r="H289" s="6">
        <v>0.20671509880724115</v>
      </c>
      <c r="I289" s="6">
        <v>0.71803612418702611</v>
      </c>
      <c r="J289" s="6">
        <v>-1.3207901712148469</v>
      </c>
      <c r="K289" s="6">
        <v>0.34201615040441224</v>
      </c>
      <c r="L289" s="6">
        <v>-0.28999252307578455</v>
      </c>
      <c r="N289" s="8">
        <f>SQRT((C289-Sheet2!$C$525)^2+(D289-Sheet2!$D$525)^2+(E289-Sheet2!$E$525)^2+(F289-Sheet2!$F$525)^2+(G289-Sheet2!$G$525)^2+(H289-Sheet2!$H$525)^2+(I289-Sheet2!$I$525)^2+(J289-Sheet2!$J$525)^2+(K289-Sheet2!$K$525)^2+(L289-Sheet2!$L$525)^2)</f>
        <v>1.6718587929188133</v>
      </c>
      <c r="O289" s="8">
        <f>SQRT((C289-Sheet2!$C$526)^2+(D289-Sheet2!$D$526)^2+(E289-Sheet2!$E$526)^2+(F289-Sheet2!$F$526)^2+(G289-Sheet2!$G$526)^2+(H289-Sheet2!$H$526)^2+(I289-Sheet2!$I$526)^2+(J289-Sheet2!$J$526)^2+(K289-Sheet2!$K$526)^2+(L289-Sheet2!$L$526)^2)</f>
        <v>4.9184051951846346</v>
      </c>
      <c r="P289" s="12">
        <f t="shared" si="4"/>
        <v>0</v>
      </c>
      <c r="Q289" s="11">
        <f>IF(P289=Sheet1!$M289, 1, 0)</f>
        <v>1</v>
      </c>
    </row>
    <row r="290" spans="1:17" x14ac:dyDescent="0.35">
      <c r="A290" s="6" t="s">
        <v>311</v>
      </c>
      <c r="B290" s="6" t="s">
        <v>318</v>
      </c>
      <c r="C290" s="6">
        <v>0.17001379181516729</v>
      </c>
      <c r="D290" s="6">
        <v>0.17393549738052108</v>
      </c>
      <c r="E290" s="6">
        <v>0.4506215396052215</v>
      </c>
      <c r="F290" s="6">
        <v>0.29630496174740628</v>
      </c>
      <c r="G290" s="6">
        <v>-0.39104726017958491</v>
      </c>
      <c r="H290" s="6">
        <v>0.84715140286962443</v>
      </c>
      <c r="I290" s="6">
        <v>0.65492403581939218</v>
      </c>
      <c r="J290" s="6">
        <v>0.17480459922310504</v>
      </c>
      <c r="K290" s="6">
        <v>0.24342737749436399</v>
      </c>
      <c r="L290" s="6">
        <v>-0.11592692920926659</v>
      </c>
      <c r="N290" s="8">
        <f>SQRT((C290-Sheet2!$C$525)^2+(D290-Sheet2!$D$525)^2+(E290-Sheet2!$E$525)^2+(F290-Sheet2!$F$525)^2+(G290-Sheet2!$G$525)^2+(H290-Sheet2!$H$525)^2+(I290-Sheet2!$I$525)^2+(J290-Sheet2!$J$525)^2+(K290-Sheet2!$K$525)^2+(L290-Sheet2!$L$525)^2)</f>
        <v>1.7870587913755709</v>
      </c>
      <c r="O290" s="8">
        <f>SQRT((C290-Sheet2!$C$526)^2+(D290-Sheet2!$D$526)^2+(E290-Sheet2!$E$526)^2+(F290-Sheet2!$F$526)^2+(G290-Sheet2!$G$526)^2+(H290-Sheet2!$H$526)^2+(I290-Sheet2!$I$526)^2+(J290-Sheet2!$J$526)^2+(K290-Sheet2!$K$526)^2+(L290-Sheet2!$L$526)^2)</f>
        <v>2.9609990279495593</v>
      </c>
      <c r="P290" s="12">
        <f t="shared" si="4"/>
        <v>0</v>
      </c>
      <c r="Q290" s="11">
        <f>IF(P290=Sheet1!$M290, 1, 0)</f>
        <v>1</v>
      </c>
    </row>
    <row r="291" spans="1:17" x14ac:dyDescent="0.35">
      <c r="A291" s="6" t="s">
        <v>311</v>
      </c>
      <c r="B291" s="6" t="s">
        <v>319</v>
      </c>
      <c r="C291" s="6">
        <v>1.981743169242296</v>
      </c>
      <c r="D291" s="6">
        <v>-1.4709884786706573</v>
      </c>
      <c r="E291" s="6">
        <v>-0.46704293558447968</v>
      </c>
      <c r="F291" s="6">
        <v>-0.79448480133168509</v>
      </c>
      <c r="G291" s="6">
        <v>-0.66688058457460209</v>
      </c>
      <c r="H291" s="6">
        <v>0.10922227203239547</v>
      </c>
      <c r="I291" s="6">
        <v>0.20485197129869362</v>
      </c>
      <c r="J291" s="6">
        <v>-1.2562594323888439</v>
      </c>
      <c r="K291" s="6">
        <v>0.62056855640422703</v>
      </c>
      <c r="L291" s="6">
        <v>-0.39077477480497946</v>
      </c>
      <c r="N291" s="8">
        <f>SQRT((C291-Sheet2!$C$525)^2+(D291-Sheet2!$D$525)^2+(E291-Sheet2!$E$525)^2+(F291-Sheet2!$F$525)^2+(G291-Sheet2!$G$525)^2+(H291-Sheet2!$H$525)^2+(I291-Sheet2!$I$525)^2+(J291-Sheet2!$J$525)^2+(K291-Sheet2!$K$525)^2+(L291-Sheet2!$L$525)^2)</f>
        <v>2.5631353430412172</v>
      </c>
      <c r="O291" s="8">
        <f>SQRT((C291-Sheet2!$C$526)^2+(D291-Sheet2!$D$526)^2+(E291-Sheet2!$E$526)^2+(F291-Sheet2!$F$526)^2+(G291-Sheet2!$G$526)^2+(H291-Sheet2!$H$526)^2+(I291-Sheet2!$I$526)^2+(J291-Sheet2!$J$526)^2+(K291-Sheet2!$K$526)^2+(L291-Sheet2!$L$526)^2)</f>
        <v>6.0076388586513803</v>
      </c>
      <c r="P291" s="12">
        <f t="shared" si="4"/>
        <v>0</v>
      </c>
      <c r="Q291" s="11">
        <f>IF(P291=Sheet1!$M291, 1, 0)</f>
        <v>0</v>
      </c>
    </row>
    <row r="292" spans="1:17" x14ac:dyDescent="0.35">
      <c r="A292" s="6" t="s">
        <v>311</v>
      </c>
      <c r="B292" s="6" t="s">
        <v>320</v>
      </c>
      <c r="C292" s="6">
        <v>-0.48623484934177025</v>
      </c>
      <c r="D292" s="6">
        <v>0.67723313184394029</v>
      </c>
      <c r="E292" s="6">
        <v>1.7219423360241932</v>
      </c>
      <c r="F292" s="6">
        <v>1.41944865847715</v>
      </c>
      <c r="G292" s="6">
        <v>0.64550533781010599</v>
      </c>
      <c r="H292" s="6">
        <v>0.77712893060039778</v>
      </c>
      <c r="I292" s="6">
        <v>0.83023539239615152</v>
      </c>
      <c r="J292" s="6">
        <v>4.953904738439361E-2</v>
      </c>
      <c r="K292" s="6">
        <v>-0.60318414860619551</v>
      </c>
      <c r="L292" s="6">
        <v>-0.17735583798839505</v>
      </c>
      <c r="N292" s="8">
        <f>SQRT((C292-Sheet2!$C$525)^2+(D292-Sheet2!$D$525)^2+(E292-Sheet2!$E$525)^2+(F292-Sheet2!$F$525)^2+(G292-Sheet2!$G$525)^2+(H292-Sheet2!$H$525)^2+(I292-Sheet2!$I$525)^2+(J292-Sheet2!$J$525)^2+(K292-Sheet2!$K$525)^2+(L292-Sheet2!$L$525)^2)</f>
        <v>3.4536273132097843</v>
      </c>
      <c r="O292" s="8">
        <f>SQRT((C292-Sheet2!$C$526)^2+(D292-Sheet2!$D$526)^2+(E292-Sheet2!$E$526)^2+(F292-Sheet2!$F$526)^2+(G292-Sheet2!$G$526)^2+(H292-Sheet2!$H$526)^2+(I292-Sheet2!$I$526)^2+(J292-Sheet2!$J$526)^2+(K292-Sheet2!$K$526)^2+(L292-Sheet2!$L$526)^2)</f>
        <v>1.6943459286919735</v>
      </c>
      <c r="P292" s="12">
        <f t="shared" si="4"/>
        <v>1</v>
      </c>
      <c r="Q292" s="11">
        <f>IF(P292=Sheet1!$M292, 1, 0)</f>
        <v>0</v>
      </c>
    </row>
    <row r="293" spans="1:17" x14ac:dyDescent="0.35">
      <c r="A293" s="6" t="s">
        <v>311</v>
      </c>
      <c r="B293" s="6" t="s">
        <v>321</v>
      </c>
      <c r="C293" s="6">
        <v>-0.45536834883745614</v>
      </c>
      <c r="D293" s="6">
        <v>1.3585262711785708</v>
      </c>
      <c r="E293" s="6">
        <v>0.29847564307637903</v>
      </c>
      <c r="F293" s="6">
        <v>0.95262761580347066</v>
      </c>
      <c r="G293" s="6">
        <v>0.24482114026787305</v>
      </c>
      <c r="H293" s="6">
        <v>0.72595866240365625</v>
      </c>
      <c r="I293" s="6">
        <v>0.94307215644737541</v>
      </c>
      <c r="J293" s="6">
        <v>-0.56919686018257654</v>
      </c>
      <c r="K293" s="6">
        <v>0.93824349133659779</v>
      </c>
      <c r="L293" s="6">
        <v>-0.39752656113963664</v>
      </c>
      <c r="N293" s="8">
        <f>SQRT((C293-Sheet2!$C$525)^2+(D293-Sheet2!$D$525)^2+(E293-Sheet2!$E$525)^2+(F293-Sheet2!$F$525)^2+(G293-Sheet2!$G$525)^2+(H293-Sheet2!$H$525)^2+(I293-Sheet2!$I$525)^2+(J293-Sheet2!$J$525)^2+(K293-Sheet2!$K$525)^2+(L293-Sheet2!$L$525)^2)</f>
        <v>2.8710128850322096</v>
      </c>
      <c r="O293" s="8">
        <f>SQRT((C293-Sheet2!$C$526)^2+(D293-Sheet2!$D$526)^2+(E293-Sheet2!$E$526)^2+(F293-Sheet2!$F$526)^2+(G293-Sheet2!$G$526)^2+(H293-Sheet2!$H$526)^2+(I293-Sheet2!$I$526)^2+(J293-Sheet2!$J$526)^2+(K293-Sheet2!$K$526)^2+(L293-Sheet2!$L$526)^2)</f>
        <v>2.9787495693402204</v>
      </c>
      <c r="P293" s="12">
        <f t="shared" si="4"/>
        <v>0</v>
      </c>
      <c r="Q293" s="11">
        <f>IF(P293=Sheet1!$M293, 1, 0)</f>
        <v>1</v>
      </c>
    </row>
    <row r="294" spans="1:17" x14ac:dyDescent="0.35">
      <c r="A294" s="6" t="s">
        <v>322</v>
      </c>
      <c r="B294" s="6" t="s">
        <v>323</v>
      </c>
      <c r="C294" s="6">
        <v>2.1629161069850089</v>
      </c>
      <c r="D294" s="6">
        <v>-0.97996639626732074</v>
      </c>
      <c r="E294" s="6">
        <v>-1.1117289378253377</v>
      </c>
      <c r="F294" s="6">
        <v>-0.93930717100602734</v>
      </c>
      <c r="G294" s="6">
        <v>-0.73656479284281529</v>
      </c>
      <c r="H294" s="6">
        <v>-1.23197738912432</v>
      </c>
      <c r="I294" s="6">
        <v>9.9665157352638603E-2</v>
      </c>
      <c r="J294" s="6">
        <v>-1.2600553582021381</v>
      </c>
      <c r="K294" s="6">
        <v>0.73167653857269133</v>
      </c>
      <c r="L294" s="6">
        <v>-0.42859555175044162</v>
      </c>
      <c r="N294" s="8">
        <f>SQRT((C294-Sheet2!$C$525)^2+(D294-Sheet2!$D$525)^2+(E294-Sheet2!$E$525)^2+(F294-Sheet2!$F$525)^2+(G294-Sheet2!$G$525)^2+(H294-Sheet2!$H$525)^2+(I294-Sheet2!$I$525)^2+(J294-Sheet2!$J$525)^2+(K294-Sheet2!$K$525)^2+(L294-Sheet2!$L$525)^2)</f>
        <v>2.8779143958878319</v>
      </c>
      <c r="O294" s="8">
        <f>SQRT((C294-Sheet2!$C$526)^2+(D294-Sheet2!$D$526)^2+(E294-Sheet2!$E$526)^2+(F294-Sheet2!$F$526)^2+(G294-Sheet2!$G$526)^2+(H294-Sheet2!$H$526)^2+(I294-Sheet2!$I$526)^2+(J294-Sheet2!$J$526)^2+(K294-Sheet2!$K$526)^2+(L294-Sheet2!$L$526)^2)</f>
        <v>6.5184306889705912</v>
      </c>
      <c r="P294" s="12">
        <f t="shared" si="4"/>
        <v>0</v>
      </c>
      <c r="Q294" s="11">
        <f>IF(P294=Sheet1!$M294, 1, 0)</f>
        <v>0</v>
      </c>
    </row>
    <row r="295" spans="1:17" x14ac:dyDescent="0.35">
      <c r="A295" s="6" t="s">
        <v>322</v>
      </c>
      <c r="B295" s="6" t="s">
        <v>324</v>
      </c>
      <c r="C295" s="6">
        <v>2.336036914161379</v>
      </c>
      <c r="D295" s="6">
        <v>-0.68535314682531845</v>
      </c>
      <c r="E295" s="6">
        <v>-0.35763051120417405</v>
      </c>
      <c r="F295" s="6">
        <v>-0.64504044113582093</v>
      </c>
      <c r="G295" s="6">
        <v>-1.3056524936999039</v>
      </c>
      <c r="H295" s="6">
        <v>-0.43856891487378108</v>
      </c>
      <c r="I295" s="6">
        <v>-0.3510444030101576</v>
      </c>
      <c r="J295" s="6">
        <v>-0.64891130226175675</v>
      </c>
      <c r="K295" s="6">
        <v>0.45781883604478379</v>
      </c>
      <c r="L295" s="6">
        <v>-0.37515930085655835</v>
      </c>
      <c r="N295" s="8">
        <f>SQRT((C295-Sheet2!$C$525)^2+(D295-Sheet2!$D$525)^2+(E295-Sheet2!$E$525)^2+(F295-Sheet2!$F$525)^2+(G295-Sheet2!$G$525)^2+(H295-Sheet2!$H$525)^2+(I295-Sheet2!$I$525)^2+(J295-Sheet2!$J$525)^2+(K295-Sheet2!$K$525)^2+(L295-Sheet2!$L$525)^2)</f>
        <v>2.5513131927694181</v>
      </c>
      <c r="O295" s="8">
        <f>SQRT((C295-Sheet2!$C$526)^2+(D295-Sheet2!$D$526)^2+(E295-Sheet2!$E$526)^2+(F295-Sheet2!$F$526)^2+(G295-Sheet2!$G$526)^2+(H295-Sheet2!$H$526)^2+(I295-Sheet2!$I$526)^2+(J295-Sheet2!$J$526)^2+(K295-Sheet2!$K$526)^2+(L295-Sheet2!$L$526)^2)</f>
        <v>5.8970644061729889</v>
      </c>
      <c r="P295" s="12">
        <f t="shared" si="4"/>
        <v>0</v>
      </c>
      <c r="Q295" s="11">
        <f>IF(P295=Sheet1!$M295, 1, 0)</f>
        <v>0</v>
      </c>
    </row>
    <row r="296" spans="1:17" x14ac:dyDescent="0.35">
      <c r="A296" s="6" t="s">
        <v>322</v>
      </c>
      <c r="B296" s="6" t="s">
        <v>325</v>
      </c>
      <c r="C296" s="6">
        <v>1.4368823342531003</v>
      </c>
      <c r="D296" s="6">
        <v>-0.64238871461502689</v>
      </c>
      <c r="E296" s="6">
        <v>-1.0494706896089347</v>
      </c>
      <c r="F296" s="6">
        <v>-0.8499486875899438</v>
      </c>
      <c r="G296" s="6">
        <v>-1.3782402106459608</v>
      </c>
      <c r="H296" s="6">
        <v>-0.1229291552601927</v>
      </c>
      <c r="I296" s="6">
        <v>-3.357147364569868E-2</v>
      </c>
      <c r="J296" s="6">
        <v>-0.40597205021092181</v>
      </c>
      <c r="K296" s="6">
        <v>0.67221029459520354</v>
      </c>
      <c r="L296" s="6">
        <v>-0.35686516915548205</v>
      </c>
      <c r="N296" s="8">
        <f>SQRT((C296-Sheet2!$C$525)^2+(D296-Sheet2!$D$525)^2+(E296-Sheet2!$E$525)^2+(F296-Sheet2!$F$525)^2+(G296-Sheet2!$G$525)^2+(H296-Sheet2!$H$525)^2+(I296-Sheet2!$I$525)^2+(J296-Sheet2!$J$525)^2+(K296-Sheet2!$K$525)^2+(L296-Sheet2!$L$525)^2)</f>
        <v>2.0578263039095366</v>
      </c>
      <c r="O296" s="8">
        <f>SQRT((C296-Sheet2!$C$526)^2+(D296-Sheet2!$D$526)^2+(E296-Sheet2!$E$526)^2+(F296-Sheet2!$F$526)^2+(G296-Sheet2!$G$526)^2+(H296-Sheet2!$H$526)^2+(I296-Sheet2!$I$526)^2+(J296-Sheet2!$J$526)^2+(K296-Sheet2!$K$526)^2+(L296-Sheet2!$L$526)^2)</f>
        <v>5.6881113032964477</v>
      </c>
      <c r="P296" s="12">
        <f t="shared" si="4"/>
        <v>0</v>
      </c>
      <c r="Q296" s="11">
        <f>IF(P296=Sheet1!$M296, 1, 0)</f>
        <v>0</v>
      </c>
    </row>
    <row r="297" spans="1:17" x14ac:dyDescent="0.35">
      <c r="A297" s="6" t="s">
        <v>322</v>
      </c>
      <c r="B297" s="6" t="s">
        <v>326</v>
      </c>
      <c r="C297" s="6">
        <v>1.9280622988000107</v>
      </c>
      <c r="D297" s="6">
        <v>-1.0413441565677377</v>
      </c>
      <c r="E297" s="6">
        <v>-1.2841363944246069</v>
      </c>
      <c r="F297" s="6">
        <v>-1.196597976704062</v>
      </c>
      <c r="G297" s="6">
        <v>-0.92819636558040863</v>
      </c>
      <c r="H297" s="6">
        <v>-1.4571265691899855</v>
      </c>
      <c r="I297" s="6">
        <v>-1.5010869021536981</v>
      </c>
      <c r="J297" s="6">
        <v>-0.94499351569871182</v>
      </c>
      <c r="K297" s="6">
        <v>1.4280575535722282</v>
      </c>
      <c r="L297" s="6">
        <v>-0.35689011780720808</v>
      </c>
      <c r="N297" s="8">
        <f>SQRT((C297-Sheet2!$C$525)^2+(D297-Sheet2!$D$525)^2+(E297-Sheet2!$E$525)^2+(F297-Sheet2!$F$525)^2+(G297-Sheet2!$G$525)^2+(H297-Sheet2!$H$525)^2+(I297-Sheet2!$I$525)^2+(J297-Sheet2!$J$525)^2+(K297-Sheet2!$K$525)^2+(L297-Sheet2!$L$525)^2)</f>
        <v>3.37185030690509</v>
      </c>
      <c r="O297" s="8">
        <f>SQRT((C297-Sheet2!$C$526)^2+(D297-Sheet2!$D$526)^2+(E297-Sheet2!$E$526)^2+(F297-Sheet2!$F$526)^2+(G297-Sheet2!$G$526)^2+(H297-Sheet2!$H$526)^2+(I297-Sheet2!$I$526)^2+(J297-Sheet2!$J$526)^2+(K297-Sheet2!$K$526)^2+(L297-Sheet2!$L$526)^2)</f>
        <v>7.1252495442367456</v>
      </c>
      <c r="P297" s="12">
        <f t="shared" si="4"/>
        <v>0</v>
      </c>
      <c r="Q297" s="11">
        <f>IF(P297=Sheet1!$M297, 1, 0)</f>
        <v>0</v>
      </c>
    </row>
    <row r="298" spans="1:17" x14ac:dyDescent="0.35">
      <c r="A298" s="6" t="s">
        <v>322</v>
      </c>
      <c r="B298" s="6" t="s">
        <v>327</v>
      </c>
      <c r="C298" s="6">
        <v>1.3885695508550437</v>
      </c>
      <c r="D298" s="6">
        <v>-0.29253548090264925</v>
      </c>
      <c r="E298" s="6">
        <v>-1.4738582750840594</v>
      </c>
      <c r="F298" s="6">
        <v>-0.96087646010646144</v>
      </c>
      <c r="G298" s="6">
        <v>-0.74527531887634235</v>
      </c>
      <c r="H298" s="6">
        <v>-0.38632137787289705</v>
      </c>
      <c r="I298" s="6">
        <v>0.14110238708896297</v>
      </c>
      <c r="J298" s="6">
        <v>-0.4477272341571592</v>
      </c>
      <c r="K298" s="6">
        <v>1.3998893327407853</v>
      </c>
      <c r="L298" s="6">
        <v>-0.39731579309109355</v>
      </c>
      <c r="N298" s="8">
        <f>SQRT((C298-Sheet2!$C$525)^2+(D298-Sheet2!$D$525)^2+(E298-Sheet2!$E$525)^2+(F298-Sheet2!$F$525)^2+(G298-Sheet2!$G$525)^2+(H298-Sheet2!$H$525)^2+(I298-Sheet2!$I$525)^2+(J298-Sheet2!$J$525)^2+(K298-Sheet2!$K$525)^2+(L298-Sheet2!$L$525)^2)</f>
        <v>2.3059043774791865</v>
      </c>
      <c r="O298" s="8">
        <f>SQRT((C298-Sheet2!$C$526)^2+(D298-Sheet2!$D$526)^2+(E298-Sheet2!$E$526)^2+(F298-Sheet2!$F$526)^2+(G298-Sheet2!$G$526)^2+(H298-Sheet2!$H$526)^2+(I298-Sheet2!$I$526)^2+(J298-Sheet2!$J$526)^2+(K298-Sheet2!$K$526)^2+(L298-Sheet2!$L$526)^2)</f>
        <v>5.832972846972309</v>
      </c>
      <c r="P298" s="12">
        <f t="shared" si="4"/>
        <v>0</v>
      </c>
      <c r="Q298" s="11">
        <f>IF(P298=Sheet1!$M298, 1, 0)</f>
        <v>0</v>
      </c>
    </row>
    <row r="299" spans="1:17" x14ac:dyDescent="0.35">
      <c r="A299" s="6" t="s">
        <v>322</v>
      </c>
      <c r="B299" s="6" t="s">
        <v>328</v>
      </c>
      <c r="C299" s="6">
        <v>0.45720644868139365</v>
      </c>
      <c r="D299" s="6">
        <v>-0.66080204270515153</v>
      </c>
      <c r="E299" s="6">
        <v>-1.0660483296665568</v>
      </c>
      <c r="F299" s="6">
        <v>-1.1026175027664555</v>
      </c>
      <c r="G299" s="6">
        <v>-1.3840472280016443</v>
      </c>
      <c r="H299" s="6">
        <v>-0.29098308870633555</v>
      </c>
      <c r="I299" s="6">
        <v>0.20038950040401293</v>
      </c>
      <c r="J299" s="6">
        <v>0.11027386039710205</v>
      </c>
      <c r="K299" s="6">
        <v>0.21056445319101608</v>
      </c>
      <c r="L299" s="6">
        <v>-0.39583270648957741</v>
      </c>
      <c r="N299" s="8">
        <f>SQRT((C299-Sheet2!$C$525)^2+(D299-Sheet2!$D$525)^2+(E299-Sheet2!$E$525)^2+(F299-Sheet2!$F$525)^2+(G299-Sheet2!$G$525)^2+(H299-Sheet2!$H$525)^2+(I299-Sheet2!$I$525)^2+(J299-Sheet2!$J$525)^2+(K299-Sheet2!$K$525)^2+(L299-Sheet2!$L$525)^2)</f>
        <v>1.7561988722217396</v>
      </c>
      <c r="O299" s="8">
        <f>SQRT((C299-Sheet2!$C$526)^2+(D299-Sheet2!$D$526)^2+(E299-Sheet2!$E$526)^2+(F299-Sheet2!$F$526)^2+(G299-Sheet2!$G$526)^2+(H299-Sheet2!$H$526)^2+(I299-Sheet2!$I$526)^2+(J299-Sheet2!$J$526)^2+(K299-Sheet2!$K$526)^2+(L299-Sheet2!$L$526)^2)</f>
        <v>5.3084658346263192</v>
      </c>
      <c r="P299" s="12">
        <f t="shared" si="4"/>
        <v>0</v>
      </c>
      <c r="Q299" s="11">
        <f>IF(P299=Sheet1!$M299, 1, 0)</f>
        <v>1</v>
      </c>
    </row>
    <row r="300" spans="1:17" x14ac:dyDescent="0.35">
      <c r="A300" s="6" t="s">
        <v>322</v>
      </c>
      <c r="B300" s="6" t="s">
        <v>329</v>
      </c>
      <c r="C300" s="6">
        <v>1.1832402214133022</v>
      </c>
      <c r="D300" s="6">
        <v>-1.0197783520730632E-2</v>
      </c>
      <c r="E300" s="6">
        <v>-1.3165548905372901</v>
      </c>
      <c r="F300" s="6">
        <v>-1.3183103937707965</v>
      </c>
      <c r="G300" s="6">
        <v>-2.3276875483003843</v>
      </c>
      <c r="H300" s="6">
        <v>0.32090559204628627</v>
      </c>
      <c r="I300" s="6">
        <v>-0.68254224090075621</v>
      </c>
      <c r="J300" s="6">
        <v>-0.93740166407212322</v>
      </c>
      <c r="K300" s="6">
        <v>0.45938373720208692</v>
      </c>
      <c r="L300" s="6">
        <v>-0.41618871679619918</v>
      </c>
      <c r="N300" s="8">
        <f>SQRT((C300-Sheet2!$C$525)^2+(D300-Sheet2!$D$525)^2+(E300-Sheet2!$E$525)^2+(F300-Sheet2!$F$525)^2+(G300-Sheet2!$G$525)^2+(H300-Sheet2!$H$525)^2+(I300-Sheet2!$I$525)^2+(J300-Sheet2!$J$525)^2+(K300-Sheet2!$K$525)^2+(L300-Sheet2!$L$525)^2)</f>
        <v>2.9459515108994769</v>
      </c>
      <c r="O300" s="8">
        <f>SQRT((C300-Sheet2!$C$526)^2+(D300-Sheet2!$D$526)^2+(E300-Sheet2!$E$526)^2+(F300-Sheet2!$F$526)^2+(G300-Sheet2!$G$526)^2+(H300-Sheet2!$H$526)^2+(I300-Sheet2!$I$526)^2+(J300-Sheet2!$J$526)^2+(K300-Sheet2!$K$526)^2+(L300-Sheet2!$L$526)^2)</f>
        <v>6.377700336801742</v>
      </c>
      <c r="P300" s="12">
        <f t="shared" si="4"/>
        <v>0</v>
      </c>
      <c r="Q300" s="11">
        <f>IF(P300=Sheet1!$M300, 1, 0)</f>
        <v>0</v>
      </c>
    </row>
    <row r="301" spans="1:17" x14ac:dyDescent="0.35">
      <c r="A301" s="6" t="s">
        <v>322</v>
      </c>
      <c r="B301" s="6" t="s">
        <v>330</v>
      </c>
      <c r="C301" s="6">
        <v>1.8703553630745542</v>
      </c>
      <c r="D301" s="6">
        <v>-0.1268155280915228</v>
      </c>
      <c r="E301" s="6">
        <v>-1.1301485378893621</v>
      </c>
      <c r="F301" s="6">
        <v>-0.79756612834603213</v>
      </c>
      <c r="G301" s="6">
        <v>-0.71333672342007748</v>
      </c>
      <c r="H301" s="6">
        <v>0.79059479065217197</v>
      </c>
      <c r="I301" s="6">
        <v>0.49555007529506556</v>
      </c>
      <c r="J301" s="6">
        <v>-4.5359097947963757E-2</v>
      </c>
      <c r="K301" s="6">
        <v>-0.19161514423568365</v>
      </c>
      <c r="L301" s="6">
        <v>-0.43427609229222597</v>
      </c>
      <c r="N301" s="8">
        <f>SQRT((C301-Sheet2!$C$525)^2+(D301-Sheet2!$D$525)^2+(E301-Sheet2!$E$525)^2+(F301-Sheet2!$F$525)^2+(G301-Sheet2!$G$525)^2+(H301-Sheet2!$H$525)^2+(I301-Sheet2!$I$525)^2+(J301-Sheet2!$J$525)^2+(K301-Sheet2!$K$525)^2+(L301-Sheet2!$L$525)^2)</f>
        <v>2.3816239781003956</v>
      </c>
      <c r="O301" s="8">
        <f>SQRT((C301-Sheet2!$C$526)^2+(D301-Sheet2!$D$526)^2+(E301-Sheet2!$E$526)^2+(F301-Sheet2!$F$526)^2+(G301-Sheet2!$G$526)^2+(H301-Sheet2!$H$526)^2+(I301-Sheet2!$I$526)^2+(J301-Sheet2!$J$526)^2+(K301-Sheet2!$K$526)^2+(L301-Sheet2!$L$526)^2)</f>
        <v>5.1393217321202727</v>
      </c>
      <c r="P301" s="12">
        <f t="shared" si="4"/>
        <v>0</v>
      </c>
      <c r="Q301" s="11">
        <f>IF(P301=Sheet1!$M301, 1, 0)</f>
        <v>0</v>
      </c>
    </row>
    <row r="302" spans="1:17" x14ac:dyDescent="0.35">
      <c r="A302" s="6" t="s">
        <v>322</v>
      </c>
      <c r="B302" s="6" t="s">
        <v>331</v>
      </c>
      <c r="C302" s="6">
        <v>-0.15207143083854427</v>
      </c>
      <c r="D302" s="6">
        <v>-0.43984210562365039</v>
      </c>
      <c r="E302" s="6">
        <v>-1.0118947054783247</v>
      </c>
      <c r="F302" s="6">
        <v>-0.87922129422624684</v>
      </c>
      <c r="G302" s="6">
        <v>-1.262099863532268</v>
      </c>
      <c r="H302" s="6">
        <v>0.85415365009654687</v>
      </c>
      <c r="I302" s="6">
        <v>0.88633502650071505</v>
      </c>
      <c r="J302" s="6">
        <v>-0.47429871485021918</v>
      </c>
      <c r="K302" s="6">
        <v>0.36548966776394587</v>
      </c>
      <c r="L302" s="6">
        <v>-0.3854336947288074</v>
      </c>
      <c r="N302" s="8">
        <f>SQRT((C302-Sheet2!$C$525)^2+(D302-Sheet2!$D$525)^2+(E302-Sheet2!$E$525)^2+(F302-Sheet2!$F$525)^2+(G302-Sheet2!$G$525)^2+(H302-Sheet2!$H$525)^2+(I302-Sheet2!$I$525)^2+(J302-Sheet2!$J$525)^2+(K302-Sheet2!$K$525)^2+(L302-Sheet2!$L$525)^2)</f>
        <v>2.0836741975729742</v>
      </c>
      <c r="O302" s="8">
        <f>SQRT((C302-Sheet2!$C$526)^2+(D302-Sheet2!$D$526)^2+(E302-Sheet2!$E$526)^2+(F302-Sheet2!$F$526)^2+(G302-Sheet2!$G$526)^2+(H302-Sheet2!$H$526)^2+(I302-Sheet2!$I$526)^2+(J302-Sheet2!$J$526)^2+(K302-Sheet2!$K$526)^2+(L302-Sheet2!$L$526)^2)</f>
        <v>4.9673499075201315</v>
      </c>
      <c r="P302" s="12">
        <f t="shared" si="4"/>
        <v>0</v>
      </c>
      <c r="Q302" s="11">
        <f>IF(P302=Sheet1!$M302, 1, 0)</f>
        <v>1</v>
      </c>
    </row>
    <row r="303" spans="1:17" x14ac:dyDescent="0.35">
      <c r="A303" s="6" t="s">
        <v>322</v>
      </c>
      <c r="B303" s="6" t="s">
        <v>332</v>
      </c>
      <c r="C303" s="6">
        <v>0.14451537835508185</v>
      </c>
      <c r="D303" s="6">
        <v>-0.9124508599368617</v>
      </c>
      <c r="E303" s="6">
        <v>-0.84869704891106756</v>
      </c>
      <c r="F303" s="6">
        <v>-0.69588233687255807</v>
      </c>
      <c r="G303" s="6">
        <v>-0.64074900647402055</v>
      </c>
      <c r="H303" s="6">
        <v>0.31982832324214455</v>
      </c>
      <c r="I303" s="6">
        <v>0.44455040792728123</v>
      </c>
      <c r="J303" s="6">
        <v>-0.19719613047973569</v>
      </c>
      <c r="K303" s="6">
        <v>0.69724871311204029</v>
      </c>
      <c r="L303" s="6">
        <v>-0.38849611038565041</v>
      </c>
      <c r="N303" s="8">
        <f>SQRT((C303-Sheet2!$C$525)^2+(D303-Sheet2!$D$525)^2+(E303-Sheet2!$E$525)^2+(F303-Sheet2!$F$525)^2+(G303-Sheet2!$G$525)^2+(H303-Sheet2!$H$525)^2+(I303-Sheet2!$I$525)^2+(J303-Sheet2!$J$525)^2+(K303-Sheet2!$K$525)^2+(L303-Sheet2!$L$525)^2)</f>
        <v>1.4007621772474259</v>
      </c>
      <c r="O303" s="8">
        <f>SQRT((C303-Sheet2!$C$526)^2+(D303-Sheet2!$D$526)^2+(E303-Sheet2!$E$526)^2+(F303-Sheet2!$F$526)^2+(G303-Sheet2!$G$526)^2+(H303-Sheet2!$H$526)^2+(I303-Sheet2!$I$526)^2+(J303-Sheet2!$J$526)^2+(K303-Sheet2!$K$526)^2+(L303-Sheet2!$L$526)^2)</f>
        <v>4.8323496637419936</v>
      </c>
      <c r="P303" s="12">
        <f t="shared" si="4"/>
        <v>0</v>
      </c>
      <c r="Q303" s="11">
        <f>IF(P303=Sheet1!$M303, 1, 0)</f>
        <v>1</v>
      </c>
    </row>
    <row r="304" spans="1:17" x14ac:dyDescent="0.35">
      <c r="A304" s="6" t="s">
        <v>322</v>
      </c>
      <c r="B304" s="6" t="s">
        <v>333</v>
      </c>
      <c r="C304" s="6">
        <v>1.5912148367746703</v>
      </c>
      <c r="D304" s="6">
        <v>-0.24957104869235763</v>
      </c>
      <c r="E304" s="6">
        <v>-0.47809469562289436</v>
      </c>
      <c r="F304" s="6">
        <v>-0.40469693401669876</v>
      </c>
      <c r="G304" s="6">
        <v>-1.2272577593981593</v>
      </c>
      <c r="H304" s="6">
        <v>0.50781172956491283</v>
      </c>
      <c r="I304" s="6">
        <v>0.82003545892259477</v>
      </c>
      <c r="J304" s="6">
        <v>-0.92980981244553462</v>
      </c>
      <c r="K304" s="6">
        <v>1.2684376355273892</v>
      </c>
      <c r="L304" s="6">
        <v>-0.37195417222543659</v>
      </c>
      <c r="N304" s="8">
        <f>SQRT((C304-Sheet2!$C$525)^2+(D304-Sheet2!$D$525)^2+(E304-Sheet2!$E$525)^2+(F304-Sheet2!$F$525)^2+(G304-Sheet2!$G$525)^2+(H304-Sheet2!$H$525)^2+(I304-Sheet2!$I$525)^2+(J304-Sheet2!$J$525)^2+(K304-Sheet2!$K$525)^2+(L304-Sheet2!$L$525)^2)</f>
        <v>2.5089284928178133</v>
      </c>
      <c r="O304" s="8">
        <f>SQRT((C304-Sheet2!$C$526)^2+(D304-Sheet2!$D$526)^2+(E304-Sheet2!$E$526)^2+(F304-Sheet2!$F$526)^2+(G304-Sheet2!$G$526)^2+(H304-Sheet2!$H$526)^2+(I304-Sheet2!$I$526)^2+(J304-Sheet2!$J$526)^2+(K304-Sheet2!$K$526)^2+(L304-Sheet2!$L$526)^2)</f>
        <v>5.3925491035346189</v>
      </c>
      <c r="P304" s="12">
        <f t="shared" si="4"/>
        <v>0</v>
      </c>
      <c r="Q304" s="11">
        <f>IF(P304=Sheet1!$M304, 1, 0)</f>
        <v>0</v>
      </c>
    </row>
    <row r="305" spans="1:17" x14ac:dyDescent="0.35">
      <c r="A305" s="6" t="s">
        <v>322</v>
      </c>
      <c r="B305" s="6" t="s">
        <v>334</v>
      </c>
      <c r="C305" s="6">
        <v>4.1179702753682719E-2</v>
      </c>
      <c r="D305" s="6">
        <v>5.7317752809727819E-2</v>
      </c>
      <c r="E305" s="6">
        <v>-0.55472023188923636</v>
      </c>
      <c r="F305" s="6">
        <v>-0.31533845060061522</v>
      </c>
      <c r="G305" s="6">
        <v>-0.44621392505858753</v>
      </c>
      <c r="H305" s="6">
        <v>0.76474033935276597</v>
      </c>
      <c r="I305" s="6">
        <v>0.60009939339902385</v>
      </c>
      <c r="J305" s="6">
        <v>-0.78556463154035128</v>
      </c>
      <c r="K305" s="6">
        <v>0.47346784761780619</v>
      </c>
      <c r="L305" s="6">
        <v>-0.41013171071157739</v>
      </c>
      <c r="N305" s="8">
        <f>SQRT((C305-Sheet2!$C$525)^2+(D305-Sheet2!$D$525)^2+(E305-Sheet2!$E$525)^2+(F305-Sheet2!$F$525)^2+(G305-Sheet2!$G$525)^2+(H305-Sheet2!$H$525)^2+(I305-Sheet2!$I$525)^2+(J305-Sheet2!$J$525)^2+(K305-Sheet2!$K$525)^2+(L305-Sheet2!$L$525)^2)</f>
        <v>1.4806560808143658</v>
      </c>
      <c r="O305" s="8">
        <f>SQRT((C305-Sheet2!$C$526)^2+(D305-Sheet2!$D$526)^2+(E305-Sheet2!$E$526)^2+(F305-Sheet2!$F$526)^2+(G305-Sheet2!$G$526)^2+(H305-Sheet2!$H$526)^2+(I305-Sheet2!$I$526)^2+(J305-Sheet2!$J$526)^2+(K305-Sheet2!$K$526)^2+(L305-Sheet2!$L$526)^2)</f>
        <v>4.1930574606180837</v>
      </c>
      <c r="P305" s="12">
        <f t="shared" si="4"/>
        <v>0</v>
      </c>
      <c r="Q305" s="11">
        <f>IF(P305=Sheet1!$M305, 1, 0)</f>
        <v>1</v>
      </c>
    </row>
    <row r="306" spans="1:17" x14ac:dyDescent="0.35">
      <c r="A306" s="6" t="s">
        <v>322</v>
      </c>
      <c r="B306" s="6" t="s">
        <v>335</v>
      </c>
      <c r="C306" s="6">
        <v>1.1013768939888173</v>
      </c>
      <c r="D306" s="6">
        <v>-0.50735764195410882</v>
      </c>
      <c r="E306" s="6">
        <v>-1.1758291460481429</v>
      </c>
      <c r="F306" s="6">
        <v>-0.7575088771595111</v>
      </c>
      <c r="G306" s="6">
        <v>-0.73946830152065901</v>
      </c>
      <c r="H306" s="6">
        <v>-0.23496511089095434</v>
      </c>
      <c r="I306" s="6">
        <v>0.41713808671709751</v>
      </c>
      <c r="J306" s="6">
        <v>-0.51605389879645636</v>
      </c>
      <c r="K306" s="6">
        <v>1.2731323389992963</v>
      </c>
      <c r="L306" s="6">
        <v>-0.39571398099618771</v>
      </c>
      <c r="N306" s="8">
        <f>SQRT((C306-Sheet2!$C$525)^2+(D306-Sheet2!$D$525)^2+(E306-Sheet2!$E$525)^2+(F306-Sheet2!$F$525)^2+(G306-Sheet2!$G$525)^2+(H306-Sheet2!$H$525)^2+(I306-Sheet2!$I$525)^2+(J306-Sheet2!$J$525)^2+(K306-Sheet2!$K$525)^2+(L306-Sheet2!$L$525)^2)</f>
        <v>1.962710021768757</v>
      </c>
      <c r="O306" s="8">
        <f>SQRT((C306-Sheet2!$C$526)^2+(D306-Sheet2!$D$526)^2+(E306-Sheet2!$E$526)^2+(F306-Sheet2!$F$526)^2+(G306-Sheet2!$G$526)^2+(H306-Sheet2!$H$526)^2+(I306-Sheet2!$I$526)^2+(J306-Sheet2!$J$526)^2+(K306-Sheet2!$K$526)^2+(L306-Sheet2!$L$526)^2)</f>
        <v>5.4933259316552121</v>
      </c>
      <c r="P306" s="12">
        <f t="shared" si="4"/>
        <v>0</v>
      </c>
      <c r="Q306" s="11">
        <f>IF(P306=Sheet1!$M306, 1, 0)</f>
        <v>0</v>
      </c>
    </row>
    <row r="307" spans="1:17" x14ac:dyDescent="0.35">
      <c r="A307" s="6" t="s">
        <v>322</v>
      </c>
      <c r="B307" s="6" t="s">
        <v>336</v>
      </c>
      <c r="C307" s="6">
        <v>2.1213134323922374</v>
      </c>
      <c r="D307" s="6">
        <v>-0.44597988165369196</v>
      </c>
      <c r="E307" s="6">
        <v>-1.4079161068548518</v>
      </c>
      <c r="F307" s="6">
        <v>-1.1288087823884114</v>
      </c>
      <c r="G307" s="6">
        <v>-1.386950736679488</v>
      </c>
      <c r="H307" s="6">
        <v>0.55628882575130034</v>
      </c>
      <c r="I307" s="6">
        <v>0.4573003247692275</v>
      </c>
      <c r="J307" s="6">
        <v>-0.52744167623633942</v>
      </c>
      <c r="K307" s="6">
        <v>0.73480634088729546</v>
      </c>
      <c r="L307" s="6">
        <v>-0.41774111217307142</v>
      </c>
      <c r="N307" s="8">
        <f>SQRT((C307-Sheet2!$C$525)^2+(D307-Sheet2!$D$525)^2+(E307-Sheet2!$E$525)^2+(F307-Sheet2!$F$525)^2+(G307-Sheet2!$G$525)^2+(H307-Sheet2!$H$525)^2+(I307-Sheet2!$I$525)^2+(J307-Sheet2!$J$525)^2+(K307-Sheet2!$K$525)^2+(L307-Sheet2!$L$525)^2)</f>
        <v>2.9077716879603419</v>
      </c>
      <c r="O307" s="8">
        <f>SQRT((C307-Sheet2!$C$526)^2+(D307-Sheet2!$D$526)^2+(E307-Sheet2!$E$526)^2+(F307-Sheet2!$F$526)^2+(G307-Sheet2!$G$526)^2+(H307-Sheet2!$H$526)^2+(I307-Sheet2!$I$526)^2+(J307-Sheet2!$J$526)^2+(K307-Sheet2!$K$526)^2+(L307-Sheet2!$L$526)^2)</f>
        <v>6.1404077318626973</v>
      </c>
      <c r="P307" s="12">
        <f t="shared" si="4"/>
        <v>0</v>
      </c>
      <c r="Q307" s="11">
        <f>IF(P307=Sheet1!$M307, 1, 0)</f>
        <v>0</v>
      </c>
    </row>
    <row r="308" spans="1:17" x14ac:dyDescent="0.35">
      <c r="A308" s="6" t="s">
        <v>322</v>
      </c>
      <c r="B308" s="6" t="s">
        <v>337</v>
      </c>
      <c r="C308" s="6">
        <v>0.75781932315819156</v>
      </c>
      <c r="D308" s="6">
        <v>-0.5380465221043178</v>
      </c>
      <c r="E308" s="6">
        <v>-1.0737845616934472</v>
      </c>
      <c r="F308" s="6">
        <v>-0.88692461176211568</v>
      </c>
      <c r="G308" s="6">
        <v>-0.63784549779618094</v>
      </c>
      <c r="H308" s="6">
        <v>-0.23658101409716734</v>
      </c>
      <c r="I308" s="6">
        <v>0.35020102329687958</v>
      </c>
      <c r="J308" s="6">
        <v>-4.5359097947963757E-2</v>
      </c>
      <c r="K308" s="6">
        <v>0.58144602747166874</v>
      </c>
      <c r="L308" s="6">
        <v>-0.41094878950311398</v>
      </c>
      <c r="N308" s="8">
        <f>SQRT((C308-Sheet2!$C$525)^2+(D308-Sheet2!$D$525)^2+(E308-Sheet2!$E$525)^2+(F308-Sheet2!$F$525)^2+(G308-Sheet2!$G$525)^2+(H308-Sheet2!$H$525)^2+(I308-Sheet2!$I$525)^2+(J308-Sheet2!$J$525)^2+(K308-Sheet2!$K$525)^2+(L308-Sheet2!$L$525)^2)</f>
        <v>1.4291818747587928</v>
      </c>
      <c r="O308" s="8">
        <f>SQRT((C308-Sheet2!$C$526)^2+(D308-Sheet2!$D$526)^2+(E308-Sheet2!$E$526)^2+(F308-Sheet2!$F$526)^2+(G308-Sheet2!$G$526)^2+(H308-Sheet2!$H$526)^2+(I308-Sheet2!$I$526)^2+(J308-Sheet2!$J$526)^2+(K308-Sheet2!$K$526)^2+(L308-Sheet2!$L$526)^2)</f>
        <v>5.0448386762839315</v>
      </c>
      <c r="P308" s="12">
        <f t="shared" si="4"/>
        <v>0</v>
      </c>
      <c r="Q308" s="11">
        <f>IF(P308=Sheet1!$M308, 1, 0)</f>
        <v>1</v>
      </c>
    </row>
    <row r="309" spans="1:17" x14ac:dyDescent="0.35">
      <c r="A309" s="6" t="s">
        <v>322</v>
      </c>
      <c r="B309" s="6" t="s">
        <v>338</v>
      </c>
      <c r="C309" s="6">
        <v>2.952024902486603</v>
      </c>
      <c r="D309" s="6">
        <v>-1.2070641093788641</v>
      </c>
      <c r="E309" s="6">
        <v>-1.5707453714208284</v>
      </c>
      <c r="F309" s="6">
        <v>-1.2520618629623208</v>
      </c>
      <c r="G309" s="6">
        <v>-0.35910866472332004</v>
      </c>
      <c r="H309" s="6">
        <v>-1.4361198275092175</v>
      </c>
      <c r="I309" s="6">
        <v>-1.5590990237845532</v>
      </c>
      <c r="J309" s="6">
        <v>-1.3701372067876727</v>
      </c>
      <c r="K309" s="6">
        <v>-5.3903842393077189E-2</v>
      </c>
      <c r="L309" s="6">
        <v>-0.44290788699405059</v>
      </c>
      <c r="N309" s="8">
        <f>SQRT((C309-Sheet2!$C$525)^2+(D309-Sheet2!$D$525)^2+(E309-Sheet2!$E$525)^2+(F309-Sheet2!$F$525)^2+(G309-Sheet2!$G$525)^2+(H309-Sheet2!$H$525)^2+(I309-Sheet2!$I$525)^2+(J309-Sheet2!$J$525)^2+(K309-Sheet2!$K$525)^2+(L309-Sheet2!$L$525)^2)</f>
        <v>3.9766142354243734</v>
      </c>
      <c r="O309" s="8">
        <f>SQRT((C309-Sheet2!$C$526)^2+(D309-Sheet2!$D$526)^2+(E309-Sheet2!$E$526)^2+(F309-Sheet2!$F$526)^2+(G309-Sheet2!$G$526)^2+(H309-Sheet2!$H$526)^2+(I309-Sheet2!$I$526)^2+(J309-Sheet2!$J$526)^2+(K309-Sheet2!$K$526)^2+(L309-Sheet2!$L$526)^2)</f>
        <v>7.5319469789420115</v>
      </c>
      <c r="P309" s="12">
        <f t="shared" si="4"/>
        <v>0</v>
      </c>
      <c r="Q309" s="11">
        <f>IF(P309=Sheet1!$M309, 1, 0)</f>
        <v>0</v>
      </c>
    </row>
    <row r="310" spans="1:17" x14ac:dyDescent="0.35">
      <c r="A310" s="6" t="s">
        <v>322</v>
      </c>
      <c r="B310" s="6" t="s">
        <v>339</v>
      </c>
      <c r="C310" s="6">
        <v>2.1347336500028091</v>
      </c>
      <c r="D310" s="6">
        <v>-1.2807174217393646</v>
      </c>
      <c r="E310" s="6">
        <v>-1.4624381230443642</v>
      </c>
      <c r="F310" s="6">
        <v>-1.1765693511108013</v>
      </c>
      <c r="G310" s="6">
        <v>-0.31555603455568837</v>
      </c>
      <c r="H310" s="6">
        <v>-1.8880340908467614</v>
      </c>
      <c r="I310" s="6">
        <v>-0.15214570027579766</v>
      </c>
      <c r="J310" s="6">
        <v>-1.1461775838033095</v>
      </c>
      <c r="K310" s="6">
        <v>2.1698207021335314</v>
      </c>
      <c r="L310" s="6">
        <v>-0.40972860402054001</v>
      </c>
      <c r="N310" s="8">
        <f>SQRT((C310-Sheet2!$C$525)^2+(D310-Sheet2!$D$525)^2+(E310-Sheet2!$E$525)^2+(F310-Sheet2!$F$525)^2+(G310-Sheet2!$G$525)^2+(H310-Sheet2!$H$525)^2+(I310-Sheet2!$I$525)^2+(J310-Sheet2!$J$525)^2+(K310-Sheet2!$K$525)^2+(L310-Sheet2!$L$525)^2)</f>
        <v>3.8363127391535907</v>
      </c>
      <c r="O310" s="8">
        <f>SQRT((C310-Sheet2!$C$526)^2+(D310-Sheet2!$D$526)^2+(E310-Sheet2!$E$526)^2+(F310-Sheet2!$F$526)^2+(G310-Sheet2!$G$526)^2+(H310-Sheet2!$H$526)^2+(I310-Sheet2!$I$526)^2+(J310-Sheet2!$J$526)^2+(K310-Sheet2!$K$526)^2+(L310-Sheet2!$L$526)^2)</f>
        <v>7.3818104916324874</v>
      </c>
      <c r="P310" s="12">
        <f t="shared" si="4"/>
        <v>0</v>
      </c>
      <c r="Q310" s="11">
        <f>IF(P310=Sheet1!$M310, 1, 0)</f>
        <v>0</v>
      </c>
    </row>
    <row r="311" spans="1:17" x14ac:dyDescent="0.35">
      <c r="A311" s="6" t="s">
        <v>322</v>
      </c>
      <c r="B311" s="6" t="s">
        <v>340</v>
      </c>
      <c r="C311" s="6">
        <v>8.5466420868568094E-2</v>
      </c>
      <c r="D311" s="6">
        <v>-0.32936213708289924</v>
      </c>
      <c r="E311" s="6">
        <v>-0.76286171261271329</v>
      </c>
      <c r="F311" s="6">
        <v>-0.63271513307843041</v>
      </c>
      <c r="G311" s="6">
        <v>-0.69881918003086696</v>
      </c>
      <c r="H311" s="6">
        <v>0.63923852367022937</v>
      </c>
      <c r="I311" s="6">
        <v>0.58352450150449442</v>
      </c>
      <c r="J311" s="6">
        <v>-1.552341645825799</v>
      </c>
      <c r="K311" s="6">
        <v>-0.35592976575242774</v>
      </c>
      <c r="L311" s="6">
        <v>-0.42955388086498325</v>
      </c>
      <c r="N311" s="8">
        <f>SQRT((C311-Sheet2!$C$525)^2+(D311-Sheet2!$D$525)^2+(E311-Sheet2!$E$525)^2+(F311-Sheet2!$F$525)^2+(G311-Sheet2!$G$525)^2+(H311-Sheet2!$H$525)^2+(I311-Sheet2!$I$525)^2+(J311-Sheet2!$J$525)^2+(K311-Sheet2!$K$525)^2+(L311-Sheet2!$L$525)^2)</f>
        <v>1.9358508640949319</v>
      </c>
      <c r="O311" s="8">
        <f>SQRT((C311-Sheet2!$C$526)^2+(D311-Sheet2!$D$526)^2+(E311-Sheet2!$E$526)^2+(F311-Sheet2!$F$526)^2+(G311-Sheet2!$G$526)^2+(H311-Sheet2!$H$526)^2+(I311-Sheet2!$I$526)^2+(J311-Sheet2!$J$526)^2+(K311-Sheet2!$K$526)^2+(L311-Sheet2!$L$526)^2)</f>
        <v>4.9192786842882539</v>
      </c>
      <c r="P311" s="12">
        <f t="shared" si="4"/>
        <v>0</v>
      </c>
      <c r="Q311" s="11">
        <f>IF(P311=Sheet1!$M311, 1, 0)</f>
        <v>1</v>
      </c>
    </row>
    <row r="312" spans="1:17" x14ac:dyDescent="0.35">
      <c r="A312" s="6" t="s">
        <v>322</v>
      </c>
      <c r="B312" s="6" t="s">
        <v>341</v>
      </c>
      <c r="C312" s="6">
        <v>1.9092739941452108</v>
      </c>
      <c r="D312" s="6">
        <v>-0.6669398187351937</v>
      </c>
      <c r="E312" s="6">
        <v>-1.6742635237806462</v>
      </c>
      <c r="F312" s="6">
        <v>-1.3183103937707965</v>
      </c>
      <c r="G312" s="6">
        <v>-0.46073146844780222</v>
      </c>
      <c r="H312" s="6">
        <v>-1.627873674646483</v>
      </c>
      <c r="I312" s="6">
        <v>-0.60604273984908019</v>
      </c>
      <c r="J312" s="6">
        <v>-1.1765449903096639</v>
      </c>
      <c r="K312" s="6">
        <v>1.9538643424258106</v>
      </c>
      <c r="L312" s="6">
        <v>-0.41533519709292871</v>
      </c>
      <c r="N312" s="8">
        <f>SQRT((C312-Sheet2!$C$525)^2+(D312-Sheet2!$D$525)^2+(E312-Sheet2!$E$525)^2+(F312-Sheet2!$F$525)^2+(G312-Sheet2!$G$525)^2+(H312-Sheet2!$H$525)^2+(I312-Sheet2!$I$525)^2+(J312-Sheet2!$J$525)^2+(K312-Sheet2!$K$525)^2+(L312-Sheet2!$L$525)^2)</f>
        <v>3.5353515557614372</v>
      </c>
      <c r="O312" s="8">
        <f>SQRT((C312-Sheet2!$C$526)^2+(D312-Sheet2!$D$526)^2+(E312-Sheet2!$E$526)^2+(F312-Sheet2!$F$526)^2+(G312-Sheet2!$G$526)^2+(H312-Sheet2!$H$526)^2+(I312-Sheet2!$I$526)^2+(J312-Sheet2!$J$526)^2+(K312-Sheet2!$K$526)^2+(L312-Sheet2!$L$526)^2)</f>
        <v>7.1759741398660379</v>
      </c>
      <c r="P312" s="12">
        <f t="shared" si="4"/>
        <v>0</v>
      </c>
      <c r="Q312" s="11">
        <f>IF(P312=Sheet1!$M312, 1, 0)</f>
        <v>0</v>
      </c>
    </row>
    <row r="313" spans="1:17" x14ac:dyDescent="0.35">
      <c r="A313" s="6" t="s">
        <v>322</v>
      </c>
      <c r="B313" s="6" t="s">
        <v>342</v>
      </c>
      <c r="C313" s="6">
        <v>2.3964278934089496</v>
      </c>
      <c r="D313" s="6">
        <v>-1.0904463648080713</v>
      </c>
      <c r="E313" s="6">
        <v>-1.867300932451623</v>
      </c>
      <c r="F313" s="6">
        <v>-1.9869583558842505</v>
      </c>
      <c r="G313" s="6">
        <v>-2.6122313987289285</v>
      </c>
      <c r="H313" s="6">
        <v>0.21964232445694415</v>
      </c>
      <c r="I313" s="6">
        <v>-2.2412195748286714</v>
      </c>
      <c r="J313" s="6">
        <v>-1.4460557230535587</v>
      </c>
      <c r="K313" s="6">
        <v>-0.10085087711214884</v>
      </c>
      <c r="L313" s="6">
        <v>-0.44253432585874242</v>
      </c>
      <c r="N313" s="8">
        <f>SQRT((C313-Sheet2!$C$525)^2+(D313-Sheet2!$D$525)^2+(E313-Sheet2!$E$525)^2+(F313-Sheet2!$F$525)^2+(G313-Sheet2!$G$525)^2+(H313-Sheet2!$H$525)^2+(I313-Sheet2!$I$525)^2+(J313-Sheet2!$J$525)^2+(K313-Sheet2!$K$525)^2+(L313-Sheet2!$L$525)^2)</f>
        <v>4.7353822197766027</v>
      </c>
      <c r="O313" s="8">
        <f>SQRT((C313-Sheet2!$C$526)^2+(D313-Sheet2!$D$526)^2+(E313-Sheet2!$E$526)^2+(F313-Sheet2!$F$526)^2+(G313-Sheet2!$G$526)^2+(H313-Sheet2!$H$526)^2+(I313-Sheet2!$I$526)^2+(J313-Sheet2!$J$526)^2+(K313-Sheet2!$K$526)^2+(L313-Sheet2!$L$526)^2)</f>
        <v>8.3058515554818797</v>
      </c>
      <c r="P313" s="12">
        <f t="shared" si="4"/>
        <v>0</v>
      </c>
      <c r="Q313" s="11">
        <f>IF(P313=Sheet1!$M313, 1, 0)</f>
        <v>0</v>
      </c>
    </row>
    <row r="314" spans="1:17" x14ac:dyDescent="0.35">
      <c r="A314" s="6" t="s">
        <v>322</v>
      </c>
      <c r="B314" s="6" t="s">
        <v>343</v>
      </c>
      <c r="C314" s="6">
        <v>0.54443786315010712</v>
      </c>
      <c r="D314" s="6">
        <v>-0.82038421948623641</v>
      </c>
      <c r="E314" s="6">
        <v>-1.6444237716769265</v>
      </c>
      <c r="F314" s="6">
        <v>-1.4646734269523125</v>
      </c>
      <c r="G314" s="6">
        <v>-1.3492051238675355</v>
      </c>
      <c r="H314" s="6">
        <v>-0.32976476565544532</v>
      </c>
      <c r="I314" s="6">
        <v>5.6315440090021318E-2</v>
      </c>
      <c r="J314" s="6">
        <v>-0.61854389575540236</v>
      </c>
      <c r="K314" s="6">
        <v>9.9456471022549467E-2</v>
      </c>
      <c r="L314" s="6">
        <v>-0.41891455549994094</v>
      </c>
      <c r="N314" s="8">
        <f>SQRT((C314-Sheet2!$C$525)^2+(D314-Sheet2!$D$525)^2+(E314-Sheet2!$E$525)^2+(F314-Sheet2!$F$525)^2+(G314-Sheet2!$G$525)^2+(H314-Sheet2!$H$525)^2+(I314-Sheet2!$I$525)^2+(J314-Sheet2!$J$525)^2+(K314-Sheet2!$K$525)^2+(L314-Sheet2!$L$525)^2)</f>
        <v>2.2374744914045168</v>
      </c>
      <c r="O314" s="8">
        <f>SQRT((C314-Sheet2!$C$526)^2+(D314-Sheet2!$D$526)^2+(E314-Sheet2!$E$526)^2+(F314-Sheet2!$F$526)^2+(G314-Sheet2!$G$526)^2+(H314-Sheet2!$H$526)^2+(I314-Sheet2!$I$526)^2+(J314-Sheet2!$J$526)^2+(K314-Sheet2!$K$526)^2+(L314-Sheet2!$L$526)^2)</f>
        <v>6.0249236170307947</v>
      </c>
      <c r="P314" s="12">
        <f t="shared" si="4"/>
        <v>0</v>
      </c>
      <c r="Q314" s="11">
        <f>IF(P314=Sheet1!$M314, 1, 0)</f>
        <v>1</v>
      </c>
    </row>
    <row r="315" spans="1:17" x14ac:dyDescent="0.35">
      <c r="A315" s="6" t="s">
        <v>322</v>
      </c>
      <c r="B315" s="6" t="s">
        <v>344</v>
      </c>
      <c r="C315" s="6">
        <v>-0.4164497177667994</v>
      </c>
      <c r="D315" s="6">
        <v>1.9416149940325327</v>
      </c>
      <c r="E315" s="6">
        <v>1.0658361817436401</v>
      </c>
      <c r="F315" s="6">
        <v>1.5118884689075804</v>
      </c>
      <c r="G315" s="6">
        <v>2.1250972074018888E-2</v>
      </c>
      <c r="H315" s="6">
        <v>0.68179064143383628</v>
      </c>
      <c r="I315" s="6">
        <v>0.73014854518687478</v>
      </c>
      <c r="J315" s="6">
        <v>1.7842771440598861</v>
      </c>
      <c r="K315" s="6">
        <v>-1.1149068270440565</v>
      </c>
      <c r="L315" s="6">
        <v>-0.11353933906008178</v>
      </c>
      <c r="N315" s="8">
        <f>SQRT((C315-Sheet2!$C$525)^2+(D315-Sheet2!$D$525)^2+(E315-Sheet2!$E$525)^2+(F315-Sheet2!$F$525)^2+(G315-Sheet2!$G$525)^2+(H315-Sheet2!$H$525)^2+(I315-Sheet2!$I$525)^2+(J315-Sheet2!$J$525)^2+(K315-Sheet2!$K$525)^2+(L315-Sheet2!$L$525)^2)</f>
        <v>4.2528387203333189</v>
      </c>
      <c r="O315" s="8">
        <f>SQRT((C315-Sheet2!$C$526)^2+(D315-Sheet2!$D$526)^2+(E315-Sheet2!$E$526)^2+(F315-Sheet2!$F$526)^2+(G315-Sheet2!$G$526)^2+(H315-Sheet2!$H$526)^2+(I315-Sheet2!$I$526)^2+(J315-Sheet2!$J$526)^2+(K315-Sheet2!$K$526)^2+(L315-Sheet2!$L$526)^2)</f>
        <v>1.6938749532648871</v>
      </c>
      <c r="P315" s="12">
        <f t="shared" si="4"/>
        <v>1</v>
      </c>
      <c r="Q315" s="11">
        <f>IF(P315=Sheet1!$M315, 1, 0)</f>
        <v>0</v>
      </c>
    </row>
    <row r="316" spans="1:17" x14ac:dyDescent="0.35">
      <c r="A316" s="6" t="s">
        <v>345</v>
      </c>
      <c r="B316" s="6" t="s">
        <v>346</v>
      </c>
      <c r="C316" s="6">
        <v>-0.61909500368642634</v>
      </c>
      <c r="D316" s="6">
        <v>-1.0536197086278214</v>
      </c>
      <c r="E316" s="6">
        <v>-0.18301270259722169</v>
      </c>
      <c r="F316" s="6">
        <v>-0.43551020416017633</v>
      </c>
      <c r="G316" s="6">
        <v>-0.16747709198573077</v>
      </c>
      <c r="H316" s="6">
        <v>0.83260827401370774</v>
      </c>
      <c r="I316" s="6">
        <v>0.66703645681924084</v>
      </c>
      <c r="J316" s="6">
        <v>-0.41356390183751041</v>
      </c>
      <c r="K316" s="6">
        <v>0.528239388123389</v>
      </c>
      <c r="L316" s="6">
        <v>-0.16749357745504403</v>
      </c>
      <c r="N316" s="8">
        <f>SQRT((C316-Sheet2!$C$525)^2+(D316-Sheet2!$D$525)^2+(E316-Sheet2!$E$525)^2+(F316-Sheet2!$F$525)^2+(G316-Sheet2!$G$525)^2+(H316-Sheet2!$H$525)^2+(I316-Sheet2!$I$525)^2+(J316-Sheet2!$J$525)^2+(K316-Sheet2!$K$525)^2+(L316-Sheet2!$L$525)^2)</f>
        <v>1.7676587272870672</v>
      </c>
      <c r="O316" s="8">
        <f>SQRT((C316-Sheet2!$C$526)^2+(D316-Sheet2!$D$526)^2+(E316-Sheet2!$E$526)^2+(F316-Sheet2!$F$526)^2+(G316-Sheet2!$G$526)^2+(H316-Sheet2!$H$526)^2+(I316-Sheet2!$I$526)^2+(J316-Sheet2!$J$526)^2+(K316-Sheet2!$K$526)^2+(L316-Sheet2!$L$526)^2)</f>
        <v>4.215743644378259</v>
      </c>
      <c r="P316" s="12">
        <f t="shared" si="4"/>
        <v>0</v>
      </c>
      <c r="Q316" s="11">
        <f>IF(P316=Sheet1!$M316, 1, 0)</f>
        <v>1</v>
      </c>
    </row>
    <row r="317" spans="1:17" x14ac:dyDescent="0.35">
      <c r="A317" s="6" t="s">
        <v>345</v>
      </c>
      <c r="B317" s="6" t="s">
        <v>347</v>
      </c>
      <c r="C317" s="6">
        <v>-0.77745357149116789</v>
      </c>
      <c r="D317" s="6">
        <v>-1.0045175003874875</v>
      </c>
      <c r="E317" s="6">
        <v>-0.41694162341033297</v>
      </c>
      <c r="F317" s="6">
        <v>-0.29068783448583185</v>
      </c>
      <c r="G317" s="6">
        <v>1.2145930386671946</v>
      </c>
      <c r="H317" s="6">
        <v>0.26758078624126053</v>
      </c>
      <c r="I317" s="6">
        <v>-0.67744227416397784</v>
      </c>
      <c r="J317" s="6">
        <v>-0.24274724023926728</v>
      </c>
      <c r="K317" s="6">
        <v>0.10884587796636379</v>
      </c>
      <c r="L317" s="6">
        <v>-0.33685166998712923</v>
      </c>
      <c r="N317" s="8">
        <f>SQRT((C317-Sheet2!$C$525)^2+(D317-Sheet2!$D$525)^2+(E317-Sheet2!$E$525)^2+(F317-Sheet2!$F$525)^2+(G317-Sheet2!$G$525)^2+(H317-Sheet2!$H$525)^2+(I317-Sheet2!$I$525)^2+(J317-Sheet2!$J$525)^2+(K317-Sheet2!$K$525)^2+(L317-Sheet2!$L$525)^2)</f>
        <v>1.9815945702155113</v>
      </c>
      <c r="O317" s="8">
        <f>SQRT((C317-Sheet2!$C$526)^2+(D317-Sheet2!$D$526)^2+(E317-Sheet2!$E$526)^2+(F317-Sheet2!$F$526)^2+(G317-Sheet2!$G$526)^2+(H317-Sheet2!$H$526)^2+(I317-Sheet2!$I$526)^2+(J317-Sheet2!$J$526)^2+(K317-Sheet2!$K$526)^2+(L317-Sheet2!$L$526)^2)</f>
        <v>4.2458471680193828</v>
      </c>
      <c r="P317" s="12">
        <f t="shared" si="4"/>
        <v>0</v>
      </c>
      <c r="Q317" s="11">
        <f>IF(P317=Sheet1!$M317, 1, 0)</f>
        <v>1</v>
      </c>
    </row>
    <row r="318" spans="1:17" x14ac:dyDescent="0.35">
      <c r="A318" s="6" t="s">
        <v>345</v>
      </c>
      <c r="B318" s="6" t="s">
        <v>348</v>
      </c>
      <c r="C318" s="6">
        <v>-0.17220175725440129</v>
      </c>
      <c r="D318" s="6">
        <v>-0.80810866742615273</v>
      </c>
      <c r="E318" s="6">
        <v>-1.0660483296665568</v>
      </c>
      <c r="F318" s="6">
        <v>-0.5726292562986498</v>
      </c>
      <c r="G318" s="6">
        <v>0.98231234443981319</v>
      </c>
      <c r="H318" s="6">
        <v>-0.77306087855985339</v>
      </c>
      <c r="I318" s="6">
        <v>-1.2492760445252618</v>
      </c>
      <c r="J318" s="6">
        <v>-0.69825833783458258</v>
      </c>
      <c r="K318" s="6">
        <v>0.11354058143827095</v>
      </c>
      <c r="L318" s="6">
        <v>-0.30614159310387706</v>
      </c>
      <c r="N318" s="8">
        <f>SQRT((C318-Sheet2!$C$525)^2+(D318-Sheet2!$D$525)^2+(E318-Sheet2!$E$525)^2+(F318-Sheet2!$F$525)^2+(G318-Sheet2!$G$525)^2+(H318-Sheet2!$H$525)^2+(I318-Sheet2!$I$525)^2+(J318-Sheet2!$J$525)^2+(K318-Sheet2!$K$525)^2+(L318-Sheet2!$L$525)^2)</f>
        <v>2.033308614790784</v>
      </c>
      <c r="O318" s="8">
        <f>SQRT((C318-Sheet2!$C$526)^2+(D318-Sheet2!$D$526)^2+(E318-Sheet2!$E$526)^2+(F318-Sheet2!$F$526)^2+(G318-Sheet2!$G$526)^2+(H318-Sheet2!$H$526)^2+(I318-Sheet2!$I$526)^2+(J318-Sheet2!$J$526)^2+(K318-Sheet2!$K$526)^2+(L318-Sheet2!$L$526)^2)</f>
        <v>5.1831230213562334</v>
      </c>
      <c r="P318" s="12">
        <f t="shared" si="4"/>
        <v>0</v>
      </c>
      <c r="Q318" s="11">
        <f>IF(P318=Sheet1!$M318, 1, 0)</f>
        <v>1</v>
      </c>
    </row>
    <row r="319" spans="1:17" x14ac:dyDescent="0.35">
      <c r="A319" s="6" t="s">
        <v>345</v>
      </c>
      <c r="B319" s="6" t="s">
        <v>349</v>
      </c>
      <c r="C319" s="6">
        <v>-0.95191640042859527</v>
      </c>
      <c r="D319" s="6">
        <v>-0.85721087566648646</v>
      </c>
      <c r="E319" s="6">
        <v>-0.94558414524783652</v>
      </c>
      <c r="F319" s="6">
        <v>-0.6003611994277781</v>
      </c>
      <c r="G319" s="6">
        <v>0.44225973036114985</v>
      </c>
      <c r="H319" s="6">
        <v>0.36345770980989323</v>
      </c>
      <c r="I319" s="6">
        <v>0.2373642592456566</v>
      </c>
      <c r="J319" s="6">
        <v>1.0061123523345556</v>
      </c>
      <c r="K319" s="6">
        <v>-1.3465121983248018</v>
      </c>
      <c r="L319" s="6">
        <v>-0.34472088010487245</v>
      </c>
      <c r="N319" s="8">
        <f>SQRT((C319-Sheet2!$C$525)^2+(D319-Sheet2!$D$525)^2+(E319-Sheet2!$E$525)^2+(F319-Sheet2!$F$525)^2+(G319-Sheet2!$G$525)^2+(H319-Sheet2!$H$525)^2+(I319-Sheet2!$I$525)^2+(J319-Sheet2!$J$525)^2+(K319-Sheet2!$K$525)^2+(L319-Sheet2!$L$525)^2)</f>
        <v>2.6049384911103721</v>
      </c>
      <c r="O319" s="8">
        <f>SQRT((C319-Sheet2!$C$526)^2+(D319-Sheet2!$D$526)^2+(E319-Sheet2!$E$526)^2+(F319-Sheet2!$F$526)^2+(G319-Sheet2!$G$526)^2+(H319-Sheet2!$H$526)^2+(I319-Sheet2!$I$526)^2+(J319-Sheet2!$J$526)^2+(K319-Sheet2!$K$526)^2+(L319-Sheet2!$L$526)^2)</f>
        <v>4.1369850526361889</v>
      </c>
      <c r="P319" s="12">
        <f t="shared" si="4"/>
        <v>0</v>
      </c>
      <c r="Q319" s="11">
        <f>IF(P319=Sheet1!$M319, 1, 0)</f>
        <v>1</v>
      </c>
    </row>
    <row r="320" spans="1:17" x14ac:dyDescent="0.35">
      <c r="A320" s="6" t="s">
        <v>345</v>
      </c>
      <c r="B320" s="6" t="s">
        <v>350</v>
      </c>
      <c r="C320" s="6">
        <v>-1.0364637713751945</v>
      </c>
      <c r="D320" s="6">
        <v>-0.64238871461502689</v>
      </c>
      <c r="E320" s="6">
        <v>-0.735600704517957</v>
      </c>
      <c r="F320" s="6">
        <v>-0.57416991980582233</v>
      </c>
      <c r="G320" s="6">
        <v>0.51194393862936305</v>
      </c>
      <c r="H320" s="6">
        <v>-0.36962371140869682</v>
      </c>
      <c r="I320" s="6">
        <v>-0.22035775538020902</v>
      </c>
      <c r="J320" s="6">
        <v>-0.61095204412881376</v>
      </c>
      <c r="K320" s="6">
        <v>-8.5217088313108893E-3</v>
      </c>
      <c r="L320" s="6">
        <v>-0.17078811586902648</v>
      </c>
      <c r="N320" s="8">
        <f>SQRT((C320-Sheet2!$C$525)^2+(D320-Sheet2!$D$525)^2+(E320-Sheet2!$E$525)^2+(F320-Sheet2!$F$525)^2+(G320-Sheet2!$G$525)^2+(H320-Sheet2!$H$525)^2+(I320-Sheet2!$I$525)^2+(J320-Sheet2!$J$525)^2+(K320-Sheet2!$K$525)^2+(L320-Sheet2!$L$525)^2)</f>
        <v>1.58592400122056</v>
      </c>
      <c r="O320" s="8">
        <f>SQRT((C320-Sheet2!$C$526)^2+(D320-Sheet2!$D$526)^2+(E320-Sheet2!$E$526)^2+(F320-Sheet2!$F$526)^2+(G320-Sheet2!$G$526)^2+(H320-Sheet2!$H$526)^2+(I320-Sheet2!$I$526)^2+(J320-Sheet2!$J$526)^2+(K320-Sheet2!$K$526)^2+(L320-Sheet2!$L$526)^2)</f>
        <v>4.4306182952080215</v>
      </c>
      <c r="P320" s="12">
        <f t="shared" si="4"/>
        <v>0</v>
      </c>
      <c r="Q320" s="11">
        <f>IF(P320=Sheet1!$M320, 1, 0)</f>
        <v>1</v>
      </c>
    </row>
    <row r="321" spans="1:17" x14ac:dyDescent="0.35">
      <c r="A321" s="6" t="s">
        <v>345</v>
      </c>
      <c r="B321" s="6" t="s">
        <v>351</v>
      </c>
      <c r="C321" s="6">
        <v>-0.2876156287053146</v>
      </c>
      <c r="D321" s="6">
        <v>-0.59942428240473467</v>
      </c>
      <c r="E321" s="6">
        <v>-0.41104735138984516</v>
      </c>
      <c r="F321" s="6">
        <v>-0.38466830842343708</v>
      </c>
      <c r="G321" s="6">
        <v>0.42193516961625177</v>
      </c>
      <c r="H321" s="6">
        <v>-9.384289754836074E-2</v>
      </c>
      <c r="I321" s="6">
        <v>-1.7777600976239292</v>
      </c>
      <c r="J321" s="6">
        <v>0.71382606471089516</v>
      </c>
      <c r="K321" s="6">
        <v>-0.78627758401056824</v>
      </c>
      <c r="L321" s="6">
        <v>-6.5095806499006745E-2</v>
      </c>
      <c r="N321" s="8">
        <f>SQRT((C321-Sheet2!$C$525)^2+(D321-Sheet2!$D$525)^2+(E321-Sheet2!$E$525)^2+(F321-Sheet2!$F$525)^2+(G321-Sheet2!$G$525)^2+(H321-Sheet2!$H$525)^2+(I321-Sheet2!$I$525)^2+(J321-Sheet2!$J$525)^2+(K321-Sheet2!$K$525)^2+(L321-Sheet2!$L$525)^2)</f>
        <v>2.2625968445759534</v>
      </c>
      <c r="O321" s="8">
        <f>SQRT((C321-Sheet2!$C$526)^2+(D321-Sheet2!$D$526)^2+(E321-Sheet2!$E$526)^2+(F321-Sheet2!$F$526)^2+(G321-Sheet2!$G$526)^2+(H321-Sheet2!$H$526)^2+(I321-Sheet2!$I$526)^2+(J321-Sheet2!$J$526)^2+(K321-Sheet2!$K$526)^2+(L321-Sheet2!$L$526)^2)</f>
        <v>4.3740259933129089</v>
      </c>
      <c r="P321" s="12">
        <f t="shared" si="4"/>
        <v>0</v>
      </c>
      <c r="Q321" s="11">
        <f>IF(P321=Sheet1!$M321, 1, 0)</f>
        <v>1</v>
      </c>
    </row>
    <row r="322" spans="1:17" x14ac:dyDescent="0.35">
      <c r="A322" s="6" t="s">
        <v>345</v>
      </c>
      <c r="B322" s="6" t="s">
        <v>352</v>
      </c>
      <c r="C322" s="6">
        <v>-0.40168747839517105</v>
      </c>
      <c r="D322" s="6">
        <v>-0.83265977154631954</v>
      </c>
      <c r="E322" s="6">
        <v>-0.59561174403137074</v>
      </c>
      <c r="F322" s="6">
        <v>-0.46170148378213</v>
      </c>
      <c r="G322" s="6">
        <v>0.6338913030987392</v>
      </c>
      <c r="H322" s="6">
        <v>-0.63947954684625308</v>
      </c>
      <c r="I322" s="6">
        <v>-2.1041579687777499</v>
      </c>
      <c r="J322" s="6">
        <v>-0.421155753464099</v>
      </c>
      <c r="K322" s="6">
        <v>1.3013005598307392</v>
      </c>
      <c r="L322" s="6">
        <v>-0.25558998305202518</v>
      </c>
      <c r="N322" s="8">
        <f>SQRT((C322-Sheet2!$C$525)^2+(D322-Sheet2!$D$525)^2+(E322-Sheet2!$E$525)^2+(F322-Sheet2!$F$525)^2+(G322-Sheet2!$G$525)^2+(H322-Sheet2!$H$525)^2+(I322-Sheet2!$I$525)^2+(J322-Sheet2!$J$525)^2+(K322-Sheet2!$K$525)^2+(L322-Sheet2!$L$525)^2)</f>
        <v>2.5953430040936518</v>
      </c>
      <c r="O322" s="8">
        <f>SQRT((C322-Sheet2!$C$526)^2+(D322-Sheet2!$D$526)^2+(E322-Sheet2!$E$526)^2+(F322-Sheet2!$F$526)^2+(G322-Sheet2!$G$526)^2+(H322-Sheet2!$H$526)^2+(I322-Sheet2!$I$526)^2+(J322-Sheet2!$J$526)^2+(K322-Sheet2!$K$526)^2+(L322-Sheet2!$L$526)^2)</f>
        <v>5.4931599908276389</v>
      </c>
      <c r="P322" s="12">
        <f t="shared" si="4"/>
        <v>0</v>
      </c>
      <c r="Q322" s="11">
        <f>IF(P322=Sheet1!$M322, 1, 0)</f>
        <v>1</v>
      </c>
    </row>
    <row r="323" spans="1:17" x14ac:dyDescent="0.35">
      <c r="A323" s="6" t="s">
        <v>345</v>
      </c>
      <c r="B323" s="6" t="s">
        <v>353</v>
      </c>
      <c r="C323" s="6">
        <v>-0.44865824003217064</v>
      </c>
      <c r="D323" s="6">
        <v>-0.55645985019444255</v>
      </c>
      <c r="E323" s="6">
        <v>-1.1629354260033258</v>
      </c>
      <c r="F323" s="6">
        <v>-0.6434997776286463</v>
      </c>
      <c r="G323" s="6">
        <v>0.83423340186985562</v>
      </c>
      <c r="H323" s="6">
        <v>-0.40409631314123895</v>
      </c>
      <c r="I323" s="6">
        <v>-0.51870580948174894</v>
      </c>
      <c r="J323" s="6">
        <v>-0.33384945975833041</v>
      </c>
      <c r="K323" s="6">
        <v>0.45155923141557353</v>
      </c>
      <c r="L323" s="6">
        <v>-0.32289509332332544</v>
      </c>
      <c r="N323" s="8">
        <f>SQRT((C323-Sheet2!$C$525)^2+(D323-Sheet2!$D$525)^2+(E323-Sheet2!$E$525)^2+(F323-Sheet2!$F$525)^2+(G323-Sheet2!$G$525)^2+(H323-Sheet2!$H$525)^2+(I323-Sheet2!$I$525)^2+(J323-Sheet2!$J$525)^2+(K323-Sheet2!$K$525)^2+(L323-Sheet2!$L$525)^2)</f>
        <v>1.6299870056595991</v>
      </c>
      <c r="O323" s="8">
        <f>SQRT((C323-Sheet2!$C$526)^2+(D323-Sheet2!$D$526)^2+(E323-Sheet2!$E$526)^2+(F323-Sheet2!$F$526)^2+(G323-Sheet2!$G$526)^2+(H323-Sheet2!$H$526)^2+(I323-Sheet2!$I$526)^2+(J323-Sheet2!$J$526)^2+(K323-Sheet2!$K$526)^2+(L323-Sheet2!$L$526)^2)</f>
        <v>4.7274266082107435</v>
      </c>
      <c r="P323" s="12">
        <f t="shared" ref="P323:P386" si="5">IF(N323&lt;=O323, 0, 1)</f>
        <v>0</v>
      </c>
      <c r="Q323" s="11">
        <f>IF(P323=Sheet1!$M323, 1, 0)</f>
        <v>1</v>
      </c>
    </row>
    <row r="324" spans="1:17" x14ac:dyDescent="0.35">
      <c r="A324" s="6" t="s">
        <v>345</v>
      </c>
      <c r="B324" s="6" t="s">
        <v>354</v>
      </c>
      <c r="C324" s="6">
        <v>-0.80697805023442493</v>
      </c>
      <c r="D324" s="6">
        <v>-0.97382862023727912</v>
      </c>
      <c r="E324" s="6">
        <v>-1.0546281776268616</v>
      </c>
      <c r="F324" s="6">
        <v>-0.76983418521690161</v>
      </c>
      <c r="G324" s="6">
        <v>0.69486498533342511</v>
      </c>
      <c r="H324" s="6">
        <v>-0.40786675395573613</v>
      </c>
      <c r="I324" s="6">
        <v>-2.3132566049856664</v>
      </c>
      <c r="J324" s="6">
        <v>-0.81213611223341153</v>
      </c>
      <c r="K324" s="6">
        <v>0.39365788859538886</v>
      </c>
      <c r="L324" s="6">
        <v>-0.36626368565499096</v>
      </c>
      <c r="N324" s="8">
        <f>SQRT((C324-Sheet2!$C$525)^2+(D324-Sheet2!$D$525)^2+(E324-Sheet2!$E$525)^2+(F324-Sheet2!$F$525)^2+(G324-Sheet2!$G$525)^2+(H324-Sheet2!$H$525)^2+(I324-Sheet2!$I$525)^2+(J324-Sheet2!$J$525)^2+(K324-Sheet2!$K$525)^2+(L324-Sheet2!$L$525)^2)</f>
        <v>2.8275612623271957</v>
      </c>
      <c r="O324" s="8">
        <f>SQRT((C324-Sheet2!$C$526)^2+(D324-Sheet2!$D$526)^2+(E324-Sheet2!$E$526)^2+(F324-Sheet2!$F$526)^2+(G324-Sheet2!$G$526)^2+(H324-Sheet2!$H$526)^2+(I324-Sheet2!$I$526)^2+(J324-Sheet2!$J$526)^2+(K324-Sheet2!$K$526)^2+(L324-Sheet2!$L$526)^2)</f>
        <v>5.795127199774238</v>
      </c>
      <c r="P324" s="12">
        <f t="shared" si="5"/>
        <v>0</v>
      </c>
      <c r="Q324" s="11">
        <f>IF(P324=Sheet1!$M324, 1, 0)</f>
        <v>1</v>
      </c>
    </row>
    <row r="325" spans="1:17" x14ac:dyDescent="0.35">
      <c r="A325" s="6" t="s">
        <v>345</v>
      </c>
      <c r="B325" s="6" t="s">
        <v>355</v>
      </c>
      <c r="C325" s="6">
        <v>-3.5315537626573863E-2</v>
      </c>
      <c r="D325" s="6">
        <v>-0.93700196405702862</v>
      </c>
      <c r="E325" s="6">
        <v>-0.70355060040655437</v>
      </c>
      <c r="F325" s="6">
        <v>-0.62501181554255936</v>
      </c>
      <c r="G325" s="6">
        <v>0.96489129237275895</v>
      </c>
      <c r="H325" s="6">
        <v>-0.30067850794361262</v>
      </c>
      <c r="I325" s="6">
        <v>-1.2167637565782996</v>
      </c>
      <c r="J325" s="6">
        <v>-0.91083018337906307</v>
      </c>
      <c r="K325" s="6">
        <v>0.44529962678636542</v>
      </c>
      <c r="L325" s="6">
        <v>-0.38580439324662275</v>
      </c>
      <c r="N325" s="8">
        <f>SQRT((C325-Sheet2!$C$525)^2+(D325-Sheet2!$D$525)^2+(E325-Sheet2!$E$525)^2+(F325-Sheet2!$F$525)^2+(G325-Sheet2!$G$525)^2+(H325-Sheet2!$H$525)^2+(I325-Sheet2!$I$525)^2+(J325-Sheet2!$J$525)^2+(K325-Sheet2!$K$525)^2+(L325-Sheet2!$L$525)^2)</f>
        <v>1.931328323978551</v>
      </c>
      <c r="O325" s="8">
        <f>SQRT((C325-Sheet2!$C$526)^2+(D325-Sheet2!$D$526)^2+(E325-Sheet2!$E$526)^2+(F325-Sheet2!$F$526)^2+(G325-Sheet2!$G$526)^2+(H325-Sheet2!$H$526)^2+(I325-Sheet2!$I$526)^2+(J325-Sheet2!$J$526)^2+(K325-Sheet2!$K$526)^2+(L325-Sheet2!$L$526)^2)</f>
        <v>5.1352117753287612</v>
      </c>
      <c r="P325" s="12">
        <f t="shared" si="5"/>
        <v>0</v>
      </c>
      <c r="Q325" s="11">
        <f>IF(P325=Sheet1!$M325, 1, 0)</f>
        <v>1</v>
      </c>
    </row>
    <row r="326" spans="1:17" x14ac:dyDescent="0.35">
      <c r="A326" s="6" t="s">
        <v>345</v>
      </c>
      <c r="B326" s="6" t="s">
        <v>356</v>
      </c>
      <c r="C326" s="6">
        <v>-0.39497736958988527</v>
      </c>
      <c r="D326" s="6">
        <v>-1.483264030730741</v>
      </c>
      <c r="E326" s="6">
        <v>-0.88590464104039701</v>
      </c>
      <c r="F326" s="6">
        <v>-1.0825888771731962</v>
      </c>
      <c r="G326" s="6">
        <v>-0.34168761265626574</v>
      </c>
      <c r="H326" s="6">
        <v>-0.31576027120159983</v>
      </c>
      <c r="I326" s="6">
        <v>0.87358510965876879</v>
      </c>
      <c r="J326" s="6">
        <v>-0.48568649229010219</v>
      </c>
      <c r="K326" s="6">
        <v>-0.61570335786461383</v>
      </c>
      <c r="L326" s="6">
        <v>-0.40392344559023469</v>
      </c>
      <c r="N326" s="8">
        <f>SQRT((C326-Sheet2!$C$525)^2+(D326-Sheet2!$D$525)^2+(E326-Sheet2!$E$525)^2+(F326-Sheet2!$F$525)^2+(G326-Sheet2!$G$525)^2+(H326-Sheet2!$H$525)^2+(I326-Sheet2!$I$525)^2+(J326-Sheet2!$J$525)^2+(K326-Sheet2!$K$525)^2+(L326-Sheet2!$L$525)^2)</f>
        <v>2.0988476208610543</v>
      </c>
      <c r="O326" s="8">
        <f>SQRT((C326-Sheet2!$C$526)^2+(D326-Sheet2!$D$526)^2+(E326-Sheet2!$E$526)^2+(F326-Sheet2!$F$526)^2+(G326-Sheet2!$G$526)^2+(H326-Sheet2!$H$526)^2+(I326-Sheet2!$I$526)^2+(J326-Sheet2!$J$526)^2+(K326-Sheet2!$K$526)^2+(L326-Sheet2!$L$526)^2)</f>
        <v>5.1754955400995843</v>
      </c>
      <c r="P326" s="12">
        <f t="shared" si="5"/>
        <v>0</v>
      </c>
      <c r="Q326" s="11">
        <f>IF(P326=Sheet1!$M326, 1, 0)</f>
        <v>1</v>
      </c>
    </row>
    <row r="327" spans="1:17" x14ac:dyDescent="0.35">
      <c r="A327" s="6" t="s">
        <v>345</v>
      </c>
      <c r="B327" s="6" t="s">
        <v>357</v>
      </c>
      <c r="C327" s="6">
        <v>-1.0646462283573943</v>
      </c>
      <c r="D327" s="6">
        <v>-0.88176197978665327</v>
      </c>
      <c r="E327" s="6">
        <v>-0.62434632013124902</v>
      </c>
      <c r="F327" s="6">
        <v>-0.27219987239974702</v>
      </c>
      <c r="G327" s="6">
        <v>0.29998780514687567</v>
      </c>
      <c r="H327" s="6">
        <v>-7.8761134290373527E-2</v>
      </c>
      <c r="I327" s="6">
        <v>0.74098597450252912</v>
      </c>
      <c r="J327" s="6">
        <v>0.74419347121724921</v>
      </c>
      <c r="K327" s="6">
        <v>-0.31211253334796235</v>
      </c>
      <c r="L327" s="6">
        <v>-6.7054275659500187E-2</v>
      </c>
      <c r="N327" s="8">
        <f>SQRT((C327-Sheet2!$C$525)^2+(D327-Sheet2!$D$525)^2+(E327-Sheet2!$E$525)^2+(F327-Sheet2!$F$525)^2+(G327-Sheet2!$G$525)^2+(H327-Sheet2!$H$525)^2+(I327-Sheet2!$I$525)^2+(J327-Sheet2!$J$525)^2+(K327-Sheet2!$K$525)^2+(L327-Sheet2!$L$525)^2)</f>
        <v>2.073530582759898</v>
      </c>
      <c r="O327" s="8">
        <f>SQRT((C327-Sheet2!$C$526)^2+(D327-Sheet2!$D$526)^2+(E327-Sheet2!$E$526)^2+(F327-Sheet2!$F$526)^2+(G327-Sheet2!$G$526)^2+(H327-Sheet2!$H$526)^2+(I327-Sheet2!$I$526)^2+(J327-Sheet2!$J$526)^2+(K327-Sheet2!$K$526)^2+(L327-Sheet2!$L$526)^2)</f>
        <v>3.7808240031282829</v>
      </c>
      <c r="P327" s="12">
        <f t="shared" si="5"/>
        <v>0</v>
      </c>
      <c r="Q327" s="11">
        <f>IF(P327=Sheet1!$M327, 1, 0)</f>
        <v>1</v>
      </c>
    </row>
    <row r="328" spans="1:17" x14ac:dyDescent="0.35">
      <c r="A328" s="6" t="s">
        <v>345</v>
      </c>
      <c r="B328" s="6" t="s">
        <v>358</v>
      </c>
      <c r="C328" s="6">
        <v>-1.0324377060920231</v>
      </c>
      <c r="D328" s="6">
        <v>1.2234951985176528</v>
      </c>
      <c r="E328" s="6">
        <v>1.5786378475260825</v>
      </c>
      <c r="F328" s="6">
        <v>1.5411610755438856</v>
      </c>
      <c r="G328" s="6">
        <v>1.005540413862551</v>
      </c>
      <c r="H328" s="6">
        <v>1.0383666156048186</v>
      </c>
      <c r="I328" s="6">
        <v>0.71166116576605254</v>
      </c>
      <c r="J328" s="6">
        <v>2.7788097071429916</v>
      </c>
      <c r="K328" s="6">
        <v>-1.1775028733361506</v>
      </c>
      <c r="L328" s="6">
        <v>6.1751872993741137E-2</v>
      </c>
      <c r="N328" s="8">
        <f>SQRT((C328-Sheet2!$C$525)^2+(D328-Sheet2!$D$525)^2+(E328-Sheet2!$E$525)^2+(F328-Sheet2!$F$525)^2+(G328-Sheet2!$G$525)^2+(H328-Sheet2!$H$525)^2+(I328-Sheet2!$I$525)^2+(J328-Sheet2!$J$525)^2+(K328-Sheet2!$K$525)^2+(L328-Sheet2!$L$525)^2)</f>
        <v>5.0690394491446167</v>
      </c>
      <c r="O328" s="8">
        <f>SQRT((C328-Sheet2!$C$526)^2+(D328-Sheet2!$D$526)^2+(E328-Sheet2!$E$526)^2+(F328-Sheet2!$F$526)^2+(G328-Sheet2!$G$526)^2+(H328-Sheet2!$H$526)^2+(I328-Sheet2!$I$526)^2+(J328-Sheet2!$J$526)^2+(K328-Sheet2!$K$526)^2+(L328-Sheet2!$L$526)^2)</f>
        <v>1.8939576816803536</v>
      </c>
      <c r="P328" s="12">
        <f t="shared" si="5"/>
        <v>1</v>
      </c>
      <c r="Q328" s="11">
        <f>IF(P328=Sheet1!$M328, 1, 0)</f>
        <v>0</v>
      </c>
    </row>
    <row r="329" spans="1:17" x14ac:dyDescent="0.35">
      <c r="A329" s="6" t="s">
        <v>345</v>
      </c>
      <c r="B329" s="6" t="s">
        <v>359</v>
      </c>
      <c r="C329" s="6">
        <v>-0.9988871620655948</v>
      </c>
      <c r="D329" s="6">
        <v>-0.32936213708289924</v>
      </c>
      <c r="E329" s="6">
        <v>0.5312993878856489</v>
      </c>
      <c r="F329" s="6">
        <v>0.33636221293392737</v>
      </c>
      <c r="G329" s="6">
        <v>0.73261059814537755</v>
      </c>
      <c r="H329" s="6">
        <v>0.80836972592051393</v>
      </c>
      <c r="I329" s="6">
        <v>0.30748880187635996</v>
      </c>
      <c r="J329" s="6">
        <v>1.5565215952622287</v>
      </c>
      <c r="K329" s="6">
        <v>-0.80662129905549784</v>
      </c>
      <c r="L329" s="6">
        <v>-0.31313908395750112</v>
      </c>
      <c r="N329" s="8">
        <f>SQRT((C329-Sheet2!$C$525)^2+(D329-Sheet2!$D$525)^2+(E329-Sheet2!$E$525)^2+(F329-Sheet2!$F$525)^2+(G329-Sheet2!$G$525)^2+(H329-Sheet2!$H$525)^2+(I329-Sheet2!$I$525)^2+(J329-Sheet2!$J$525)^2+(K329-Sheet2!$K$525)^2+(L329-Sheet2!$L$525)^2)</f>
        <v>2.9792973945940204</v>
      </c>
      <c r="O329" s="8">
        <f>SQRT((C329-Sheet2!$C$526)^2+(D329-Sheet2!$D$526)^2+(E329-Sheet2!$E$526)^2+(F329-Sheet2!$F$526)^2+(G329-Sheet2!$G$526)^2+(H329-Sheet2!$H$526)^2+(I329-Sheet2!$I$526)^2+(J329-Sheet2!$J$526)^2+(K329-Sheet2!$K$526)^2+(L329-Sheet2!$L$526)^2)</f>
        <v>2.5408277727083628</v>
      </c>
      <c r="P329" s="12">
        <f t="shared" si="5"/>
        <v>1</v>
      </c>
      <c r="Q329" s="11">
        <f>IF(P329=Sheet1!$M329, 1, 0)</f>
        <v>0</v>
      </c>
    </row>
    <row r="330" spans="1:17" x14ac:dyDescent="0.35">
      <c r="A330" s="6" t="s">
        <v>360</v>
      </c>
      <c r="B330" s="6" t="s">
        <v>361</v>
      </c>
      <c r="C330" s="6">
        <v>-1.1169850770386225</v>
      </c>
      <c r="D330" s="6">
        <v>5.7317752809727819E-2</v>
      </c>
      <c r="E330" s="6">
        <v>1.0286285896143106</v>
      </c>
      <c r="F330" s="6">
        <v>0.48426590962261684</v>
      </c>
      <c r="G330" s="6">
        <v>0.297084296469036</v>
      </c>
      <c r="H330" s="6">
        <v>0.72865183441401093</v>
      </c>
      <c r="I330" s="6">
        <v>9.4565190615860259E-2</v>
      </c>
      <c r="J330" s="6">
        <v>-0.13646131746702692</v>
      </c>
      <c r="K330" s="6">
        <v>8.5372360606830192E-2</v>
      </c>
      <c r="L330" s="6">
        <v>-0.17196795307146395</v>
      </c>
      <c r="N330" s="8">
        <f>SQRT((C330-Sheet2!$C$525)^2+(D330-Sheet2!$D$525)^2+(E330-Sheet2!$E$525)^2+(F330-Sheet2!$F$525)^2+(G330-Sheet2!$G$525)^2+(H330-Sheet2!$H$525)^2+(I330-Sheet2!$I$525)^2+(J330-Sheet2!$J$525)^2+(K330-Sheet2!$K$525)^2+(L330-Sheet2!$L$525)^2)</f>
        <v>2.333813506129919</v>
      </c>
      <c r="O330" s="8">
        <f>SQRT((C330-Sheet2!$C$526)^2+(D330-Sheet2!$D$526)^2+(E330-Sheet2!$E$526)^2+(F330-Sheet2!$F$526)^2+(G330-Sheet2!$G$526)^2+(H330-Sheet2!$H$526)^2+(I330-Sheet2!$I$526)^2+(J330-Sheet2!$J$526)^2+(K330-Sheet2!$K$526)^2+(L330-Sheet2!$L$526)^2)</f>
        <v>2.6090737652812535</v>
      </c>
      <c r="P330" s="12">
        <f t="shared" si="5"/>
        <v>0</v>
      </c>
      <c r="Q330" s="11">
        <f>IF(P330=Sheet1!$M330, 1, 0)</f>
        <v>1</v>
      </c>
    </row>
    <row r="331" spans="1:17" x14ac:dyDescent="0.35">
      <c r="A331" s="6" t="s">
        <v>360</v>
      </c>
      <c r="B331" s="6" t="s">
        <v>362</v>
      </c>
      <c r="C331" s="6">
        <v>-0.85394881187142446</v>
      </c>
      <c r="D331" s="6">
        <v>-0.17591773633185653</v>
      </c>
      <c r="E331" s="6">
        <v>0.56777019601241741</v>
      </c>
      <c r="F331" s="6">
        <v>0.22389377691023513</v>
      </c>
      <c r="G331" s="6">
        <v>7.0610619597338095E-2</v>
      </c>
      <c r="H331" s="6">
        <v>-0.24681506773651563</v>
      </c>
      <c r="I331" s="6">
        <v>1.4878210353696941E-2</v>
      </c>
      <c r="J331" s="6">
        <v>3.4355344131216416E-2</v>
      </c>
      <c r="K331" s="6">
        <v>-0.45295363750517287</v>
      </c>
      <c r="L331" s="6">
        <v>-7.7193374288930097E-2</v>
      </c>
      <c r="N331" s="8">
        <f>SQRT((C331-Sheet2!$C$525)^2+(D331-Sheet2!$D$525)^2+(E331-Sheet2!$E$525)^2+(F331-Sheet2!$F$525)^2+(G331-Sheet2!$G$525)^2+(H331-Sheet2!$H$525)^2+(I331-Sheet2!$I$525)^2+(J331-Sheet2!$J$525)^2+(K331-Sheet2!$K$525)^2+(L331-Sheet2!$L$525)^2)</f>
        <v>1.6511272077504131</v>
      </c>
      <c r="O331" s="8">
        <f>SQRT((C331-Sheet2!$C$526)^2+(D331-Sheet2!$D$526)^2+(E331-Sheet2!$E$526)^2+(F331-Sheet2!$F$526)^2+(G331-Sheet2!$G$526)^2+(H331-Sheet2!$H$526)^2+(I331-Sheet2!$I$526)^2+(J331-Sheet2!$J$526)^2+(K331-Sheet2!$K$526)^2+(L331-Sheet2!$L$526)^2)</f>
        <v>2.9966901251248146</v>
      </c>
      <c r="P331" s="12">
        <f t="shared" si="5"/>
        <v>0</v>
      </c>
      <c r="Q331" s="11">
        <f>IF(P331=Sheet1!$M331, 1, 0)</f>
        <v>1</v>
      </c>
    </row>
    <row r="332" spans="1:17" x14ac:dyDescent="0.35">
      <c r="A332" s="6" t="s">
        <v>360</v>
      </c>
      <c r="B332" s="6" t="s">
        <v>363</v>
      </c>
      <c r="C332" s="6">
        <v>-0.92910203049062401</v>
      </c>
      <c r="D332" s="6">
        <v>-0.51349541798415099</v>
      </c>
      <c r="E332" s="6">
        <v>0.30326473909302543</v>
      </c>
      <c r="F332" s="6">
        <v>-4.5722336845190045E-2</v>
      </c>
      <c r="G332" s="6">
        <v>-0.25458235232099824</v>
      </c>
      <c r="H332" s="6">
        <v>-1.5066809341805147</v>
      </c>
      <c r="I332" s="6">
        <v>-0.89419086047706242</v>
      </c>
      <c r="J332" s="6">
        <v>-5.6746875387846736E-2</v>
      </c>
      <c r="K332" s="6">
        <v>0.11980018606748125</v>
      </c>
      <c r="L332" s="6">
        <v>-0.22270005429049292</v>
      </c>
      <c r="N332" s="8">
        <f>SQRT((C332-Sheet2!$C$525)^2+(D332-Sheet2!$D$525)^2+(E332-Sheet2!$E$525)^2+(F332-Sheet2!$F$525)^2+(G332-Sheet2!$G$525)^2+(H332-Sheet2!$H$525)^2+(I332-Sheet2!$I$525)^2+(J332-Sheet2!$J$525)^2+(K332-Sheet2!$K$525)^2+(L332-Sheet2!$L$525)^2)</f>
        <v>2.0094014006130503</v>
      </c>
      <c r="O332" s="8">
        <f>SQRT((C332-Sheet2!$C$526)^2+(D332-Sheet2!$D$526)^2+(E332-Sheet2!$E$526)^2+(F332-Sheet2!$F$526)^2+(G332-Sheet2!$G$526)^2+(H332-Sheet2!$H$526)^2+(I332-Sheet2!$I$526)^2+(J332-Sheet2!$J$526)^2+(K332-Sheet2!$K$526)^2+(L332-Sheet2!$L$526)^2)</f>
        <v>4.4147191279058822</v>
      </c>
      <c r="P332" s="12">
        <f t="shared" si="5"/>
        <v>0</v>
      </c>
      <c r="Q332" s="11">
        <f>IF(P332=Sheet1!$M332, 1, 0)</f>
        <v>1</v>
      </c>
    </row>
    <row r="333" spans="1:17" x14ac:dyDescent="0.35">
      <c r="A333" s="6" t="s">
        <v>360</v>
      </c>
      <c r="B333" s="6" t="s">
        <v>364</v>
      </c>
      <c r="C333" s="6">
        <v>-1.0270696190477946</v>
      </c>
      <c r="D333" s="6">
        <v>0.31510434607147958</v>
      </c>
      <c r="E333" s="6">
        <v>0.42999158753351407</v>
      </c>
      <c r="F333" s="6">
        <v>9.4478042307632709E-2</v>
      </c>
      <c r="G333" s="6">
        <v>-0.71624023209792131</v>
      </c>
      <c r="H333" s="6">
        <v>-0.72943149199210511</v>
      </c>
      <c r="I333" s="6">
        <v>-1.9588089167795646</v>
      </c>
      <c r="J333" s="6">
        <v>-0.34144131138491884</v>
      </c>
      <c r="K333" s="6">
        <v>-0.93650809511159194</v>
      </c>
      <c r="L333" s="6">
        <v>-0.3685332816364229</v>
      </c>
      <c r="N333" s="8">
        <f>SQRT((C333-Sheet2!$C$525)^2+(D333-Sheet2!$D$525)^2+(E333-Sheet2!$E$525)^2+(F333-Sheet2!$F$525)^2+(G333-Sheet2!$G$525)^2+(H333-Sheet2!$H$525)^2+(I333-Sheet2!$I$525)^2+(J333-Sheet2!$J$525)^2+(K333-Sheet2!$K$525)^2+(L333-Sheet2!$L$525)^2)</f>
        <v>2.737034173432972</v>
      </c>
      <c r="O333" s="8">
        <f>SQRT((C333-Sheet2!$C$526)^2+(D333-Sheet2!$D$526)^2+(E333-Sheet2!$E$526)^2+(F333-Sheet2!$F$526)^2+(G333-Sheet2!$G$526)^2+(H333-Sheet2!$H$526)^2+(I333-Sheet2!$I$526)^2+(J333-Sheet2!$J$526)^2+(K333-Sheet2!$K$526)^2+(L333-Sheet2!$L$526)^2)</f>
        <v>4.4885419492100551</v>
      </c>
      <c r="P333" s="12">
        <f t="shared" si="5"/>
        <v>0</v>
      </c>
      <c r="Q333" s="11">
        <f>IF(P333=Sheet1!$M333, 1, 0)</f>
        <v>1</v>
      </c>
    </row>
    <row r="334" spans="1:17" x14ac:dyDescent="0.35">
      <c r="A334" s="6" t="s">
        <v>360</v>
      </c>
      <c r="B334" s="6" t="s">
        <v>365</v>
      </c>
      <c r="C334" s="6">
        <v>-0.89420946470313845</v>
      </c>
      <c r="D334" s="6">
        <v>0.25372658577106266</v>
      </c>
      <c r="E334" s="6">
        <v>-0.13770048643972138</v>
      </c>
      <c r="F334" s="6">
        <v>0.13299462998697917</v>
      </c>
      <c r="G334" s="6">
        <v>0.4771018344952544</v>
      </c>
      <c r="H334" s="6">
        <v>-0.26782180941728351</v>
      </c>
      <c r="I334" s="6">
        <v>-1.6024487410471699</v>
      </c>
      <c r="J334" s="6">
        <v>3.0559418317921867E-2</v>
      </c>
      <c r="K334" s="6">
        <v>0.15422801152813231</v>
      </c>
      <c r="L334" s="6">
        <v>-0.30950326721132332</v>
      </c>
      <c r="N334" s="8">
        <f>SQRT((C334-Sheet2!$C$525)^2+(D334-Sheet2!$D$525)^2+(E334-Sheet2!$E$525)^2+(F334-Sheet2!$F$525)^2+(G334-Sheet2!$G$525)^2+(H334-Sheet2!$H$525)^2+(I334-Sheet2!$I$525)^2+(J334-Sheet2!$J$525)^2+(K334-Sheet2!$K$525)^2+(L334-Sheet2!$L$525)^2)</f>
        <v>2.0791822875467805</v>
      </c>
      <c r="O334" s="8">
        <f>SQRT((C334-Sheet2!$C$526)^2+(D334-Sheet2!$D$526)^2+(E334-Sheet2!$E$526)^2+(F334-Sheet2!$F$526)^2+(G334-Sheet2!$G$526)^2+(H334-Sheet2!$H$526)^2+(I334-Sheet2!$I$526)^2+(J334-Sheet2!$J$526)^2+(K334-Sheet2!$K$526)^2+(L334-Sheet2!$L$526)^2)</f>
        <v>3.9167250250833239</v>
      </c>
      <c r="P334" s="12">
        <f t="shared" si="5"/>
        <v>0</v>
      </c>
      <c r="Q334" s="11">
        <f>IF(P334=Sheet1!$M334, 1, 0)</f>
        <v>1</v>
      </c>
    </row>
    <row r="335" spans="1:17" x14ac:dyDescent="0.35">
      <c r="A335" s="6" t="s">
        <v>360</v>
      </c>
      <c r="B335" s="6" t="s">
        <v>366</v>
      </c>
      <c r="C335" s="6">
        <v>-1.1559037081092793</v>
      </c>
      <c r="D335" s="6">
        <v>-0.21274439251210708</v>
      </c>
      <c r="E335" s="6">
        <v>-0.57166626394813891</v>
      </c>
      <c r="F335" s="6">
        <v>-0.25525257382083466</v>
      </c>
      <c r="G335" s="6">
        <v>0.5525930601191551</v>
      </c>
      <c r="H335" s="6">
        <v>0.22449003407558307</v>
      </c>
      <c r="I335" s="6">
        <v>6.1415406826799662E-2</v>
      </c>
      <c r="J335" s="6">
        <v>-0.15544094653349833</v>
      </c>
      <c r="K335" s="6">
        <v>0.36861947007854989</v>
      </c>
      <c r="L335" s="6">
        <v>-0.39534953008881302</v>
      </c>
      <c r="N335" s="8">
        <f>SQRT((C335-Sheet2!$C$525)^2+(D335-Sheet2!$D$525)^2+(E335-Sheet2!$E$525)^2+(F335-Sheet2!$F$525)^2+(G335-Sheet2!$G$525)^2+(H335-Sheet2!$H$525)^2+(I335-Sheet2!$I$525)^2+(J335-Sheet2!$J$525)^2+(K335-Sheet2!$K$525)^2+(L335-Sheet2!$L$525)^2)</f>
        <v>1.662587469448471</v>
      </c>
      <c r="O335" s="8">
        <f>SQRT((C335-Sheet2!$C$526)^2+(D335-Sheet2!$D$526)^2+(E335-Sheet2!$E$526)^2+(F335-Sheet2!$F$526)^2+(G335-Sheet2!$G$526)^2+(H335-Sheet2!$H$526)^2+(I335-Sheet2!$I$526)^2+(J335-Sheet2!$J$526)^2+(K335-Sheet2!$K$526)^2+(L335-Sheet2!$L$526)^2)</f>
        <v>3.79859644123299</v>
      </c>
      <c r="P335" s="12">
        <f t="shared" si="5"/>
        <v>0</v>
      </c>
      <c r="Q335" s="11">
        <f>IF(P335=Sheet1!$M335, 1, 0)</f>
        <v>1</v>
      </c>
    </row>
    <row r="336" spans="1:17" x14ac:dyDescent="0.35">
      <c r="A336" s="6" t="s">
        <v>360</v>
      </c>
      <c r="B336" s="6" t="s">
        <v>367</v>
      </c>
      <c r="C336" s="6">
        <v>-1.1693239257198504</v>
      </c>
      <c r="D336" s="6">
        <v>-4.0600074906890537E-3</v>
      </c>
      <c r="E336" s="6">
        <v>0.33494645120314759</v>
      </c>
      <c r="F336" s="6">
        <v>0.10064069633632691</v>
      </c>
      <c r="G336" s="6">
        <v>-7.7468322972619519E-2</v>
      </c>
      <c r="H336" s="6">
        <v>0.25249902298327331</v>
      </c>
      <c r="I336" s="6">
        <v>-1.1396267596845251</v>
      </c>
      <c r="J336" s="6">
        <v>-1.0474835126576578</v>
      </c>
      <c r="K336" s="6">
        <v>0.15266311037082919</v>
      </c>
      <c r="L336" s="6">
        <v>-0.37601248623953765</v>
      </c>
      <c r="N336" s="8">
        <f>SQRT((C336-Sheet2!$C$525)^2+(D336-Sheet2!$D$525)^2+(E336-Sheet2!$E$525)^2+(F336-Sheet2!$F$525)^2+(G336-Sheet2!$G$525)^2+(H336-Sheet2!$H$525)^2+(I336-Sheet2!$I$525)^2+(J336-Sheet2!$J$525)^2+(K336-Sheet2!$K$525)^2+(L336-Sheet2!$L$525)^2)</f>
        <v>2.0704930179307013</v>
      </c>
      <c r="O336" s="8">
        <f>SQRT((C336-Sheet2!$C$526)^2+(D336-Sheet2!$D$526)^2+(E336-Sheet2!$E$526)^2+(F336-Sheet2!$F$526)^2+(G336-Sheet2!$G$526)^2+(H336-Sheet2!$H$526)^2+(I336-Sheet2!$I$526)^2+(J336-Sheet2!$J$526)^2+(K336-Sheet2!$K$526)^2+(L336-Sheet2!$L$526)^2)</f>
        <v>4.0931074471095812</v>
      </c>
      <c r="P336" s="12">
        <f t="shared" si="5"/>
        <v>0</v>
      </c>
      <c r="Q336" s="11">
        <f>IF(P336=Sheet1!$M336, 1, 0)</f>
        <v>1</v>
      </c>
    </row>
    <row r="337" spans="1:17" x14ac:dyDescent="0.35">
      <c r="A337" s="6" t="s">
        <v>360</v>
      </c>
      <c r="B337" s="6" t="s">
        <v>368</v>
      </c>
      <c r="C337" s="6">
        <v>-0.67814396117294018</v>
      </c>
      <c r="D337" s="6">
        <v>-0.29253548090264925</v>
      </c>
      <c r="E337" s="6">
        <v>-0.3333166391196617</v>
      </c>
      <c r="F337" s="6">
        <v>-0.34769238425126531</v>
      </c>
      <c r="G337" s="6">
        <v>-0.1152139357845678</v>
      </c>
      <c r="H337" s="6">
        <v>-8.3608843909011674E-2</v>
      </c>
      <c r="I337" s="6">
        <v>-1.5361491734690502</v>
      </c>
      <c r="J337" s="6">
        <v>-0.30727797906527027</v>
      </c>
      <c r="K337" s="6">
        <v>0.31228302841566613</v>
      </c>
      <c r="L337" s="6">
        <v>-0.33286853624849744</v>
      </c>
      <c r="N337" s="8">
        <f>SQRT((C337-Sheet2!$C$525)^2+(D337-Sheet2!$D$525)^2+(E337-Sheet2!$E$525)^2+(F337-Sheet2!$F$525)^2+(G337-Sheet2!$G$525)^2+(H337-Sheet2!$H$525)^2+(I337-Sheet2!$I$525)^2+(J337-Sheet2!$J$525)^2+(K337-Sheet2!$K$525)^2+(L337-Sheet2!$L$525)^2)</f>
        <v>1.6284882605171804</v>
      </c>
      <c r="O337" s="8">
        <f>SQRT((C337-Sheet2!$C$526)^2+(D337-Sheet2!$D$526)^2+(E337-Sheet2!$E$526)^2+(F337-Sheet2!$F$526)^2+(G337-Sheet2!$G$526)^2+(H337-Sheet2!$H$526)^2+(I337-Sheet2!$I$526)^2+(J337-Sheet2!$J$526)^2+(K337-Sheet2!$K$526)^2+(L337-Sheet2!$L$526)^2)</f>
        <v>4.5160135837008353</v>
      </c>
      <c r="P337" s="12">
        <f t="shared" si="5"/>
        <v>0</v>
      </c>
      <c r="Q337" s="11">
        <f>IF(P337=Sheet1!$M337, 1, 0)</f>
        <v>1</v>
      </c>
    </row>
    <row r="338" spans="1:17" x14ac:dyDescent="0.35">
      <c r="A338" s="6" t="s">
        <v>360</v>
      </c>
      <c r="B338" s="6" t="s">
        <v>369</v>
      </c>
      <c r="C338" s="6">
        <v>-0.94252224810119523</v>
      </c>
      <c r="D338" s="6">
        <v>0.14938439326035369</v>
      </c>
      <c r="E338" s="6">
        <v>8.9597378350341081E-2</v>
      </c>
      <c r="F338" s="6">
        <v>-0.15973143637605478</v>
      </c>
      <c r="G338" s="6">
        <v>-1.0995033775730998</v>
      </c>
      <c r="H338" s="6">
        <v>-0.19133572432320567</v>
      </c>
      <c r="I338" s="6">
        <v>-0.11389594974995963</v>
      </c>
      <c r="J338" s="6">
        <v>0.16721274759651661</v>
      </c>
      <c r="K338" s="6">
        <v>-0.79566699095438254</v>
      </c>
      <c r="L338" s="6">
        <v>-0.35263683237832011</v>
      </c>
      <c r="N338" s="8">
        <f>SQRT((C338-Sheet2!$C$525)^2+(D338-Sheet2!$D$525)^2+(E338-Sheet2!$E$525)^2+(F338-Sheet2!$F$525)^2+(G338-Sheet2!$G$525)^2+(H338-Sheet2!$H$525)^2+(I338-Sheet2!$I$525)^2+(J338-Sheet2!$J$525)^2+(K338-Sheet2!$K$525)^2+(L338-Sheet2!$L$525)^2)</f>
        <v>1.8758198759734035</v>
      </c>
      <c r="O338" s="8">
        <f>SQRT((C338-Sheet2!$C$526)^2+(D338-Sheet2!$D$526)^2+(E338-Sheet2!$E$526)^2+(F338-Sheet2!$F$526)^2+(G338-Sheet2!$G$526)^2+(H338-Sheet2!$H$526)^2+(I338-Sheet2!$I$526)^2+(J338-Sheet2!$J$526)^2+(K338-Sheet2!$K$526)^2+(L338-Sheet2!$L$526)^2)</f>
        <v>3.7439656451595096</v>
      </c>
      <c r="P338" s="12">
        <f t="shared" si="5"/>
        <v>0</v>
      </c>
      <c r="Q338" s="11">
        <f>IF(P338=Sheet1!$M338, 1, 0)</f>
        <v>1</v>
      </c>
    </row>
    <row r="339" spans="1:17" x14ac:dyDescent="0.35">
      <c r="A339" s="6" t="s">
        <v>360</v>
      </c>
      <c r="B339" s="6" t="s">
        <v>370</v>
      </c>
      <c r="C339" s="6">
        <v>-1.0780664459679656</v>
      </c>
      <c r="D339" s="6">
        <v>-0.15136663221169019</v>
      </c>
      <c r="E339" s="6">
        <v>-8.9441134271977168E-2</v>
      </c>
      <c r="F339" s="6">
        <v>-0.21519532263431357</v>
      </c>
      <c r="G339" s="6">
        <v>-0.45202094241427504</v>
      </c>
      <c r="H339" s="6">
        <v>-0.7595950185080792</v>
      </c>
      <c r="I339" s="6">
        <v>0.15066482472042295</v>
      </c>
      <c r="J339" s="6">
        <v>-0.93360573825882887</v>
      </c>
      <c r="K339" s="6">
        <v>0.62369835871883106</v>
      </c>
      <c r="L339" s="6">
        <v>-0.38378409572728733</v>
      </c>
      <c r="N339" s="8">
        <f>SQRT((C339-Sheet2!$C$525)^2+(D339-Sheet2!$D$525)^2+(E339-Sheet2!$E$525)^2+(F339-Sheet2!$F$525)^2+(G339-Sheet2!$G$525)^2+(H339-Sheet2!$H$525)^2+(I339-Sheet2!$I$525)^2+(J339-Sheet2!$J$525)^2+(K339-Sheet2!$K$525)^2+(L339-Sheet2!$L$525)^2)</f>
        <v>1.6939922092398541</v>
      </c>
      <c r="O339" s="8">
        <f>SQRT((C339-Sheet2!$C$526)^2+(D339-Sheet2!$D$526)^2+(E339-Sheet2!$E$526)^2+(F339-Sheet2!$F$526)^2+(G339-Sheet2!$G$526)^2+(H339-Sheet2!$H$526)^2+(I339-Sheet2!$I$526)^2+(J339-Sheet2!$J$526)^2+(K339-Sheet2!$K$526)^2+(L339-Sheet2!$L$526)^2)</f>
        <v>4.4030273503515058</v>
      </c>
      <c r="P339" s="12">
        <f t="shared" si="5"/>
        <v>0</v>
      </c>
      <c r="Q339" s="11">
        <f>IF(P339=Sheet1!$M339, 1, 0)</f>
        <v>1</v>
      </c>
    </row>
    <row r="340" spans="1:17" x14ac:dyDescent="0.35">
      <c r="A340" s="6" t="s">
        <v>360</v>
      </c>
      <c r="B340" s="6" t="s">
        <v>371</v>
      </c>
      <c r="C340" s="6">
        <v>-0.92910203049062401</v>
      </c>
      <c r="D340" s="6">
        <v>0.45627319476243916</v>
      </c>
      <c r="E340" s="6">
        <v>0.17837985065893922</v>
      </c>
      <c r="F340" s="6">
        <v>0.16997055415915097</v>
      </c>
      <c r="G340" s="6">
        <v>0.23320710555650215</v>
      </c>
      <c r="H340" s="6">
        <v>0.41355070920249304</v>
      </c>
      <c r="I340" s="6">
        <v>-1.4182124426810483</v>
      </c>
      <c r="J340" s="6">
        <v>-0.74001352178081992</v>
      </c>
      <c r="K340" s="6">
        <v>3.6860424730457635E-2</v>
      </c>
      <c r="L340" s="6">
        <v>-0.37944033486961065</v>
      </c>
      <c r="N340" s="8">
        <f>SQRT((C340-Sheet2!$C$525)^2+(D340-Sheet2!$D$525)^2+(E340-Sheet2!$E$525)^2+(F340-Sheet2!$F$525)^2+(G340-Sheet2!$G$525)^2+(H340-Sheet2!$H$525)^2+(I340-Sheet2!$I$525)^2+(J340-Sheet2!$J$525)^2+(K340-Sheet2!$K$525)^2+(L340-Sheet2!$L$525)^2)</f>
        <v>2.1599274425172275</v>
      </c>
      <c r="O340" s="8">
        <f>SQRT((C340-Sheet2!$C$526)^2+(D340-Sheet2!$D$526)^2+(E340-Sheet2!$E$526)^2+(F340-Sheet2!$F$526)^2+(G340-Sheet2!$G$526)^2+(H340-Sheet2!$H$526)^2+(I340-Sheet2!$I$526)^2+(J340-Sheet2!$J$526)^2+(K340-Sheet2!$K$526)^2+(L340-Sheet2!$L$526)^2)</f>
        <v>3.8431272122218627</v>
      </c>
      <c r="P340" s="12">
        <f t="shared" si="5"/>
        <v>0</v>
      </c>
      <c r="Q340" s="11">
        <f>IF(P340=Sheet1!$M340, 1, 0)</f>
        <v>1</v>
      </c>
    </row>
    <row r="341" spans="1:17" x14ac:dyDescent="0.35">
      <c r="A341" s="6" t="s">
        <v>360</v>
      </c>
      <c r="B341" s="6" t="s">
        <v>372</v>
      </c>
      <c r="C341" s="6">
        <v>-0.79087378910173933</v>
      </c>
      <c r="D341" s="6">
        <v>0.48696207491264815</v>
      </c>
      <c r="E341" s="6">
        <v>0.36736494731583069</v>
      </c>
      <c r="F341" s="6">
        <v>0.23775974847480039</v>
      </c>
      <c r="G341" s="6">
        <v>-0.39104726017958491</v>
      </c>
      <c r="H341" s="6">
        <v>3.8661165361098287E-2</v>
      </c>
      <c r="I341" s="6">
        <v>-1.1428142388950124</v>
      </c>
      <c r="J341" s="6">
        <v>-0.69825833783458258</v>
      </c>
      <c r="K341" s="6">
        <v>1.3983244315834844</v>
      </c>
      <c r="L341" s="6">
        <v>-0.34743689815006207</v>
      </c>
      <c r="N341" s="8">
        <f>SQRT((C341-Sheet2!$C$525)^2+(D341-Sheet2!$D$525)^2+(E341-Sheet2!$E$525)^2+(F341-Sheet2!$F$525)^2+(G341-Sheet2!$G$525)^2+(H341-Sheet2!$H$525)^2+(I341-Sheet2!$I$525)^2+(J341-Sheet2!$J$525)^2+(K341-Sheet2!$K$525)^2+(L341-Sheet2!$L$525)^2)</f>
        <v>2.271929337589885</v>
      </c>
      <c r="O341" s="8">
        <f>SQRT((C341-Sheet2!$C$526)^2+(D341-Sheet2!$D$526)^2+(E341-Sheet2!$E$526)^2+(F341-Sheet2!$F$526)^2+(G341-Sheet2!$G$526)^2+(H341-Sheet2!$H$526)^2+(I341-Sheet2!$I$526)^2+(J341-Sheet2!$J$526)^2+(K341-Sheet2!$K$526)^2+(L341-Sheet2!$L$526)^2)</f>
        <v>4.2519548043461937</v>
      </c>
      <c r="P341" s="12">
        <f t="shared" si="5"/>
        <v>0</v>
      </c>
      <c r="Q341" s="11">
        <f>IF(P341=Sheet1!$M341, 1, 0)</f>
        <v>1</v>
      </c>
    </row>
    <row r="342" spans="1:17" x14ac:dyDescent="0.35">
      <c r="A342" s="6" t="s">
        <v>360</v>
      </c>
      <c r="B342" s="6" t="s">
        <v>373</v>
      </c>
      <c r="C342" s="6">
        <v>-0.82174028960605328</v>
      </c>
      <c r="D342" s="6">
        <v>-0.50735764195410882</v>
      </c>
      <c r="E342" s="6">
        <v>4.5758730197962741E-2</v>
      </c>
      <c r="F342" s="6">
        <v>-0.27836252642844123</v>
      </c>
      <c r="G342" s="6">
        <v>-3.6819201482827475E-2</v>
      </c>
      <c r="H342" s="6">
        <v>-0.97073970411989952</v>
      </c>
      <c r="I342" s="6">
        <v>-1.5355116776269531</v>
      </c>
      <c r="J342" s="6">
        <v>-0.7703809282871743</v>
      </c>
      <c r="K342" s="6">
        <v>-0.28863901598842656</v>
      </c>
      <c r="L342" s="6">
        <v>-0.33407129528589591</v>
      </c>
      <c r="N342" s="8">
        <f>SQRT((C342-Sheet2!$C$525)^2+(D342-Sheet2!$D$525)^2+(E342-Sheet2!$E$525)^2+(F342-Sheet2!$F$525)^2+(G342-Sheet2!$G$525)^2+(H342-Sheet2!$H$525)^2+(I342-Sheet2!$I$525)^2+(J342-Sheet2!$J$525)^2+(K342-Sheet2!$K$525)^2+(L342-Sheet2!$L$525)^2)</f>
        <v>2.0324990473793614</v>
      </c>
      <c r="O342" s="8">
        <f>SQRT((C342-Sheet2!$C$526)^2+(D342-Sheet2!$D$526)^2+(E342-Sheet2!$E$526)^2+(F342-Sheet2!$F$526)^2+(G342-Sheet2!$G$526)^2+(H342-Sheet2!$H$526)^2+(I342-Sheet2!$I$526)^2+(J342-Sheet2!$J$526)^2+(K342-Sheet2!$K$526)^2+(L342-Sheet2!$L$526)^2)</f>
        <v>4.7701759498338934</v>
      </c>
      <c r="P342" s="12">
        <f t="shared" si="5"/>
        <v>0</v>
      </c>
      <c r="Q342" s="11">
        <f>IF(P342=Sheet1!$M342, 1, 0)</f>
        <v>1</v>
      </c>
    </row>
    <row r="343" spans="1:17" x14ac:dyDescent="0.35">
      <c r="A343" s="6" t="s">
        <v>360</v>
      </c>
      <c r="B343" s="6" t="s">
        <v>374</v>
      </c>
      <c r="C343" s="6">
        <v>-1.1438255122597651</v>
      </c>
      <c r="D343" s="6">
        <v>1.8986505618222407</v>
      </c>
      <c r="E343" s="6">
        <v>1.3797061668346178</v>
      </c>
      <c r="F343" s="6">
        <v>1.6782801276823569</v>
      </c>
      <c r="G343" s="6">
        <v>1.0403825179966555</v>
      </c>
      <c r="H343" s="6">
        <v>0.81752651075572047</v>
      </c>
      <c r="I343" s="6">
        <v>0.9424346606052777</v>
      </c>
      <c r="J343" s="6">
        <v>0.30386607687511136</v>
      </c>
      <c r="K343" s="6">
        <v>-0.96467631594303382</v>
      </c>
      <c r="L343" s="6">
        <v>-0.22843705317144289</v>
      </c>
      <c r="N343" s="8">
        <f>SQRT((C343-Sheet2!$C$525)^2+(D343-Sheet2!$D$525)^2+(E343-Sheet2!$E$525)^2+(F343-Sheet2!$F$525)^2+(G343-Sheet2!$G$525)^2+(H343-Sheet2!$H$525)^2+(I343-Sheet2!$I$525)^2+(J343-Sheet2!$J$525)^2+(K343-Sheet2!$K$525)^2+(L343-Sheet2!$L$525)^2)</f>
        <v>4.342802129965162</v>
      </c>
      <c r="O343" s="8">
        <f>SQRT((C343-Sheet2!$C$526)^2+(D343-Sheet2!$D$526)^2+(E343-Sheet2!$E$526)^2+(F343-Sheet2!$F$526)^2+(G343-Sheet2!$G$526)^2+(H343-Sheet2!$H$526)^2+(I343-Sheet2!$I$526)^2+(J343-Sheet2!$J$526)^2+(K343-Sheet2!$K$526)^2+(L343-Sheet2!$L$526)^2)</f>
        <v>1.5505038870155814</v>
      </c>
      <c r="P343" s="12">
        <f t="shared" si="5"/>
        <v>1</v>
      </c>
      <c r="Q343" s="11">
        <f>IF(P343=Sheet1!$M343, 1, 0)</f>
        <v>0</v>
      </c>
    </row>
    <row r="344" spans="1:17" x14ac:dyDescent="0.35">
      <c r="A344" s="6" t="s">
        <v>375</v>
      </c>
      <c r="B344" s="6" t="s">
        <v>376</v>
      </c>
      <c r="C344" s="6">
        <v>-1.0337797278530803</v>
      </c>
      <c r="D344" s="6">
        <v>-0.33549991311294136</v>
      </c>
      <c r="E344" s="6">
        <v>0.36294424330046482</v>
      </c>
      <c r="F344" s="6">
        <v>-8.7464126730160494E-3</v>
      </c>
      <c r="G344" s="6">
        <v>-1.9398149415773152E-2</v>
      </c>
      <c r="H344" s="6">
        <v>-0.58076839702051719</v>
      </c>
      <c r="I344" s="6">
        <v>-1.3780502046289178</v>
      </c>
      <c r="J344" s="6">
        <v>-0.58438056343575373</v>
      </c>
      <c r="K344" s="6">
        <v>0.43904002215715515</v>
      </c>
      <c r="L344" s="6">
        <v>-0.23919945019365965</v>
      </c>
      <c r="N344" s="8">
        <f>SQRT((C344-Sheet2!$C$525)^2+(D344-Sheet2!$D$525)^2+(E344-Sheet2!$E$525)^2+(F344-Sheet2!$F$525)^2+(G344-Sheet2!$G$525)^2+(H344-Sheet2!$H$525)^2+(I344-Sheet2!$I$525)^2+(J344-Sheet2!$J$525)^2+(K344-Sheet2!$K$525)^2+(L344-Sheet2!$L$525)^2)</f>
        <v>1.9642738287915489</v>
      </c>
      <c r="O344" s="8">
        <f>SQRT((C344-Sheet2!$C$526)^2+(D344-Sheet2!$D$526)^2+(E344-Sheet2!$E$526)^2+(F344-Sheet2!$F$526)^2+(G344-Sheet2!$G$526)^2+(H344-Sheet2!$H$526)^2+(I344-Sheet2!$I$526)^2+(J344-Sheet2!$J$526)^2+(K344-Sheet2!$K$526)^2+(L344-Sheet2!$L$526)^2)</f>
        <v>4.3310760356157125</v>
      </c>
      <c r="P344" s="12">
        <f t="shared" si="5"/>
        <v>0</v>
      </c>
      <c r="Q344" s="11">
        <f>IF(P344=Sheet1!$M344, 1, 0)</f>
        <v>1</v>
      </c>
    </row>
    <row r="345" spans="1:17" x14ac:dyDescent="0.35">
      <c r="A345" s="6" t="s">
        <v>375</v>
      </c>
      <c r="B345" s="6" t="s">
        <v>377</v>
      </c>
      <c r="C345" s="6">
        <v>-0.9948610967824234</v>
      </c>
      <c r="D345" s="6">
        <v>-0.59942428240473467</v>
      </c>
      <c r="E345" s="6">
        <v>0.51398496382546588</v>
      </c>
      <c r="F345" s="6">
        <v>-0.12275551220388296</v>
      </c>
      <c r="G345" s="6">
        <v>-9.7792883717517598E-2</v>
      </c>
      <c r="H345" s="6">
        <v>-0.33622837848029724</v>
      </c>
      <c r="I345" s="6">
        <v>-1.342350437471469</v>
      </c>
      <c r="J345" s="6">
        <v>0.19378422828957678</v>
      </c>
      <c r="K345" s="6">
        <v>-0.3074178298760552</v>
      </c>
      <c r="L345" s="6">
        <v>-8.5186032174175308E-2</v>
      </c>
      <c r="N345" s="8">
        <f>SQRT((C345-Sheet2!$C$525)^2+(D345-Sheet2!$D$525)^2+(E345-Sheet2!$E$525)^2+(F345-Sheet2!$F$525)^2+(G345-Sheet2!$G$525)^2+(H345-Sheet2!$H$525)^2+(I345-Sheet2!$I$525)^2+(J345-Sheet2!$J$525)^2+(K345-Sheet2!$K$525)^2+(L345-Sheet2!$L$525)^2)</f>
        <v>1.9997123837053701</v>
      </c>
      <c r="O345" s="8">
        <f>SQRT((C345-Sheet2!$C$526)^2+(D345-Sheet2!$D$526)^2+(E345-Sheet2!$E$526)^2+(F345-Sheet2!$F$526)^2+(G345-Sheet2!$G$526)^2+(H345-Sheet2!$H$526)^2+(I345-Sheet2!$I$526)^2+(J345-Sheet2!$J$526)^2+(K345-Sheet2!$K$526)^2+(L345-Sheet2!$L$526)^2)</f>
        <v>3.9634362582637843</v>
      </c>
      <c r="P345" s="12">
        <f t="shared" si="5"/>
        <v>0</v>
      </c>
      <c r="Q345" s="11">
        <f>IF(P345=Sheet1!$M345, 1, 0)</f>
        <v>1</v>
      </c>
    </row>
    <row r="346" spans="1:17" x14ac:dyDescent="0.35">
      <c r="A346" s="6" t="s">
        <v>375</v>
      </c>
      <c r="B346" s="6" t="s">
        <v>378</v>
      </c>
      <c r="C346" s="6">
        <v>-1.2391090572948216</v>
      </c>
      <c r="D346" s="6">
        <v>-0.56259762622448473</v>
      </c>
      <c r="E346" s="6">
        <v>0.87758786908930964</v>
      </c>
      <c r="F346" s="6">
        <v>-5.6650856586689469E-3</v>
      </c>
      <c r="G346" s="6">
        <v>-0.65236304118539146</v>
      </c>
      <c r="H346" s="6">
        <v>-6.5914599008273019E-4</v>
      </c>
      <c r="I346" s="6">
        <v>-1.2378011193675107</v>
      </c>
      <c r="J346" s="6">
        <v>-0.40976797602421622</v>
      </c>
      <c r="K346" s="6">
        <v>0.21525915666292322</v>
      </c>
      <c r="L346" s="6">
        <v>-0.20592405013644743</v>
      </c>
      <c r="N346" s="8">
        <f>SQRT((C346-Sheet2!$C$525)^2+(D346-Sheet2!$D$525)^2+(E346-Sheet2!$E$525)^2+(F346-Sheet2!$F$525)^2+(G346-Sheet2!$G$525)^2+(H346-Sheet2!$H$525)^2+(I346-Sheet2!$I$525)^2+(J346-Sheet2!$J$525)^2+(K346-Sheet2!$K$525)^2+(L346-Sheet2!$L$525)^2)</f>
        <v>2.228755495204223</v>
      </c>
      <c r="O346" s="8">
        <f>SQRT((C346-Sheet2!$C$526)^2+(D346-Sheet2!$D$526)^2+(E346-Sheet2!$E$526)^2+(F346-Sheet2!$F$526)^2+(G346-Sheet2!$G$526)^2+(H346-Sheet2!$H$526)^2+(I346-Sheet2!$I$526)^2+(J346-Sheet2!$J$526)^2+(K346-Sheet2!$K$526)^2+(L346-Sheet2!$L$526)^2)</f>
        <v>4.1986558308292681</v>
      </c>
      <c r="P346" s="12">
        <f t="shared" si="5"/>
        <v>0</v>
      </c>
      <c r="Q346" s="11">
        <f>IF(P346=Sheet1!$M346, 1, 0)</f>
        <v>1</v>
      </c>
    </row>
    <row r="347" spans="1:17" x14ac:dyDescent="0.35">
      <c r="A347" s="6" t="s">
        <v>375</v>
      </c>
      <c r="B347" s="6" t="s">
        <v>379</v>
      </c>
      <c r="C347" s="6">
        <v>-0.96131055275599508</v>
      </c>
      <c r="D347" s="6">
        <v>-0.54418429813435942</v>
      </c>
      <c r="E347" s="6">
        <v>-0.16827702254600208</v>
      </c>
      <c r="F347" s="6">
        <v>-0.50638072549017288</v>
      </c>
      <c r="G347" s="6">
        <v>-0.9833630304594112</v>
      </c>
      <c r="H347" s="6">
        <v>-1.1802684865255069</v>
      </c>
      <c r="I347" s="6">
        <v>-1.2741383823670567</v>
      </c>
      <c r="J347" s="6">
        <v>-0.69825833783458258</v>
      </c>
      <c r="K347" s="6">
        <v>0.94137329365120404</v>
      </c>
      <c r="L347" s="6">
        <v>-0.33476421587931188</v>
      </c>
      <c r="N347" s="8">
        <f>SQRT((C347-Sheet2!$C$525)^2+(D347-Sheet2!$D$525)^2+(E347-Sheet2!$E$525)^2+(F347-Sheet2!$F$525)^2+(G347-Sheet2!$G$525)^2+(H347-Sheet2!$H$525)^2+(I347-Sheet2!$I$525)^2+(J347-Sheet2!$J$525)^2+(K347-Sheet2!$K$525)^2+(L347-Sheet2!$L$525)^2)</f>
        <v>2.245982170168348</v>
      </c>
      <c r="O347" s="8">
        <f>SQRT((C347-Sheet2!$C$526)^2+(D347-Sheet2!$D$526)^2+(E347-Sheet2!$E$526)^2+(F347-Sheet2!$F$526)^2+(G347-Sheet2!$G$526)^2+(H347-Sheet2!$H$526)^2+(I347-Sheet2!$I$526)^2+(J347-Sheet2!$J$526)^2+(K347-Sheet2!$K$526)^2+(L347-Sheet2!$L$526)^2)</f>
        <v>5.3717141287253449</v>
      </c>
      <c r="P347" s="12">
        <f t="shared" si="5"/>
        <v>0</v>
      </c>
      <c r="Q347" s="11">
        <f>IF(P347=Sheet1!$M347, 1, 0)</f>
        <v>1</v>
      </c>
    </row>
    <row r="348" spans="1:17" x14ac:dyDescent="0.35">
      <c r="A348" s="6" t="s">
        <v>375</v>
      </c>
      <c r="B348" s="6" t="s">
        <v>380</v>
      </c>
      <c r="C348" s="6">
        <v>-1.1639558386756221</v>
      </c>
      <c r="D348" s="6">
        <v>-0.40915322547344196</v>
      </c>
      <c r="E348" s="6">
        <v>0.59945190812253957</v>
      </c>
      <c r="F348" s="6">
        <v>5.9042781642633359E-2</v>
      </c>
      <c r="G348" s="6">
        <v>0.26514570101276702</v>
      </c>
      <c r="H348" s="6">
        <v>0.11191544404275017</v>
      </c>
      <c r="I348" s="6">
        <v>-0.41734397058827694</v>
      </c>
      <c r="J348" s="6">
        <v>-3.7767246321375333E-2</v>
      </c>
      <c r="K348" s="6">
        <v>0.13231939532589962</v>
      </c>
      <c r="L348" s="6">
        <v>-0.32154416771189909</v>
      </c>
      <c r="N348" s="8">
        <f>SQRT((C348-Sheet2!$C$525)^2+(D348-Sheet2!$D$525)^2+(E348-Sheet2!$E$525)^2+(F348-Sheet2!$F$525)^2+(G348-Sheet2!$G$525)^2+(H348-Sheet2!$H$525)^2+(I348-Sheet2!$I$525)^2+(J348-Sheet2!$J$525)^2+(K348-Sheet2!$K$525)^2+(L348-Sheet2!$L$525)^2)</f>
        <v>1.798699697037623</v>
      </c>
      <c r="O348" s="8">
        <f>SQRT((C348-Sheet2!$C$526)^2+(D348-Sheet2!$D$526)^2+(E348-Sheet2!$E$526)^2+(F348-Sheet2!$F$526)^2+(G348-Sheet2!$G$526)^2+(H348-Sheet2!$H$526)^2+(I348-Sheet2!$I$526)^2+(J348-Sheet2!$J$526)^2+(K348-Sheet2!$K$526)^2+(L348-Sheet2!$L$526)^2)</f>
        <v>3.3691741492133751</v>
      </c>
      <c r="P348" s="12">
        <f t="shared" si="5"/>
        <v>0</v>
      </c>
      <c r="Q348" s="11">
        <f>IF(P348=Sheet1!$M348, 1, 0)</f>
        <v>1</v>
      </c>
    </row>
    <row r="349" spans="1:17" x14ac:dyDescent="0.35">
      <c r="A349" s="6" t="s">
        <v>375</v>
      </c>
      <c r="B349" s="6" t="s">
        <v>381</v>
      </c>
      <c r="C349" s="6">
        <v>-0.99754514030453767</v>
      </c>
      <c r="D349" s="6">
        <v>-0.41529100150348353</v>
      </c>
      <c r="E349" s="6">
        <v>0.88827123712644385</v>
      </c>
      <c r="F349" s="6">
        <v>-0.11043020414649235</v>
      </c>
      <c r="G349" s="6">
        <v>-1.0269156606270429</v>
      </c>
      <c r="H349" s="6">
        <v>0.34945321535604773</v>
      </c>
      <c r="I349" s="6">
        <v>-0.8170538635832888</v>
      </c>
      <c r="J349" s="6">
        <v>-0.99434055127153764</v>
      </c>
      <c r="K349" s="6">
        <v>-3.3560127348147624E-2</v>
      </c>
      <c r="L349" s="6">
        <v>-0.35771321436398518</v>
      </c>
      <c r="N349" s="8">
        <f>SQRT((C349-Sheet2!$C$525)^2+(D349-Sheet2!$D$525)^2+(E349-Sheet2!$E$525)^2+(F349-Sheet2!$F$525)^2+(G349-Sheet2!$G$525)^2+(H349-Sheet2!$H$525)^2+(I349-Sheet2!$I$525)^2+(J349-Sheet2!$J$525)^2+(K349-Sheet2!$K$525)^2+(L349-Sheet2!$L$525)^2)</f>
        <v>2.1972600518953009</v>
      </c>
      <c r="O349" s="8">
        <f>SQRT((C349-Sheet2!$C$526)^2+(D349-Sheet2!$D$526)^2+(E349-Sheet2!$E$526)^2+(F349-Sheet2!$F$526)^2+(G349-Sheet2!$G$526)^2+(H349-Sheet2!$H$526)^2+(I349-Sheet2!$I$526)^2+(J349-Sheet2!$J$526)^2+(K349-Sheet2!$K$526)^2+(L349-Sheet2!$L$526)^2)</f>
        <v>4.3305919510482873</v>
      </c>
      <c r="P349" s="12">
        <f t="shared" si="5"/>
        <v>0</v>
      </c>
      <c r="Q349" s="11">
        <f>IF(P349=Sheet1!$M349, 1, 0)</f>
        <v>1</v>
      </c>
    </row>
    <row r="350" spans="1:17" x14ac:dyDescent="0.35">
      <c r="A350" s="6" t="s">
        <v>375</v>
      </c>
      <c r="B350" s="6" t="s">
        <v>382</v>
      </c>
      <c r="C350" s="6">
        <v>-0.81771422432288199</v>
      </c>
      <c r="D350" s="6">
        <v>-0.26184660075244082</v>
      </c>
      <c r="E350" s="6">
        <v>0.72028448454254035</v>
      </c>
      <c r="F350" s="6">
        <v>-0.13508082026127355</v>
      </c>
      <c r="G350" s="6">
        <v>-1.0036875912043053</v>
      </c>
      <c r="H350" s="6">
        <v>0.56113653536993924</v>
      </c>
      <c r="I350" s="6">
        <v>0.35848846924414518</v>
      </c>
      <c r="J350" s="6">
        <v>-0.49327834391669079</v>
      </c>
      <c r="K350" s="6">
        <v>0.11510548259557409</v>
      </c>
      <c r="L350" s="6">
        <v>-0.35492036533688881</v>
      </c>
      <c r="N350" s="8">
        <f>SQRT((C350-Sheet2!$C$525)^2+(D350-Sheet2!$D$525)^2+(E350-Sheet2!$E$525)^2+(F350-Sheet2!$F$525)^2+(G350-Sheet2!$G$525)^2+(H350-Sheet2!$H$525)^2+(I350-Sheet2!$I$525)^2+(J350-Sheet2!$J$525)^2+(K350-Sheet2!$K$525)^2+(L350-Sheet2!$L$525)^2)</f>
        <v>1.9075893003840669</v>
      </c>
      <c r="O350" s="8">
        <f>SQRT((C350-Sheet2!$C$526)^2+(D350-Sheet2!$D$526)^2+(E350-Sheet2!$E$526)^2+(F350-Sheet2!$F$526)^2+(G350-Sheet2!$G$526)^2+(H350-Sheet2!$H$526)^2+(I350-Sheet2!$I$526)^2+(J350-Sheet2!$J$526)^2+(K350-Sheet2!$K$526)^2+(L350-Sheet2!$L$526)^2)</f>
        <v>3.7594829592157888</v>
      </c>
      <c r="P350" s="12">
        <f t="shared" si="5"/>
        <v>0</v>
      </c>
      <c r="Q350" s="11">
        <f>IF(P350=Sheet1!$M350, 1, 0)</f>
        <v>1</v>
      </c>
    </row>
    <row r="351" spans="1:17" x14ac:dyDescent="0.35">
      <c r="A351" s="6" t="s">
        <v>375</v>
      </c>
      <c r="B351" s="6" t="s">
        <v>383</v>
      </c>
      <c r="C351" s="6">
        <v>-0.73048280985416836</v>
      </c>
      <c r="D351" s="6">
        <v>-0.42142877753352509</v>
      </c>
      <c r="E351" s="6">
        <v>-0.25079683083283189</v>
      </c>
      <c r="F351" s="6">
        <v>-0.58649522786321284</v>
      </c>
      <c r="G351" s="6">
        <v>-1.6134244135511859</v>
      </c>
      <c r="H351" s="6">
        <v>0.58645235226727477</v>
      </c>
      <c r="I351" s="6">
        <v>0.1831771126673859</v>
      </c>
      <c r="J351" s="6">
        <v>-9.8502059334084097E-2</v>
      </c>
      <c r="K351" s="6">
        <v>0.3044585226291549</v>
      </c>
      <c r="L351" s="6">
        <v>-0.38769150591997681</v>
      </c>
      <c r="N351" s="8">
        <f>SQRT((C351-Sheet2!$C$525)^2+(D351-Sheet2!$D$525)^2+(E351-Sheet2!$E$525)^2+(F351-Sheet2!$F$525)^2+(G351-Sheet2!$G$525)^2+(H351-Sheet2!$H$525)^2+(I351-Sheet2!$I$525)^2+(J351-Sheet2!$J$525)^2+(K351-Sheet2!$K$525)^2+(L351-Sheet2!$L$525)^2)</f>
        <v>1.9155779724242725</v>
      </c>
      <c r="O351" s="8">
        <f>SQRT((C351-Sheet2!$C$526)^2+(D351-Sheet2!$D$526)^2+(E351-Sheet2!$E$526)^2+(F351-Sheet2!$F$526)^2+(G351-Sheet2!$G$526)^2+(H351-Sheet2!$H$526)^2+(I351-Sheet2!$I$526)^2+(J351-Sheet2!$J$526)^2+(K351-Sheet2!$K$526)^2+(L351-Sheet2!$L$526)^2)</f>
        <v>4.5528745649600513</v>
      </c>
      <c r="P351" s="12">
        <f t="shared" si="5"/>
        <v>0</v>
      </c>
      <c r="Q351" s="11">
        <f>IF(P351=Sheet1!$M351, 1, 0)</f>
        <v>1</v>
      </c>
    </row>
    <row r="352" spans="1:17" x14ac:dyDescent="0.35">
      <c r="A352" s="6" t="s">
        <v>375</v>
      </c>
      <c r="B352" s="6" t="s">
        <v>384</v>
      </c>
      <c r="C352" s="6">
        <v>-0.80563602847336779</v>
      </c>
      <c r="D352" s="6">
        <v>0.41330876255214699</v>
      </c>
      <c r="E352" s="6">
        <v>0.42188696350534327</v>
      </c>
      <c r="F352" s="6">
        <v>0.41185472478544566</v>
      </c>
      <c r="G352" s="6">
        <v>0.26514570101276702</v>
      </c>
      <c r="H352" s="6">
        <v>1.0415984220172445</v>
      </c>
      <c r="I352" s="6">
        <v>-0.80557893842553685</v>
      </c>
      <c r="J352" s="6">
        <v>-0.61854389575540236</v>
      </c>
      <c r="K352" s="6">
        <v>0.31697773188757328</v>
      </c>
      <c r="L352" s="6">
        <v>-0.14640772505785399</v>
      </c>
      <c r="N352" s="8">
        <f>SQRT((C352-Sheet2!$C$525)^2+(D352-Sheet2!$D$525)^2+(E352-Sheet2!$E$525)^2+(F352-Sheet2!$F$525)^2+(G352-Sheet2!$G$525)^2+(H352-Sheet2!$H$525)^2+(I352-Sheet2!$I$525)^2+(J352-Sheet2!$J$525)^2+(K352-Sheet2!$K$525)^2+(L352-Sheet2!$L$525)^2)</f>
        <v>2.2011704704742714</v>
      </c>
      <c r="O352" s="8">
        <f>SQRT((C352-Sheet2!$C$526)^2+(D352-Sheet2!$D$526)^2+(E352-Sheet2!$E$526)^2+(F352-Sheet2!$F$526)^2+(G352-Sheet2!$G$526)^2+(H352-Sheet2!$H$526)^2+(I352-Sheet2!$I$526)^2+(J352-Sheet2!$J$526)^2+(K352-Sheet2!$K$526)^2+(L352-Sheet2!$L$526)^2)</f>
        <v>3.2875118402408341</v>
      </c>
      <c r="P352" s="12">
        <f t="shared" si="5"/>
        <v>0</v>
      </c>
      <c r="Q352" s="11">
        <f>IF(P352=Sheet1!$M352, 1, 0)</f>
        <v>1</v>
      </c>
    </row>
    <row r="353" spans="1:17" x14ac:dyDescent="0.35">
      <c r="A353" s="6" t="s">
        <v>375</v>
      </c>
      <c r="B353" s="6" t="s">
        <v>385</v>
      </c>
      <c r="C353" s="6">
        <v>-1.0002291838266519</v>
      </c>
      <c r="D353" s="6">
        <v>-0.28639770487260768</v>
      </c>
      <c r="E353" s="6">
        <v>0.5596655719842466</v>
      </c>
      <c r="F353" s="6">
        <v>0.16534856363762923</v>
      </c>
      <c r="G353" s="6">
        <v>0.2303035968786625</v>
      </c>
      <c r="H353" s="6">
        <v>0.51158217037941001</v>
      </c>
      <c r="I353" s="6">
        <v>-1.4488122431017194</v>
      </c>
      <c r="J353" s="6">
        <v>0.67207088076465782</v>
      </c>
      <c r="K353" s="6">
        <v>-0.18379063844917023</v>
      </c>
      <c r="L353" s="6">
        <v>-0.12363739987377473</v>
      </c>
      <c r="N353" s="8">
        <f>SQRT((C353-Sheet2!$C$525)^2+(D353-Sheet2!$D$525)^2+(E353-Sheet2!$E$525)^2+(F353-Sheet2!$F$525)^2+(G353-Sheet2!$G$525)^2+(H353-Sheet2!$H$525)^2+(I353-Sheet2!$I$525)^2+(J353-Sheet2!$J$525)^2+(K353-Sheet2!$K$525)^2+(L353-Sheet2!$L$525)^2)</f>
        <v>2.3817482529540843</v>
      </c>
      <c r="O353" s="8">
        <f>SQRT((C353-Sheet2!$C$526)^2+(D353-Sheet2!$D$526)^2+(E353-Sheet2!$E$526)^2+(F353-Sheet2!$F$526)^2+(G353-Sheet2!$G$526)^2+(H353-Sheet2!$H$526)^2+(I353-Sheet2!$I$526)^2+(J353-Sheet2!$J$526)^2+(K353-Sheet2!$K$526)^2+(L353-Sheet2!$L$526)^2)</f>
        <v>3.4377992592686133</v>
      </c>
      <c r="P353" s="12">
        <f t="shared" si="5"/>
        <v>0</v>
      </c>
      <c r="Q353" s="11">
        <f>IF(P353=Sheet1!$M353, 1, 0)</f>
        <v>1</v>
      </c>
    </row>
    <row r="354" spans="1:17" x14ac:dyDescent="0.35">
      <c r="A354" s="6" t="s">
        <v>375</v>
      </c>
      <c r="B354" s="6" t="s">
        <v>386</v>
      </c>
      <c r="C354" s="6">
        <v>-0.83247646369451034</v>
      </c>
      <c r="D354" s="6">
        <v>-0.45825543371377514</v>
      </c>
      <c r="E354" s="6">
        <v>0.43293872354375795</v>
      </c>
      <c r="F354" s="6">
        <v>-0.12583683921823005</v>
      </c>
      <c r="G354" s="6">
        <v>-0.52460865936033196</v>
      </c>
      <c r="H354" s="6">
        <v>0.65809072774271371</v>
      </c>
      <c r="I354" s="6">
        <v>-0.57735542695470121</v>
      </c>
      <c r="J354" s="6">
        <v>-0.99434055127153764</v>
      </c>
      <c r="K354" s="6">
        <v>0.92572428207817936</v>
      </c>
      <c r="L354" s="6">
        <v>-0.26091169344632958</v>
      </c>
      <c r="N354" s="8">
        <f>SQRT((C354-Sheet2!$C$525)^2+(D354-Sheet2!$D$525)^2+(E354-Sheet2!$E$525)^2+(F354-Sheet2!$F$525)^2+(G354-Sheet2!$G$525)^2+(H354-Sheet2!$H$525)^2+(I354-Sheet2!$I$525)^2+(J354-Sheet2!$J$525)^2+(K354-Sheet2!$K$525)^2+(L354-Sheet2!$L$525)^2)</f>
        <v>1.9375935349006317</v>
      </c>
      <c r="O354" s="8">
        <f>SQRT((C354-Sheet2!$C$526)^2+(D354-Sheet2!$D$526)^2+(E354-Sheet2!$E$526)^2+(F354-Sheet2!$F$526)^2+(G354-Sheet2!$G$526)^2+(H354-Sheet2!$H$526)^2+(I354-Sheet2!$I$526)^2+(J354-Sheet2!$J$526)^2+(K354-Sheet2!$K$526)^2+(L354-Sheet2!$L$526)^2)</f>
        <v>4.3343908853369744</v>
      </c>
      <c r="P354" s="12">
        <f t="shared" si="5"/>
        <v>0</v>
      </c>
      <c r="Q354" s="11">
        <f>IF(P354=Sheet1!$M354, 1, 0)</f>
        <v>1</v>
      </c>
    </row>
    <row r="355" spans="1:17" x14ac:dyDescent="0.35">
      <c r="A355" s="6" t="s">
        <v>375</v>
      </c>
      <c r="B355" s="6" t="s">
        <v>387</v>
      </c>
      <c r="C355" s="6">
        <v>-0.99083503149925212</v>
      </c>
      <c r="D355" s="6">
        <v>1.0823263498266933</v>
      </c>
      <c r="E355" s="6">
        <v>1.5130640712981553</v>
      </c>
      <c r="F355" s="6">
        <v>1.1775644878508531</v>
      </c>
      <c r="G355" s="6">
        <v>0.47419832581741478</v>
      </c>
      <c r="H355" s="6">
        <v>0.76904941456933362</v>
      </c>
      <c r="I355" s="6">
        <v>0.92649726455284509</v>
      </c>
      <c r="J355" s="6">
        <v>1.2946027141449223</v>
      </c>
      <c r="K355" s="6">
        <v>-0.9818902286733594</v>
      </c>
      <c r="L355" s="6">
        <v>1.4802334233680535E-2</v>
      </c>
      <c r="N355" s="8">
        <f>SQRT((C355-Sheet2!$C$525)^2+(D355-Sheet2!$D$525)^2+(E355-Sheet2!$E$525)^2+(F355-Sheet2!$F$525)^2+(G355-Sheet2!$G$525)^2+(H355-Sheet2!$H$525)^2+(I355-Sheet2!$I$525)^2+(J355-Sheet2!$J$525)^2+(K355-Sheet2!$K$525)^2+(L355-Sheet2!$L$525)^2)</f>
        <v>3.9003179207395049</v>
      </c>
      <c r="O355" s="8">
        <f>SQRT((C355-Sheet2!$C$526)^2+(D355-Sheet2!$D$526)^2+(E355-Sheet2!$E$526)^2+(F355-Sheet2!$F$526)^2+(G355-Sheet2!$G$526)^2+(H355-Sheet2!$H$526)^2+(I355-Sheet2!$I$526)^2+(J355-Sheet2!$J$526)^2+(K355-Sheet2!$K$526)^2+(L355-Sheet2!$L$526)^2)</f>
        <v>1.0770350388769481</v>
      </c>
      <c r="P355" s="12">
        <f t="shared" si="5"/>
        <v>1</v>
      </c>
      <c r="Q355" s="11">
        <f>IF(P355=Sheet1!$M355, 1, 0)</f>
        <v>0</v>
      </c>
    </row>
    <row r="356" spans="1:17" x14ac:dyDescent="0.35">
      <c r="A356" s="6" t="s">
        <v>375</v>
      </c>
      <c r="B356" s="6" t="s">
        <v>388</v>
      </c>
      <c r="C356" s="6">
        <v>-1.0565940977910515</v>
      </c>
      <c r="D356" s="6">
        <v>1.5487973281098641</v>
      </c>
      <c r="E356" s="6">
        <v>1.2761880144748001</v>
      </c>
      <c r="F356" s="6">
        <v>1.4379366205632369</v>
      </c>
      <c r="G356" s="6">
        <v>0.70938252872263574</v>
      </c>
      <c r="H356" s="6">
        <v>0.64139306127851359</v>
      </c>
      <c r="I356" s="6">
        <v>-2.2734044330044362E-2</v>
      </c>
      <c r="J356" s="6">
        <v>0.24313126386240255</v>
      </c>
      <c r="K356" s="6">
        <v>-0.54997750925791578</v>
      </c>
      <c r="L356" s="6">
        <v>-0.32685476195652313</v>
      </c>
      <c r="N356" s="8">
        <f>SQRT((C356-Sheet2!$C$525)^2+(D356-Sheet2!$D$525)^2+(E356-Sheet2!$E$525)^2+(F356-Sheet2!$F$525)^2+(G356-Sheet2!$G$525)^2+(H356-Sheet2!$H$525)^2+(I356-Sheet2!$I$525)^2+(J356-Sheet2!$J$525)^2+(K356-Sheet2!$K$525)^2+(L356-Sheet2!$L$525)^2)</f>
        <v>3.5936647463698361</v>
      </c>
      <c r="O356" s="8">
        <f>SQRT((C356-Sheet2!$C$526)^2+(D356-Sheet2!$D$526)^2+(E356-Sheet2!$E$526)^2+(F356-Sheet2!$F$526)^2+(G356-Sheet2!$G$526)^2+(H356-Sheet2!$H$526)^2+(I356-Sheet2!$I$526)^2+(J356-Sheet2!$J$526)^2+(K356-Sheet2!$K$526)^2+(L356-Sheet2!$L$526)^2)</f>
        <v>1.7069428729542444</v>
      </c>
      <c r="P356" s="12">
        <f t="shared" si="5"/>
        <v>1</v>
      </c>
      <c r="Q356" s="11">
        <f>IF(P356=Sheet1!$M356, 1, 0)</f>
        <v>0</v>
      </c>
    </row>
    <row r="357" spans="1:17" x14ac:dyDescent="0.35">
      <c r="A357" s="6" t="s">
        <v>389</v>
      </c>
      <c r="B357" s="6" t="s">
        <v>390</v>
      </c>
      <c r="C357" s="6">
        <v>-0.34129649914759991</v>
      </c>
      <c r="D357" s="6">
        <v>0.21689992959081214</v>
      </c>
      <c r="E357" s="6">
        <v>0.12827853848479256</v>
      </c>
      <c r="F357" s="6">
        <v>0.46269662052218491</v>
      </c>
      <c r="G357" s="6">
        <v>0.93585620559433369</v>
      </c>
      <c r="H357" s="6">
        <v>0.22125822766315714</v>
      </c>
      <c r="I357" s="6">
        <v>-1.4245874011020214</v>
      </c>
      <c r="J357" s="6">
        <v>0.24313126386240255</v>
      </c>
      <c r="K357" s="6">
        <v>-0.64543647985335773</v>
      </c>
      <c r="L357" s="6">
        <v>0.30558743705803298</v>
      </c>
      <c r="N357" s="8">
        <f>SQRT((C357-Sheet2!$C$525)^2+(D357-Sheet2!$D$525)^2+(E357-Sheet2!$E$525)^2+(F357-Sheet2!$F$525)^2+(G357-Sheet2!$G$525)^2+(H357-Sheet2!$H$525)^2+(I357-Sheet2!$I$525)^2+(J357-Sheet2!$J$525)^2+(K357-Sheet2!$K$525)^2+(L357-Sheet2!$L$525)^2)</f>
        <v>2.3469532497250283</v>
      </c>
      <c r="O357" s="8">
        <f>SQRT((C357-Sheet2!$C$526)^2+(D357-Sheet2!$D$526)^2+(E357-Sheet2!$E$526)^2+(F357-Sheet2!$F$526)^2+(G357-Sheet2!$G$526)^2+(H357-Sheet2!$H$526)^2+(I357-Sheet2!$I$526)^2+(J357-Sheet2!$J$526)^2+(K357-Sheet2!$K$526)^2+(L357-Sheet2!$L$526)^2)</f>
        <v>3.2047709342650963</v>
      </c>
      <c r="P357" s="12">
        <f t="shared" si="5"/>
        <v>0</v>
      </c>
      <c r="Q357" s="11">
        <f>IF(P357=Sheet1!$M357, 1, 0)</f>
        <v>1</v>
      </c>
    </row>
    <row r="358" spans="1:17" x14ac:dyDescent="0.35">
      <c r="A358" s="6" t="s">
        <v>389</v>
      </c>
      <c r="B358" s="6" t="s">
        <v>391</v>
      </c>
      <c r="C358" s="6">
        <v>-0.27285338933368619</v>
      </c>
      <c r="D358" s="6">
        <v>0.16165994532043684</v>
      </c>
      <c r="E358" s="6">
        <v>-9.6808974297586975E-2</v>
      </c>
      <c r="F358" s="6">
        <v>0.33019955890523101</v>
      </c>
      <c r="G358" s="6">
        <v>0.99973339650686344</v>
      </c>
      <c r="H358" s="6">
        <v>0.57137058900928761</v>
      </c>
      <c r="I358" s="6">
        <v>-1.151101684842277</v>
      </c>
      <c r="J358" s="6">
        <v>3.0559418317921867E-2</v>
      </c>
      <c r="K358" s="6">
        <v>0.47972745224701652</v>
      </c>
      <c r="L358" s="6">
        <v>-9.50427626824186E-3</v>
      </c>
      <c r="N358" s="8">
        <f>SQRT((C358-Sheet2!$C$525)^2+(D358-Sheet2!$D$525)^2+(E358-Sheet2!$E$525)^2+(F358-Sheet2!$F$525)^2+(G358-Sheet2!$G$525)^2+(H358-Sheet2!$H$525)^2+(I358-Sheet2!$I$525)^2+(J358-Sheet2!$J$525)^2+(K358-Sheet2!$K$525)^2+(L358-Sheet2!$L$525)^2)</f>
        <v>2.0302360309613716</v>
      </c>
      <c r="O358" s="8">
        <f>SQRT((C358-Sheet2!$C$526)^2+(D358-Sheet2!$D$526)^2+(E358-Sheet2!$E$526)^2+(F358-Sheet2!$F$526)^2+(G358-Sheet2!$G$526)^2+(H358-Sheet2!$H$526)^2+(I358-Sheet2!$I$526)^2+(J358-Sheet2!$J$526)^2+(K358-Sheet2!$K$526)^2+(L358-Sheet2!$L$526)^2)</f>
        <v>3.4595579288417571</v>
      </c>
      <c r="P358" s="12">
        <f t="shared" si="5"/>
        <v>0</v>
      </c>
      <c r="Q358" s="11">
        <f>IF(P358=Sheet1!$M358, 1, 0)</f>
        <v>1</v>
      </c>
    </row>
    <row r="359" spans="1:17" x14ac:dyDescent="0.35">
      <c r="A359" s="6" t="s">
        <v>389</v>
      </c>
      <c r="B359" s="6" t="s">
        <v>392</v>
      </c>
      <c r="C359" s="6">
        <v>-0.57480828557154096</v>
      </c>
      <c r="D359" s="6">
        <v>0.48696207491264815</v>
      </c>
      <c r="E359" s="6">
        <v>0.26642553896497639</v>
      </c>
      <c r="F359" s="6">
        <v>0.63679159683283015</v>
      </c>
      <c r="G359" s="6">
        <v>0.86617199732612049</v>
      </c>
      <c r="H359" s="6">
        <v>0.37800083866580919</v>
      </c>
      <c r="I359" s="6">
        <v>-0.5314557263236952</v>
      </c>
      <c r="J359" s="6">
        <v>0.22794756060922539</v>
      </c>
      <c r="K359" s="6">
        <v>-0.78314778169596422</v>
      </c>
      <c r="L359" s="6">
        <v>2.1357723228726941</v>
      </c>
      <c r="N359" s="8">
        <f>SQRT((C359-Sheet2!$C$525)^2+(D359-Sheet2!$D$525)^2+(E359-Sheet2!$E$525)^2+(F359-Sheet2!$F$525)^2+(G359-Sheet2!$G$525)^2+(H359-Sheet2!$H$525)^2+(I359-Sheet2!$I$525)^2+(J359-Sheet2!$J$525)^2+(K359-Sheet2!$K$525)^2+(L359-Sheet2!$L$525)^2)</f>
        <v>3.2375718742817816</v>
      </c>
      <c r="O359" s="8">
        <f>SQRT((C359-Sheet2!$C$526)^2+(D359-Sheet2!$D$526)^2+(E359-Sheet2!$E$526)^2+(F359-Sheet2!$F$526)^2+(G359-Sheet2!$G$526)^2+(H359-Sheet2!$H$526)^2+(I359-Sheet2!$I$526)^2+(J359-Sheet2!$J$526)^2+(K359-Sheet2!$K$526)^2+(L359-Sheet2!$L$526)^2)</f>
        <v>2.7254113883291802</v>
      </c>
      <c r="P359" s="12">
        <f t="shared" si="5"/>
        <v>1</v>
      </c>
      <c r="Q359" s="11">
        <f>IF(P359=Sheet1!$M359, 1, 0)</f>
        <v>0</v>
      </c>
    </row>
    <row r="360" spans="1:17" x14ac:dyDescent="0.35">
      <c r="A360" s="6" t="s">
        <v>389</v>
      </c>
      <c r="B360" s="6" t="s">
        <v>393</v>
      </c>
      <c r="C360" s="6">
        <v>-0.33056032505914285</v>
      </c>
      <c r="D360" s="6">
        <v>0.60971759551348181</v>
      </c>
      <c r="E360" s="6">
        <v>0.20011497873448814</v>
      </c>
      <c r="F360" s="6">
        <v>0.59827500915348375</v>
      </c>
      <c r="G360" s="6">
        <v>1.1042597089091852</v>
      </c>
      <c r="H360" s="6">
        <v>0.5018867511421321</v>
      </c>
      <c r="I360" s="6">
        <v>-0.39311912858857961</v>
      </c>
      <c r="J360" s="6">
        <v>0.11027386039710205</v>
      </c>
      <c r="K360" s="6">
        <v>-0.23386747548284592</v>
      </c>
      <c r="L360" s="6">
        <v>1.4614403555442765</v>
      </c>
      <c r="N360" s="8">
        <f>SQRT((C360-Sheet2!$C$525)^2+(D360-Sheet2!$D$525)^2+(E360-Sheet2!$E$525)^2+(F360-Sheet2!$F$525)^2+(G360-Sheet2!$G$525)^2+(H360-Sheet2!$H$525)^2+(I360-Sheet2!$I$525)^2+(J360-Sheet2!$J$525)^2+(K360-Sheet2!$K$525)^2+(L360-Sheet2!$L$525)^2)</f>
        <v>2.7236992897881818</v>
      </c>
      <c r="O360" s="8">
        <f>SQRT((C360-Sheet2!$C$526)^2+(D360-Sheet2!$D$526)^2+(E360-Sheet2!$E$526)^2+(F360-Sheet2!$F$526)^2+(G360-Sheet2!$G$526)^2+(H360-Sheet2!$H$526)^2+(I360-Sheet2!$I$526)^2+(J360-Sheet2!$J$526)^2+(K360-Sheet2!$K$526)^2+(L360-Sheet2!$L$526)^2)</f>
        <v>2.4738183264199503</v>
      </c>
      <c r="P360" s="12">
        <f t="shared" si="5"/>
        <v>1</v>
      </c>
      <c r="Q360" s="11">
        <f>IF(P360=Sheet1!$M360, 1, 0)</f>
        <v>0</v>
      </c>
    </row>
    <row r="361" spans="1:17" x14ac:dyDescent="0.35">
      <c r="A361" s="6" t="s">
        <v>389</v>
      </c>
      <c r="B361" s="6" t="s">
        <v>394</v>
      </c>
      <c r="C361" s="6">
        <v>-0.85797487715459597</v>
      </c>
      <c r="D361" s="6">
        <v>0.67109535581389879</v>
      </c>
      <c r="E361" s="6">
        <v>0.77738524474101633</v>
      </c>
      <c r="F361" s="6">
        <v>0.81242723665065009</v>
      </c>
      <c r="G361" s="6">
        <v>0.77325971963516549</v>
      </c>
      <c r="H361" s="6">
        <v>0.603150018731475</v>
      </c>
      <c r="I361" s="6">
        <v>0.14046489124686626</v>
      </c>
      <c r="J361" s="6">
        <v>0.28868237362193416</v>
      </c>
      <c r="K361" s="6">
        <v>-0.61257355555000981</v>
      </c>
      <c r="L361" s="6">
        <v>0.14289389415963666</v>
      </c>
      <c r="N361" s="8">
        <f>SQRT((C361-Sheet2!$C$525)^2+(D361-Sheet2!$D$525)^2+(E361-Sheet2!$E$525)^2+(F361-Sheet2!$F$525)^2+(G361-Sheet2!$G$525)^2+(H361-Sheet2!$H$525)^2+(I361-Sheet2!$I$525)^2+(J361-Sheet2!$J$525)^2+(K361-Sheet2!$K$525)^2+(L361-Sheet2!$L$525)^2)</f>
        <v>2.6786073448482455</v>
      </c>
      <c r="O361" s="8">
        <f>SQRT((C361-Sheet2!$C$526)^2+(D361-Sheet2!$D$526)^2+(E361-Sheet2!$E$526)^2+(F361-Sheet2!$F$526)^2+(G361-Sheet2!$G$526)^2+(H361-Sheet2!$H$526)^2+(I361-Sheet2!$I$526)^2+(J361-Sheet2!$J$526)^2+(K361-Sheet2!$K$526)^2+(L361-Sheet2!$L$526)^2)</f>
        <v>1.698949575183522</v>
      </c>
      <c r="P361" s="12">
        <f t="shared" si="5"/>
        <v>1</v>
      </c>
      <c r="Q361" s="11">
        <f>IF(P361=Sheet1!$M361, 1, 0)</f>
        <v>0</v>
      </c>
    </row>
    <row r="362" spans="1:17" x14ac:dyDescent="0.35">
      <c r="A362" s="6" t="s">
        <v>389</v>
      </c>
      <c r="B362" s="6" t="s">
        <v>395</v>
      </c>
      <c r="C362" s="6">
        <v>-0.625805112491712</v>
      </c>
      <c r="D362" s="6">
        <v>-4.7024439700981191E-2</v>
      </c>
      <c r="E362" s="6">
        <v>0.488565915737112</v>
      </c>
      <c r="F362" s="6">
        <v>0.3209555778621897</v>
      </c>
      <c r="G362" s="6">
        <v>0.5874351642532637</v>
      </c>
      <c r="H362" s="6">
        <v>0.39469850513000937</v>
      </c>
      <c r="I362" s="6">
        <v>-0.40650654127262265</v>
      </c>
      <c r="J362" s="6">
        <v>-0.80074833479352847</v>
      </c>
      <c r="K362" s="6">
        <v>-0.40913640510070748</v>
      </c>
      <c r="L362" s="6">
        <v>-0.32328217353540645</v>
      </c>
      <c r="N362" s="8">
        <f>SQRT((C362-Sheet2!$C$525)^2+(D362-Sheet2!$D$525)^2+(E362-Sheet2!$E$525)^2+(F362-Sheet2!$F$525)^2+(G362-Sheet2!$G$525)^2+(H362-Sheet2!$H$525)^2+(I362-Sheet2!$I$525)^2+(J362-Sheet2!$J$525)^2+(K362-Sheet2!$K$525)^2+(L362-Sheet2!$L$525)^2)</f>
        <v>1.8472322245311981</v>
      </c>
      <c r="O362" s="8">
        <f>SQRT((C362-Sheet2!$C$526)^2+(D362-Sheet2!$D$526)^2+(E362-Sheet2!$E$526)^2+(F362-Sheet2!$F$526)^2+(G362-Sheet2!$G$526)^2+(H362-Sheet2!$H$526)^2+(I362-Sheet2!$I$526)^2+(J362-Sheet2!$J$526)^2+(K362-Sheet2!$K$526)^2+(L362-Sheet2!$L$526)^2)</f>
        <v>3.2929718094112626</v>
      </c>
      <c r="P362" s="12">
        <f t="shared" si="5"/>
        <v>0</v>
      </c>
      <c r="Q362" s="11">
        <f>IF(P362=Sheet1!$M362, 1, 0)</f>
        <v>1</v>
      </c>
    </row>
    <row r="363" spans="1:17" x14ac:dyDescent="0.35">
      <c r="A363" s="6" t="s">
        <v>389</v>
      </c>
      <c r="B363" s="6" t="s">
        <v>396</v>
      </c>
      <c r="C363" s="6">
        <v>-5.0077776998202241E-2</v>
      </c>
      <c r="D363" s="6">
        <v>-0.15750440824173179</v>
      </c>
      <c r="E363" s="6">
        <v>-0.92937489719149491</v>
      </c>
      <c r="F363" s="6">
        <v>-0.30455380605039711</v>
      </c>
      <c r="G363" s="6">
        <v>0.77616322831300921</v>
      </c>
      <c r="H363" s="6">
        <v>0.779283468208682</v>
      </c>
      <c r="I363" s="6">
        <v>-2.2750068544598281</v>
      </c>
      <c r="J363" s="6">
        <v>-0.72862574434093696</v>
      </c>
      <c r="K363" s="6">
        <v>0.8396547184265517</v>
      </c>
      <c r="L363" s="6">
        <v>-0.42161918576021373</v>
      </c>
      <c r="N363" s="8">
        <f>SQRT((C363-Sheet2!$C$525)^2+(D363-Sheet2!$D$525)^2+(E363-Sheet2!$E$525)^2+(F363-Sheet2!$F$525)^2+(G363-Sheet2!$G$525)^2+(H363-Sheet2!$H$525)^2+(I363-Sheet2!$I$525)^2+(J363-Sheet2!$J$525)^2+(K363-Sheet2!$K$525)^2+(L363-Sheet2!$L$525)^2)</f>
        <v>2.7439241455685592</v>
      </c>
      <c r="O363" s="8">
        <f>SQRT((C363-Sheet2!$C$526)^2+(D363-Sheet2!$D$526)^2+(E363-Sheet2!$E$526)^2+(F363-Sheet2!$F$526)^2+(G363-Sheet2!$G$526)^2+(H363-Sheet2!$H$526)^2+(I363-Sheet2!$I$526)^2+(J363-Sheet2!$J$526)^2+(K363-Sheet2!$K$526)^2+(L363-Sheet2!$L$526)^2)</f>
        <v>5.2613603913730289</v>
      </c>
      <c r="P363" s="12">
        <f t="shared" si="5"/>
        <v>0</v>
      </c>
      <c r="Q363" s="11">
        <f>IF(P363=Sheet1!$M363, 1, 0)</f>
        <v>1</v>
      </c>
    </row>
    <row r="364" spans="1:17" x14ac:dyDescent="0.35">
      <c r="A364" s="6" t="s">
        <v>389</v>
      </c>
      <c r="B364" s="6" t="s">
        <v>397</v>
      </c>
      <c r="C364" s="6">
        <v>-1.2592393837106783</v>
      </c>
      <c r="D364" s="6">
        <v>1.5181084479596552</v>
      </c>
      <c r="E364" s="6">
        <v>1.671472631848766</v>
      </c>
      <c r="F364" s="6">
        <v>1.6613328291034446</v>
      </c>
      <c r="G364" s="6">
        <v>1.4817158370286845</v>
      </c>
      <c r="H364" s="6">
        <v>0.86438770373589513</v>
      </c>
      <c r="I364" s="6">
        <v>0.92968474376333143</v>
      </c>
      <c r="J364" s="6">
        <v>1.4730112273697538</v>
      </c>
      <c r="K364" s="6">
        <v>-0.80975110137010187</v>
      </c>
      <c r="L364" s="6">
        <v>1.354684907648444</v>
      </c>
      <c r="N364" s="8">
        <f>SQRT((C364-Sheet2!$C$525)^2+(D364-Sheet2!$D$525)^2+(E364-Sheet2!$E$525)^2+(F364-Sheet2!$F$525)^2+(G364-Sheet2!$G$525)^2+(H364-Sheet2!$H$525)^2+(I364-Sheet2!$I$525)^2+(J364-Sheet2!$J$525)^2+(K364-Sheet2!$K$525)^2+(L364-Sheet2!$L$525)^2)</f>
        <v>4.9732283189692073</v>
      </c>
      <c r="O364" s="8">
        <f>SQRT((C364-Sheet2!$C$526)^2+(D364-Sheet2!$D$526)^2+(E364-Sheet2!$E$526)^2+(F364-Sheet2!$F$526)^2+(G364-Sheet2!$G$526)^2+(H364-Sheet2!$H$526)^2+(I364-Sheet2!$I$526)^2+(J364-Sheet2!$J$526)^2+(K364-Sheet2!$K$526)^2+(L364-Sheet2!$L$526)^2)</f>
        <v>1.0936310170986565</v>
      </c>
      <c r="P364" s="12">
        <f t="shared" si="5"/>
        <v>1</v>
      </c>
      <c r="Q364" s="11">
        <f>IF(P364=Sheet1!$M364, 1, 0)</f>
        <v>0</v>
      </c>
    </row>
    <row r="365" spans="1:17" x14ac:dyDescent="0.35">
      <c r="A365" s="6" t="s">
        <v>389</v>
      </c>
      <c r="B365" s="6" t="s">
        <v>398</v>
      </c>
      <c r="C365" s="6">
        <v>-0.97741481388868068</v>
      </c>
      <c r="D365" s="6">
        <v>1.2603218546979034</v>
      </c>
      <c r="E365" s="6">
        <v>1.5683228714902289</v>
      </c>
      <c r="F365" s="6">
        <v>1.6690361466393155</v>
      </c>
      <c r="G365" s="6">
        <v>1.4178386461161547</v>
      </c>
      <c r="H365" s="6">
        <v>1.0755323893477153</v>
      </c>
      <c r="I365" s="6">
        <v>0.72632357013429083</v>
      </c>
      <c r="J365" s="6">
        <v>1.176929013932799</v>
      </c>
      <c r="K365" s="6">
        <v>-0.80975110137010187</v>
      </c>
      <c r="L365" s="6">
        <v>0.50812591999959322</v>
      </c>
      <c r="N365" s="8">
        <f>SQRT((C365-Sheet2!$C$525)^2+(D365-Sheet2!$D$525)^2+(E365-Sheet2!$E$525)^2+(F365-Sheet2!$F$525)^2+(G365-Sheet2!$G$525)^2+(H365-Sheet2!$H$525)^2+(I365-Sheet2!$I$525)^2+(J365-Sheet2!$J$525)^2+(K365-Sheet2!$K$525)^2+(L365-Sheet2!$L$525)^2)</f>
        <v>4.4515437052198514</v>
      </c>
      <c r="O365" s="8">
        <f>SQRT((C365-Sheet2!$C$526)^2+(D365-Sheet2!$D$526)^2+(E365-Sheet2!$E$526)^2+(F365-Sheet2!$F$526)^2+(G365-Sheet2!$G$526)^2+(H365-Sheet2!$H$526)^2+(I365-Sheet2!$I$526)^2+(J365-Sheet2!$J$526)^2+(K365-Sheet2!$K$526)^2+(L365-Sheet2!$L$526)^2)</f>
        <v>0.73556580520308323</v>
      </c>
      <c r="P365" s="12">
        <f t="shared" si="5"/>
        <v>1</v>
      </c>
      <c r="Q365" s="11">
        <f>IF(P365=Sheet1!$M365, 1, 0)</f>
        <v>0</v>
      </c>
    </row>
    <row r="366" spans="1:17" x14ac:dyDescent="0.35">
      <c r="A366" s="6" t="s">
        <v>389</v>
      </c>
      <c r="B366" s="6" t="s">
        <v>399</v>
      </c>
      <c r="C366" s="6">
        <v>-1.0270696190477946</v>
      </c>
      <c r="D366" s="6">
        <v>1.4505929116291967</v>
      </c>
      <c r="E366" s="6">
        <v>2.372522610285539</v>
      </c>
      <c r="F366" s="6">
        <v>1.6428448670173597</v>
      </c>
      <c r="G366" s="6">
        <v>1.4207421547939945</v>
      </c>
      <c r="H366" s="6">
        <v>0.90209211188086313</v>
      </c>
      <c r="I366" s="6">
        <v>0.93797218971059615</v>
      </c>
      <c r="J366" s="6">
        <v>1.8450119570725949</v>
      </c>
      <c r="K366" s="6">
        <v>-0.44356423056135857</v>
      </c>
      <c r="L366" s="6">
        <v>0.37580435169501947</v>
      </c>
      <c r="N366" s="8">
        <f>SQRT((C366-Sheet2!$C$525)^2+(D366-Sheet2!$D$525)^2+(E366-Sheet2!$E$525)^2+(F366-Sheet2!$F$525)^2+(G366-Sheet2!$G$525)^2+(H366-Sheet2!$H$525)^2+(I366-Sheet2!$I$525)^2+(J366-Sheet2!$J$525)^2+(K366-Sheet2!$K$525)^2+(L366-Sheet2!$L$525)^2)</f>
        <v>5.0824290959794531</v>
      </c>
      <c r="O366" s="8">
        <f>SQRT((C366-Sheet2!$C$526)^2+(D366-Sheet2!$D$526)^2+(E366-Sheet2!$E$526)^2+(F366-Sheet2!$F$526)^2+(G366-Sheet2!$G$526)^2+(H366-Sheet2!$H$526)^2+(I366-Sheet2!$I$526)^2+(J366-Sheet2!$J$526)^2+(K366-Sheet2!$K$526)^2+(L366-Sheet2!$L$526)^2)</f>
        <v>1.3862180356805049</v>
      </c>
      <c r="P366" s="12">
        <f t="shared" si="5"/>
        <v>1</v>
      </c>
      <c r="Q366" s="11">
        <f>IF(P366=Sheet1!$M366, 1, 0)</f>
        <v>0</v>
      </c>
    </row>
    <row r="367" spans="1:17" x14ac:dyDescent="0.35">
      <c r="A367" s="6" t="s">
        <v>400</v>
      </c>
      <c r="B367" s="6" t="s">
        <v>401</v>
      </c>
      <c r="C367" s="6">
        <v>-0.66740778708448312</v>
      </c>
      <c r="D367" s="6">
        <v>0.59130426742335718</v>
      </c>
      <c r="E367" s="6">
        <v>-0.14617350246917266</v>
      </c>
      <c r="F367" s="6">
        <v>0.36871614658457746</v>
      </c>
      <c r="G367" s="6">
        <v>0.53226849937425702</v>
      </c>
      <c r="H367" s="6">
        <v>-0.50212777431815592</v>
      </c>
      <c r="I367" s="6">
        <v>-0.91076575237159274</v>
      </c>
      <c r="J367" s="6">
        <v>-0.34903316301150761</v>
      </c>
      <c r="K367" s="6">
        <v>0.31697773188757328</v>
      </c>
      <c r="L367" s="6">
        <v>-0.2878060892667727</v>
      </c>
      <c r="N367" s="8">
        <f>SQRT((C367-Sheet2!$C$525)^2+(D367-Sheet2!$D$525)^2+(E367-Sheet2!$E$525)^2+(F367-Sheet2!$F$525)^2+(G367-Sheet2!$G$525)^2+(H367-Sheet2!$H$525)^2+(I367-Sheet2!$I$525)^2+(J367-Sheet2!$J$525)^2+(K367-Sheet2!$K$525)^2+(L367-Sheet2!$L$525)^2)</f>
        <v>1.809558657385973</v>
      </c>
      <c r="O367" s="8">
        <f>SQRT((C367-Sheet2!$C$526)^2+(D367-Sheet2!$D$526)^2+(E367-Sheet2!$E$526)^2+(F367-Sheet2!$F$526)^2+(G367-Sheet2!$G$526)^2+(H367-Sheet2!$H$526)^2+(I367-Sheet2!$I$526)^2+(J367-Sheet2!$J$526)^2+(K367-Sheet2!$K$526)^2+(L367-Sheet2!$L$526)^2)</f>
        <v>3.6216083234850163</v>
      </c>
      <c r="P367" s="12">
        <f t="shared" si="5"/>
        <v>0</v>
      </c>
      <c r="Q367" s="11">
        <f>IF(P367=Sheet1!$M367, 1, 0)</f>
        <v>1</v>
      </c>
    </row>
    <row r="368" spans="1:17" x14ac:dyDescent="0.35">
      <c r="A368" s="6" t="s">
        <v>400</v>
      </c>
      <c r="B368" s="6" t="s">
        <v>402</v>
      </c>
      <c r="C368" s="6">
        <v>-0.30103584631588609</v>
      </c>
      <c r="D368" s="6">
        <v>0.46241097079248072</v>
      </c>
      <c r="E368" s="6">
        <v>-0.33221146311582023</v>
      </c>
      <c r="F368" s="6">
        <v>0.28860164421153744</v>
      </c>
      <c r="G368" s="6">
        <v>0.89520708410454164</v>
      </c>
      <c r="H368" s="6">
        <v>0.85307638129240515</v>
      </c>
      <c r="I368" s="6">
        <v>-0.61815516084892885</v>
      </c>
      <c r="J368" s="6">
        <v>-0.19719613047973569</v>
      </c>
      <c r="K368" s="6">
        <v>-0.13214890025819365</v>
      </c>
      <c r="L368" s="6">
        <v>-0.20789031313872799</v>
      </c>
      <c r="N368" s="8">
        <f>SQRT((C368-Sheet2!$C$525)^2+(D368-Sheet2!$D$525)^2+(E368-Sheet2!$E$525)^2+(F368-Sheet2!$F$525)^2+(G368-Sheet2!$G$525)^2+(H368-Sheet2!$H$525)^2+(I368-Sheet2!$I$525)^2+(J368-Sheet2!$J$525)^2+(K368-Sheet2!$K$525)^2+(L368-Sheet2!$L$525)^2)</f>
        <v>1.9419189813431281</v>
      </c>
      <c r="O368" s="8">
        <f>SQRT((C368-Sheet2!$C$526)^2+(D368-Sheet2!$D$526)^2+(E368-Sheet2!$E$526)^2+(F368-Sheet2!$F$526)^2+(G368-Sheet2!$G$526)^2+(H368-Sheet2!$H$526)^2+(I368-Sheet2!$I$526)^2+(J368-Sheet2!$J$526)^2+(K368-Sheet2!$K$526)^2+(L368-Sheet2!$L$526)^2)</f>
        <v>3.2111847617971558</v>
      </c>
      <c r="P368" s="12">
        <f t="shared" si="5"/>
        <v>0</v>
      </c>
      <c r="Q368" s="11">
        <f>IF(P368=Sheet1!$M368, 1, 0)</f>
        <v>1</v>
      </c>
    </row>
    <row r="369" spans="1:17" x14ac:dyDescent="0.35">
      <c r="A369" s="6" t="s">
        <v>400</v>
      </c>
      <c r="B369" s="6" t="s">
        <v>403</v>
      </c>
      <c r="C369" s="6">
        <v>-0.95594246571176655</v>
      </c>
      <c r="D369" s="6">
        <v>0.22303770562085479</v>
      </c>
      <c r="E369" s="6">
        <v>-0.97579228935283668</v>
      </c>
      <c r="F369" s="6">
        <v>-0.33382641268670005</v>
      </c>
      <c r="G369" s="6">
        <v>0.53226849937425702</v>
      </c>
      <c r="H369" s="6">
        <v>0.32790783927320938</v>
      </c>
      <c r="I369" s="6">
        <v>4.7390498300658994E-2</v>
      </c>
      <c r="J369" s="6">
        <v>7.6110528077453443E-2</v>
      </c>
      <c r="K369" s="6">
        <v>-0.33089134723559105</v>
      </c>
      <c r="L369" s="6">
        <v>-0.37914579869311971</v>
      </c>
      <c r="N369" s="8">
        <f>SQRT((C369-Sheet2!$C$525)^2+(D369-Sheet2!$D$525)^2+(E369-Sheet2!$E$525)^2+(F369-Sheet2!$F$525)^2+(G369-Sheet2!$G$525)^2+(H369-Sheet2!$H$525)^2+(I369-Sheet2!$I$525)^2+(J369-Sheet2!$J$525)^2+(K369-Sheet2!$K$525)^2+(L369-Sheet2!$L$525)^2)</f>
        <v>1.7977244976628191</v>
      </c>
      <c r="O369" s="8">
        <f>SQRT((C369-Sheet2!$C$526)^2+(D369-Sheet2!$D$526)^2+(E369-Sheet2!$E$526)^2+(F369-Sheet2!$F$526)^2+(G369-Sheet2!$G$526)^2+(H369-Sheet2!$H$526)^2+(I369-Sheet2!$I$526)^2+(J369-Sheet2!$J$526)^2+(K369-Sheet2!$K$526)^2+(L369-Sheet2!$L$526)^2)</f>
        <v>3.6894223039049372</v>
      </c>
      <c r="P369" s="12">
        <f t="shared" si="5"/>
        <v>0</v>
      </c>
      <c r="Q369" s="11">
        <f>IF(P369=Sheet1!$M369, 1, 0)</f>
        <v>1</v>
      </c>
    </row>
    <row r="370" spans="1:17" x14ac:dyDescent="0.35">
      <c r="A370" s="6" t="s">
        <v>400</v>
      </c>
      <c r="B370" s="6" t="s">
        <v>404</v>
      </c>
      <c r="C370" s="6">
        <v>-0.73585089689839689</v>
      </c>
      <c r="D370" s="6">
        <v>-0.16364218427177335</v>
      </c>
      <c r="E370" s="6">
        <v>-1.2012481941364967</v>
      </c>
      <c r="F370" s="6">
        <v>-0.5341126686193034</v>
      </c>
      <c r="G370" s="6">
        <v>0.5061369212736796</v>
      </c>
      <c r="H370" s="6">
        <v>6.9363326279143211E-2</v>
      </c>
      <c r="I370" s="6">
        <v>2.0615672932572011E-2</v>
      </c>
      <c r="J370" s="6">
        <v>-0.31107390487856446</v>
      </c>
      <c r="K370" s="6">
        <v>-0.52493909074107903</v>
      </c>
      <c r="L370" s="6">
        <v>-0.11723669163484682</v>
      </c>
      <c r="N370" s="8">
        <f>SQRT((C370-Sheet2!$C$525)^2+(D370-Sheet2!$D$525)^2+(E370-Sheet2!$E$525)^2+(F370-Sheet2!$F$525)^2+(G370-Sheet2!$G$525)^2+(H370-Sheet2!$H$525)^2+(I370-Sheet2!$I$525)^2+(J370-Sheet2!$J$525)^2+(K370-Sheet2!$K$525)^2+(L370-Sheet2!$L$525)^2)</f>
        <v>1.6531960623082049</v>
      </c>
      <c r="O370" s="8">
        <f>SQRT((C370-Sheet2!$C$526)^2+(D370-Sheet2!$D$526)^2+(E370-Sheet2!$E$526)^2+(F370-Sheet2!$F$526)^2+(G370-Sheet2!$G$526)^2+(H370-Sheet2!$H$526)^2+(I370-Sheet2!$I$526)^2+(J370-Sheet2!$J$526)^2+(K370-Sheet2!$K$526)^2+(L370-Sheet2!$L$526)^2)</f>
        <v>4.1525742610430791</v>
      </c>
      <c r="P370" s="12">
        <f t="shared" si="5"/>
        <v>0</v>
      </c>
      <c r="Q370" s="11">
        <f>IF(P370=Sheet1!$M370, 1, 0)</f>
        <v>1</v>
      </c>
    </row>
    <row r="371" spans="1:17" x14ac:dyDescent="0.35">
      <c r="A371" s="6" t="s">
        <v>400</v>
      </c>
      <c r="B371" s="6" t="s">
        <v>405</v>
      </c>
      <c r="C371" s="6">
        <v>-0.74658707098685395</v>
      </c>
      <c r="D371" s="6">
        <v>0.94729527716577633</v>
      </c>
      <c r="E371" s="6">
        <v>0.3448930352377208</v>
      </c>
      <c r="F371" s="6">
        <v>0.97111557788955771</v>
      </c>
      <c r="G371" s="6">
        <v>1.2726632122240409</v>
      </c>
      <c r="H371" s="6">
        <v>2.0347595690685127E-2</v>
      </c>
      <c r="I371" s="6">
        <v>0.86657265539569839</v>
      </c>
      <c r="J371" s="6">
        <v>-4.5359097947963757E-2</v>
      </c>
      <c r="K371" s="6">
        <v>-0.95841671131382355</v>
      </c>
      <c r="L371" s="6">
        <v>2.0918661274960799E-2</v>
      </c>
      <c r="N371" s="8">
        <f>SQRT((C371-Sheet2!$C$525)^2+(D371-Sheet2!$D$525)^2+(E371-Sheet2!$E$525)^2+(F371-Sheet2!$F$525)^2+(G371-Sheet2!$G$525)^2+(H371-Sheet2!$H$525)^2+(I371-Sheet2!$I$525)^2+(J371-Sheet2!$J$525)^2+(K371-Sheet2!$K$525)^2+(L371-Sheet2!$L$525)^2)</f>
        <v>3.0272465798448565</v>
      </c>
      <c r="O371" s="8">
        <f>SQRT((C371-Sheet2!$C$526)^2+(D371-Sheet2!$D$526)^2+(E371-Sheet2!$E$526)^2+(F371-Sheet2!$F$526)^2+(G371-Sheet2!$G$526)^2+(H371-Sheet2!$H$526)^2+(I371-Sheet2!$I$526)^2+(J371-Sheet2!$J$526)^2+(K371-Sheet2!$K$526)^2+(L371-Sheet2!$L$526)^2)</f>
        <v>2.0927096907195897</v>
      </c>
      <c r="P371" s="12">
        <f t="shared" si="5"/>
        <v>1</v>
      </c>
      <c r="Q371" s="11">
        <f>IF(P371=Sheet1!$M371, 1, 0)</f>
        <v>0</v>
      </c>
    </row>
    <row r="372" spans="1:17" x14ac:dyDescent="0.35">
      <c r="A372" s="6" t="s">
        <v>406</v>
      </c>
      <c r="B372" s="6" t="s">
        <v>407</v>
      </c>
      <c r="C372" s="6">
        <v>-0.6298311777748834</v>
      </c>
      <c r="D372" s="6">
        <v>-0.24957104869235763</v>
      </c>
      <c r="E372" s="6">
        <v>-3.8603038095269521E-2</v>
      </c>
      <c r="F372" s="6">
        <v>-0.27219987239974702</v>
      </c>
      <c r="G372" s="6">
        <v>-6.0047270905565199E-2</v>
      </c>
      <c r="H372" s="6">
        <v>-0.18864255231285096</v>
      </c>
      <c r="I372" s="6">
        <v>0.19720202119352656</v>
      </c>
      <c r="J372" s="6">
        <v>-7.9522430267612701E-2</v>
      </c>
      <c r="K372" s="6">
        <v>-1.158724059448522</v>
      </c>
      <c r="L372" s="6">
        <v>-0.33929059919602167</v>
      </c>
      <c r="N372" s="8">
        <f>SQRT((C372-Sheet2!$C$525)^2+(D372-Sheet2!$D$525)^2+(E372-Sheet2!$E$525)^2+(F372-Sheet2!$F$525)^2+(G372-Sheet2!$G$525)^2+(H372-Sheet2!$H$525)^2+(I372-Sheet2!$I$525)^2+(J372-Sheet2!$J$525)^2+(K372-Sheet2!$K$525)^2+(L372-Sheet2!$L$525)^2)</f>
        <v>1.6238323339022704</v>
      </c>
      <c r="O372" s="8">
        <f>SQRT((C372-Sheet2!$C$526)^2+(D372-Sheet2!$D$526)^2+(E372-Sheet2!$E$526)^2+(F372-Sheet2!$F$526)^2+(G372-Sheet2!$G$526)^2+(H372-Sheet2!$H$526)^2+(I372-Sheet2!$I$526)^2+(J372-Sheet2!$J$526)^2+(K372-Sheet2!$K$526)^2+(L372-Sheet2!$L$526)^2)</f>
        <v>3.6021896558610167</v>
      </c>
      <c r="P372" s="12">
        <f t="shared" si="5"/>
        <v>0</v>
      </c>
      <c r="Q372" s="11">
        <f>IF(P372=Sheet1!$M372, 1, 0)</f>
        <v>1</v>
      </c>
    </row>
    <row r="373" spans="1:17" x14ac:dyDescent="0.35">
      <c r="A373" s="6" t="s">
        <v>406</v>
      </c>
      <c r="B373" s="6" t="s">
        <v>408</v>
      </c>
      <c r="C373" s="6">
        <v>-0.6177529819253692</v>
      </c>
      <c r="D373" s="6">
        <v>0.79385087641473362</v>
      </c>
      <c r="E373" s="6">
        <v>0.79433127679991888</v>
      </c>
      <c r="F373" s="6">
        <v>0.89408240253086479</v>
      </c>
      <c r="G373" s="6">
        <v>0.43645271300546234</v>
      </c>
      <c r="H373" s="6">
        <v>0.59884094351490658</v>
      </c>
      <c r="I373" s="6">
        <v>0.1831771126673859</v>
      </c>
      <c r="J373" s="6">
        <v>0.41015199964735133</v>
      </c>
      <c r="K373" s="6">
        <v>-1.57342286613364</v>
      </c>
      <c r="L373" s="6">
        <v>-0.20619771218976055</v>
      </c>
      <c r="N373" s="8">
        <f>SQRT((C373-Sheet2!$C$525)^2+(D373-Sheet2!$D$525)^2+(E373-Sheet2!$E$525)^2+(F373-Sheet2!$F$525)^2+(G373-Sheet2!$G$525)^2+(H373-Sheet2!$H$525)^2+(I373-Sheet2!$I$525)^2+(J373-Sheet2!$J$525)^2+(K373-Sheet2!$K$525)^2+(L373-Sheet2!$L$525)^2)</f>
        <v>3.0182670300030257</v>
      </c>
      <c r="O373" s="8">
        <f>SQRT((C373-Sheet2!$C$526)^2+(D373-Sheet2!$D$526)^2+(E373-Sheet2!$E$526)^2+(F373-Sheet2!$F$526)^2+(G373-Sheet2!$G$526)^2+(H373-Sheet2!$H$526)^2+(I373-Sheet2!$I$526)^2+(J373-Sheet2!$J$526)^2+(K373-Sheet2!$K$526)^2+(L373-Sheet2!$L$526)^2)</f>
        <v>2.0225071125538268</v>
      </c>
      <c r="P373" s="12">
        <f t="shared" si="5"/>
        <v>1</v>
      </c>
      <c r="Q373" s="11">
        <f>IF(P373=Sheet1!$M373, 1, 0)</f>
        <v>0</v>
      </c>
    </row>
    <row r="374" spans="1:17" x14ac:dyDescent="0.35">
      <c r="A374" s="6" t="s">
        <v>406</v>
      </c>
      <c r="B374" s="6" t="s">
        <v>409</v>
      </c>
      <c r="C374" s="6">
        <v>-0.16817569197122997</v>
      </c>
      <c r="D374" s="6">
        <v>-5.9299991761064347E-2</v>
      </c>
      <c r="E374" s="6">
        <v>0.44178013157448975</v>
      </c>
      <c r="F374" s="6">
        <v>0.17613320818784517</v>
      </c>
      <c r="G374" s="6">
        <v>0.15190886257692218</v>
      </c>
      <c r="H374" s="6">
        <v>0.40547119317142893</v>
      </c>
      <c r="I374" s="6">
        <v>0.53379982582090446</v>
      </c>
      <c r="J374" s="6">
        <v>-0.12886946584043849</v>
      </c>
      <c r="K374" s="6">
        <v>-0.91772928122396336</v>
      </c>
      <c r="L374" s="6">
        <v>-0.39197538165550377</v>
      </c>
      <c r="N374" s="8">
        <f>SQRT((C374-Sheet2!$C$525)^2+(D374-Sheet2!$D$525)^2+(E374-Sheet2!$E$525)^2+(F374-Sheet2!$F$525)^2+(G374-Sheet2!$G$525)^2+(H374-Sheet2!$H$525)^2+(I374-Sheet2!$I$525)^2+(J374-Sheet2!$J$525)^2+(K374-Sheet2!$K$525)^2+(L374-Sheet2!$L$525)^2)</f>
        <v>1.7812103602646727</v>
      </c>
      <c r="O374" s="8">
        <f>SQRT((C374-Sheet2!$C$526)^2+(D374-Sheet2!$D$526)^2+(E374-Sheet2!$E$526)^2+(F374-Sheet2!$F$526)^2+(G374-Sheet2!$G$526)^2+(H374-Sheet2!$H$526)^2+(I374-Sheet2!$I$526)^2+(J374-Sheet2!$J$526)^2+(K374-Sheet2!$K$526)^2+(L374-Sheet2!$L$526)^2)</f>
        <v>2.9675080598214656</v>
      </c>
      <c r="P374" s="12">
        <f t="shared" si="5"/>
        <v>0</v>
      </c>
      <c r="Q374" s="11">
        <f>IF(P374=Sheet1!$M374, 1, 0)</f>
        <v>1</v>
      </c>
    </row>
    <row r="375" spans="1:17" x14ac:dyDescent="0.35">
      <c r="A375" s="6" t="s">
        <v>406</v>
      </c>
      <c r="B375" s="6" t="s">
        <v>410</v>
      </c>
      <c r="C375" s="6">
        <v>-0.43926408770477066</v>
      </c>
      <c r="D375" s="6">
        <v>0.787713100384692</v>
      </c>
      <c r="E375" s="6">
        <v>-0.65087054422344426</v>
      </c>
      <c r="F375" s="6">
        <v>-1.4909066701712445E-2</v>
      </c>
      <c r="G375" s="6">
        <v>0.16932991464397237</v>
      </c>
      <c r="H375" s="6">
        <v>0.51858441760633234</v>
      </c>
      <c r="I375" s="6">
        <v>-3.357147364569868E-2</v>
      </c>
      <c r="J375" s="6">
        <v>-1.0474835126576578</v>
      </c>
      <c r="K375" s="6">
        <v>1.5219516230103671</v>
      </c>
      <c r="L375" s="6">
        <v>-0.42413709813788703</v>
      </c>
      <c r="N375" s="8">
        <f>SQRT((C375-Sheet2!$C$525)^2+(D375-Sheet2!$D$525)^2+(E375-Sheet2!$E$525)^2+(F375-Sheet2!$F$525)^2+(G375-Sheet2!$G$525)^2+(H375-Sheet2!$H$525)^2+(I375-Sheet2!$I$525)^2+(J375-Sheet2!$J$525)^2+(K375-Sheet2!$K$525)^2+(L375-Sheet2!$L$525)^2)</f>
        <v>2.2410494252161093</v>
      </c>
      <c r="O375" s="8">
        <f>SQRT((C375-Sheet2!$C$526)^2+(D375-Sheet2!$D$526)^2+(E375-Sheet2!$E$526)^2+(F375-Sheet2!$F$526)^2+(G375-Sheet2!$G$526)^2+(H375-Sheet2!$H$526)^2+(I375-Sheet2!$I$526)^2+(J375-Sheet2!$J$526)^2+(K375-Sheet2!$K$526)^2+(L375-Sheet2!$L$526)^2)</f>
        <v>4.3556430436877314</v>
      </c>
      <c r="P375" s="12">
        <f t="shared" si="5"/>
        <v>0</v>
      </c>
      <c r="Q375" s="11">
        <f>IF(P375=Sheet1!$M375, 1, 0)</f>
        <v>1</v>
      </c>
    </row>
    <row r="376" spans="1:17" x14ac:dyDescent="0.35">
      <c r="A376" s="6" t="s">
        <v>406</v>
      </c>
      <c r="B376" s="6" t="s">
        <v>411</v>
      </c>
      <c r="C376" s="6">
        <v>-0.38960928254565685</v>
      </c>
      <c r="D376" s="6">
        <v>0.40103321049206386</v>
      </c>
      <c r="E376" s="6">
        <v>0.45283189161290444</v>
      </c>
      <c r="F376" s="6">
        <v>0.36871614658457746</v>
      </c>
      <c r="G376" s="6">
        <v>0.10254921505360297</v>
      </c>
      <c r="H376" s="6">
        <v>0.56329107297822278</v>
      </c>
      <c r="I376" s="6">
        <v>0.35976346092833955</v>
      </c>
      <c r="J376" s="6">
        <v>-6.0542801201140951E-2</v>
      </c>
      <c r="K376" s="6">
        <v>-1.0053637460328941</v>
      </c>
      <c r="L376" s="6">
        <v>-0.32580999015170464</v>
      </c>
      <c r="N376" s="8">
        <f>SQRT((C376-Sheet2!$C$525)^2+(D376-Sheet2!$D$525)^2+(E376-Sheet2!$E$525)^2+(F376-Sheet2!$F$525)^2+(G376-Sheet2!$G$525)^2+(H376-Sheet2!$H$525)^2+(I376-Sheet2!$I$525)^2+(J376-Sheet2!$J$525)^2+(K376-Sheet2!$K$525)^2+(L376-Sheet2!$L$525)^2)</f>
        <v>2.0516616546175075</v>
      </c>
      <c r="O376" s="8">
        <f>SQRT((C376-Sheet2!$C$526)^2+(D376-Sheet2!$D$526)^2+(E376-Sheet2!$E$526)^2+(F376-Sheet2!$F$526)^2+(G376-Sheet2!$G$526)^2+(H376-Sheet2!$H$526)^2+(I376-Sheet2!$I$526)^2+(J376-Sheet2!$J$526)^2+(K376-Sheet2!$K$526)^2+(L376-Sheet2!$L$526)^2)</f>
        <v>2.622489287278388</v>
      </c>
      <c r="P376" s="12">
        <f t="shared" si="5"/>
        <v>0</v>
      </c>
      <c r="Q376" s="11">
        <f>IF(P376=Sheet1!$M376, 1, 0)</f>
        <v>1</v>
      </c>
    </row>
    <row r="377" spans="1:17" x14ac:dyDescent="0.35">
      <c r="A377" s="6" t="s">
        <v>406</v>
      </c>
      <c r="B377" s="6" t="s">
        <v>412</v>
      </c>
      <c r="C377" s="6">
        <v>-0.69290620054456864</v>
      </c>
      <c r="D377" s="6">
        <v>0.95957082922585946</v>
      </c>
      <c r="E377" s="6">
        <v>0.42593927551942867</v>
      </c>
      <c r="F377" s="6">
        <v>0.64449491436869899</v>
      </c>
      <c r="G377" s="6">
        <v>0.5061369212736796</v>
      </c>
      <c r="H377" s="6">
        <v>0.72972910321815265</v>
      </c>
      <c r="I377" s="6">
        <v>0.19528953366723459</v>
      </c>
      <c r="J377" s="6">
        <v>1.1617453106796216</v>
      </c>
      <c r="K377" s="6">
        <v>-1.1696783675496383</v>
      </c>
      <c r="L377" s="6">
        <v>-0.25240679419000928</v>
      </c>
      <c r="N377" s="8">
        <f>SQRT((C377-Sheet2!$C$525)^2+(D377-Sheet2!$D$525)^2+(E377-Sheet2!$E$525)^2+(F377-Sheet2!$F$525)^2+(G377-Sheet2!$G$525)^2+(H377-Sheet2!$H$525)^2+(I377-Sheet2!$I$525)^2+(J377-Sheet2!$J$525)^2+(K377-Sheet2!$K$525)^2+(L377-Sheet2!$L$525)^2)</f>
        <v>3.0150047182717366</v>
      </c>
      <c r="O377" s="8">
        <f>SQRT((C377-Sheet2!$C$526)^2+(D377-Sheet2!$D$526)^2+(E377-Sheet2!$E$526)^2+(F377-Sheet2!$F$526)^2+(G377-Sheet2!$G$526)^2+(H377-Sheet2!$H$526)^2+(I377-Sheet2!$I$526)^2+(J377-Sheet2!$J$526)^2+(K377-Sheet2!$K$526)^2+(L377-Sheet2!$L$526)^2)</f>
        <v>1.8995131675064276</v>
      </c>
      <c r="P377" s="12">
        <f t="shared" si="5"/>
        <v>1</v>
      </c>
      <c r="Q377" s="11">
        <f>IF(P377=Sheet1!$M377, 1, 0)</f>
        <v>0</v>
      </c>
    </row>
    <row r="378" spans="1:17" x14ac:dyDescent="0.35">
      <c r="A378" s="6" t="s">
        <v>406</v>
      </c>
      <c r="B378" s="6" t="s">
        <v>413</v>
      </c>
      <c r="C378" s="6">
        <v>-0.56944019852731254</v>
      </c>
      <c r="D378" s="6">
        <v>-1.6335559550772212E-2</v>
      </c>
      <c r="E378" s="6">
        <v>-0.43536122347435752</v>
      </c>
      <c r="F378" s="6">
        <v>-0.3908309624521335</v>
      </c>
      <c r="G378" s="6">
        <v>-0.55945076349443645</v>
      </c>
      <c r="H378" s="6">
        <v>-0.20210841236462521</v>
      </c>
      <c r="I378" s="6">
        <v>-0.35168189885225432</v>
      </c>
      <c r="J378" s="6">
        <v>6.4722750637570811E-2</v>
      </c>
      <c r="K378" s="6">
        <v>-0.78784248516786914</v>
      </c>
      <c r="L378" s="6">
        <v>-0.42238264793505942</v>
      </c>
      <c r="N378" s="8">
        <f>SQRT((C378-Sheet2!$C$525)^2+(D378-Sheet2!$D$525)^2+(E378-Sheet2!$E$525)^2+(F378-Sheet2!$F$525)^2+(G378-Sheet2!$G$525)^2+(H378-Sheet2!$H$525)^2+(I378-Sheet2!$I$525)^2+(J378-Sheet2!$J$525)^2+(K378-Sheet2!$K$525)^2+(L378-Sheet2!$L$525)^2)</f>
        <v>1.353002133150458</v>
      </c>
      <c r="O378" s="8">
        <f>SQRT((C378-Sheet2!$C$526)^2+(D378-Sheet2!$D$526)^2+(E378-Sheet2!$E$526)^2+(F378-Sheet2!$F$526)^2+(G378-Sheet2!$G$526)^2+(H378-Sheet2!$H$526)^2+(I378-Sheet2!$I$526)^2+(J378-Sheet2!$J$526)^2+(K378-Sheet2!$K$526)^2+(L378-Sheet2!$L$526)^2)</f>
        <v>3.9790859780667045</v>
      </c>
      <c r="P378" s="12">
        <f t="shared" si="5"/>
        <v>0</v>
      </c>
      <c r="Q378" s="11">
        <f>IF(P378=Sheet1!$M378, 1, 0)</f>
        <v>1</v>
      </c>
    </row>
    <row r="379" spans="1:17" x14ac:dyDescent="0.35">
      <c r="A379" s="6" t="s">
        <v>406</v>
      </c>
      <c r="B379" s="6" t="s">
        <v>414</v>
      </c>
      <c r="C379" s="6">
        <v>-0.44731621827111351</v>
      </c>
      <c r="D379" s="6">
        <v>0.36420655431181326</v>
      </c>
      <c r="E379" s="6">
        <v>-0.80301644075228673</v>
      </c>
      <c r="F379" s="6">
        <v>-0.28914717097865938</v>
      </c>
      <c r="G379" s="6">
        <v>0.35225096134803863</v>
      </c>
      <c r="H379" s="6">
        <v>0.90155347747879189</v>
      </c>
      <c r="I379" s="6">
        <v>0.73779849529204189</v>
      </c>
      <c r="J379" s="6">
        <v>-0.63372759900857956</v>
      </c>
      <c r="K379" s="6">
        <v>-0.99753924024638174</v>
      </c>
      <c r="L379" s="6">
        <v>-0.42379686455660148</v>
      </c>
      <c r="N379" s="8">
        <f>SQRT((C379-Sheet2!$C$525)^2+(D379-Sheet2!$D$525)^2+(E379-Sheet2!$E$525)^2+(F379-Sheet2!$F$525)^2+(G379-Sheet2!$G$525)^2+(H379-Sheet2!$H$525)^2+(I379-Sheet2!$I$525)^2+(J379-Sheet2!$J$525)^2+(K379-Sheet2!$K$525)^2+(L379-Sheet2!$L$525)^2)</f>
        <v>2.2110564362962406</v>
      </c>
      <c r="O379" s="8">
        <f>SQRT((C379-Sheet2!$C$526)^2+(D379-Sheet2!$D$526)^2+(E379-Sheet2!$E$526)^2+(F379-Sheet2!$F$526)^2+(G379-Sheet2!$G$526)^2+(H379-Sheet2!$H$526)^2+(I379-Sheet2!$I$526)^2+(J379-Sheet2!$J$526)^2+(K379-Sheet2!$K$526)^2+(L379-Sheet2!$L$526)^2)</f>
        <v>3.7538976252647638</v>
      </c>
      <c r="P379" s="12">
        <f t="shared" si="5"/>
        <v>0</v>
      </c>
      <c r="Q379" s="11">
        <f>IF(P379=Sheet1!$M379, 1, 0)</f>
        <v>1</v>
      </c>
    </row>
    <row r="380" spans="1:17" x14ac:dyDescent="0.35">
      <c r="A380" s="6" t="s">
        <v>406</v>
      </c>
      <c r="B380" s="6" t="s">
        <v>415</v>
      </c>
      <c r="C380" s="6">
        <v>2.6417463382054338E-2</v>
      </c>
      <c r="D380" s="6">
        <v>0.41330876255214699</v>
      </c>
      <c r="E380" s="6">
        <v>5.6810490236377451E-2</v>
      </c>
      <c r="F380" s="6">
        <v>0.17459254468067273</v>
      </c>
      <c r="G380" s="6">
        <v>0.16061938861044522</v>
      </c>
      <c r="H380" s="6">
        <v>0.57675693302999698</v>
      </c>
      <c r="I380" s="6">
        <v>0.50001254618974711</v>
      </c>
      <c r="J380" s="6">
        <v>-0.63372759900857956</v>
      </c>
      <c r="K380" s="6">
        <v>-0.71898683424656706</v>
      </c>
      <c r="L380" s="6">
        <v>-0.38017627830549217</v>
      </c>
      <c r="N380" s="8">
        <f>SQRT((C380-Sheet2!$C$525)^2+(D380-Sheet2!$D$525)^2+(E380-Sheet2!$E$525)^2+(F380-Sheet2!$F$525)^2+(G380-Sheet2!$G$525)^2+(H380-Sheet2!$H$525)^2+(I380-Sheet2!$I$525)^2+(J380-Sheet2!$J$525)^2+(K380-Sheet2!$K$525)^2+(L380-Sheet2!$L$525)^2)</f>
        <v>1.7371886587982615</v>
      </c>
      <c r="O380" s="8">
        <f>SQRT((C380-Sheet2!$C$526)^2+(D380-Sheet2!$D$526)^2+(E380-Sheet2!$E$526)^2+(F380-Sheet2!$F$526)^2+(G380-Sheet2!$G$526)^2+(H380-Sheet2!$H$526)^2+(I380-Sheet2!$I$526)^2+(J380-Sheet2!$J$526)^2+(K380-Sheet2!$K$526)^2+(L380-Sheet2!$L$526)^2)</f>
        <v>3.195872861632036</v>
      </c>
      <c r="P380" s="12">
        <f t="shared" si="5"/>
        <v>0</v>
      </c>
      <c r="Q380" s="11">
        <f>IF(P380=Sheet1!$M380, 1, 0)</f>
        <v>1</v>
      </c>
    </row>
    <row r="381" spans="1:17" x14ac:dyDescent="0.35">
      <c r="A381" s="6" t="s">
        <v>406</v>
      </c>
      <c r="B381" s="6" t="s">
        <v>416</v>
      </c>
      <c r="C381" s="6">
        <v>7.7414290302225228E-2</v>
      </c>
      <c r="D381" s="6">
        <v>-0.17591773633185653</v>
      </c>
      <c r="E381" s="6">
        <v>-0.51051319173557752</v>
      </c>
      <c r="F381" s="6">
        <v>-0.69434167336538344</v>
      </c>
      <c r="G381" s="6">
        <v>-1.5001875751153368</v>
      </c>
      <c r="H381" s="6">
        <v>-0.37824186184183217</v>
      </c>
      <c r="I381" s="6">
        <v>6.1415406826799662E-2</v>
      </c>
      <c r="J381" s="6">
        <v>-0.17442057559997007</v>
      </c>
      <c r="K381" s="6">
        <v>-1.6297593077965238</v>
      </c>
      <c r="L381" s="6">
        <v>-0.42995920242794938</v>
      </c>
      <c r="N381" s="8">
        <f>SQRT((C381-Sheet2!$C$525)^2+(D381-Sheet2!$D$525)^2+(E381-Sheet2!$E$525)^2+(F381-Sheet2!$F$525)^2+(G381-Sheet2!$G$525)^2+(H381-Sheet2!$H$525)^2+(I381-Sheet2!$I$525)^2+(J381-Sheet2!$J$525)^2+(K381-Sheet2!$K$525)^2+(L381-Sheet2!$L$525)^2)</f>
        <v>2.2683820530298835</v>
      </c>
      <c r="O381" s="8">
        <f>SQRT((C381-Sheet2!$C$526)^2+(D381-Sheet2!$D$526)^2+(E381-Sheet2!$E$526)^2+(F381-Sheet2!$F$526)^2+(G381-Sheet2!$G$526)^2+(H381-Sheet2!$H$526)^2+(I381-Sheet2!$I$526)^2+(J381-Sheet2!$J$526)^2+(K381-Sheet2!$K$526)^2+(L381-Sheet2!$L$526)^2)</f>
        <v>4.8373830832708551</v>
      </c>
      <c r="P381" s="12">
        <f t="shared" si="5"/>
        <v>0</v>
      </c>
      <c r="Q381" s="11">
        <f>IF(P381=Sheet1!$M381, 1, 0)</f>
        <v>1</v>
      </c>
    </row>
    <row r="382" spans="1:17" x14ac:dyDescent="0.35">
      <c r="A382" s="6" t="s">
        <v>406</v>
      </c>
      <c r="B382" s="6" t="s">
        <v>417</v>
      </c>
      <c r="C382" s="6">
        <v>-0.82845039841133905</v>
      </c>
      <c r="D382" s="6">
        <v>-0.31094880899277449</v>
      </c>
      <c r="E382" s="6">
        <v>-0.4456761995102112</v>
      </c>
      <c r="F382" s="6">
        <v>-0.52024669705473814</v>
      </c>
      <c r="G382" s="6">
        <v>-0.49847708125975049</v>
      </c>
      <c r="H382" s="6">
        <v>-0.76875180334328574</v>
      </c>
      <c r="I382" s="6">
        <v>0.41267561582241585</v>
      </c>
      <c r="J382" s="6">
        <v>0.35321311244793713</v>
      </c>
      <c r="K382" s="6">
        <v>-0.68768881110052227</v>
      </c>
      <c r="L382" s="6">
        <v>-0.41842855827172004</v>
      </c>
      <c r="N382" s="8">
        <f>SQRT((C382-Sheet2!$C$525)^2+(D382-Sheet2!$D$525)^2+(E382-Sheet2!$E$525)^2+(F382-Sheet2!$F$525)^2+(G382-Sheet2!$G$525)^2+(H382-Sheet2!$H$525)^2+(I382-Sheet2!$I$525)^2+(J382-Sheet2!$J$525)^2+(K382-Sheet2!$K$525)^2+(L382-Sheet2!$L$525)^2)</f>
        <v>1.7176653924284386</v>
      </c>
      <c r="O382" s="8">
        <f>SQRT((C382-Sheet2!$C$526)^2+(D382-Sheet2!$D$526)^2+(E382-Sheet2!$E$526)^2+(F382-Sheet2!$F$526)^2+(G382-Sheet2!$G$526)^2+(H382-Sheet2!$H$526)^2+(I382-Sheet2!$I$526)^2+(J382-Sheet2!$J$526)^2+(K382-Sheet2!$K$526)^2+(L382-Sheet2!$L$526)^2)</f>
        <v>4.0959385551968674</v>
      </c>
      <c r="P382" s="12">
        <f t="shared" si="5"/>
        <v>0</v>
      </c>
      <c r="Q382" s="11">
        <f>IF(P382=Sheet1!$M382, 1, 0)</f>
        <v>1</v>
      </c>
    </row>
    <row r="383" spans="1:17" x14ac:dyDescent="0.35">
      <c r="A383" s="6" t="s">
        <v>406</v>
      </c>
      <c r="B383" s="6" t="s">
        <v>418</v>
      </c>
      <c r="C383" s="6">
        <v>-0.81637220256182474</v>
      </c>
      <c r="D383" s="6">
        <v>1.8311350254917822</v>
      </c>
      <c r="E383" s="6">
        <v>1.3506031987334592</v>
      </c>
      <c r="F383" s="6">
        <v>1.4286926395201933</v>
      </c>
      <c r="G383" s="6">
        <v>0.65131235516579344</v>
      </c>
      <c r="H383" s="6">
        <v>0.56867741699893293</v>
      </c>
      <c r="I383" s="6">
        <v>0.68552383624006319</v>
      </c>
      <c r="J383" s="6">
        <v>2.6990952650638111</v>
      </c>
      <c r="K383" s="6">
        <v>-1.6250646043246166</v>
      </c>
      <c r="L383" s="6">
        <v>8.5511598184419474E-2</v>
      </c>
      <c r="N383" s="8">
        <f>SQRT((C383-Sheet2!$C$525)^2+(D383-Sheet2!$D$525)^2+(E383-Sheet2!$E$525)^2+(F383-Sheet2!$F$525)^2+(G383-Sheet2!$G$525)^2+(H383-Sheet2!$H$525)^2+(I383-Sheet2!$I$525)^2+(J383-Sheet2!$J$525)^2+(K383-Sheet2!$K$525)^2+(L383-Sheet2!$L$525)^2)</f>
        <v>5.0430338484484549</v>
      </c>
      <c r="O383" s="8">
        <f>SQRT((C383-Sheet2!$C$526)^2+(D383-Sheet2!$D$526)^2+(E383-Sheet2!$E$526)^2+(F383-Sheet2!$F$526)^2+(G383-Sheet2!$G$526)^2+(H383-Sheet2!$H$526)^2+(I383-Sheet2!$I$526)^2+(J383-Sheet2!$J$526)^2+(K383-Sheet2!$K$526)^2+(L383-Sheet2!$L$526)^2)</f>
        <v>2.0476339503502548</v>
      </c>
      <c r="P383" s="12">
        <f t="shared" si="5"/>
        <v>1</v>
      </c>
      <c r="Q383" s="11">
        <f>IF(P383=Sheet1!$M383, 1, 0)</f>
        <v>0</v>
      </c>
    </row>
    <row r="384" spans="1:17" x14ac:dyDescent="0.35">
      <c r="A384" s="6" t="s">
        <v>406</v>
      </c>
      <c r="B384" s="6" t="s">
        <v>419</v>
      </c>
      <c r="C384" s="6">
        <v>-0.78416368029645367</v>
      </c>
      <c r="D384" s="6">
        <v>0.89205529289540098</v>
      </c>
      <c r="E384" s="6">
        <v>0.71696895653101589</v>
      </c>
      <c r="F384" s="6">
        <v>0.65836088593326425</v>
      </c>
      <c r="G384" s="6">
        <v>0.41903166093840805</v>
      </c>
      <c r="H384" s="6">
        <v>0.65432028692821653</v>
      </c>
      <c r="I384" s="6">
        <v>0.73588600776575075</v>
      </c>
      <c r="J384" s="6">
        <v>1.8601956603257723</v>
      </c>
      <c r="K384" s="6">
        <v>-1.1336856409316851</v>
      </c>
      <c r="L384" s="6">
        <v>-0.21141728773512281</v>
      </c>
      <c r="N384" s="8">
        <f>SQRT((C384-Sheet2!$C$525)^2+(D384-Sheet2!$D$525)^2+(E384-Sheet2!$E$525)^2+(F384-Sheet2!$F$525)^2+(G384-Sheet2!$G$525)^2+(H384-Sheet2!$H$525)^2+(I384-Sheet2!$I$525)^2+(J384-Sheet2!$J$525)^2+(K384-Sheet2!$K$525)^2+(L384-Sheet2!$L$525)^2)</f>
        <v>3.5303093404001737</v>
      </c>
      <c r="O384" s="8">
        <f>SQRT((C384-Sheet2!$C$526)^2+(D384-Sheet2!$D$526)^2+(E384-Sheet2!$E$526)^2+(F384-Sheet2!$F$526)^2+(G384-Sheet2!$G$526)^2+(H384-Sheet2!$H$526)^2+(I384-Sheet2!$I$526)^2+(J384-Sheet2!$J$526)^2+(K384-Sheet2!$K$526)^2+(L384-Sheet2!$L$526)^2)</f>
        <v>1.8093758515182596</v>
      </c>
      <c r="P384" s="12">
        <f t="shared" si="5"/>
        <v>1</v>
      </c>
      <c r="Q384" s="11">
        <f>IF(P384=Sheet1!$M384, 1, 0)</f>
        <v>0</v>
      </c>
    </row>
    <row r="385" spans="1:17" x14ac:dyDescent="0.35">
      <c r="A385" s="6" t="s">
        <v>406</v>
      </c>
      <c r="B385" s="6" t="s">
        <v>420</v>
      </c>
      <c r="C385" s="6">
        <v>-0.88347329061468138</v>
      </c>
      <c r="D385" s="6">
        <v>1.4137662554489461</v>
      </c>
      <c r="E385" s="6">
        <v>0.56224431599321001</v>
      </c>
      <c r="F385" s="6">
        <v>1.0681773788415101</v>
      </c>
      <c r="G385" s="6">
        <v>0.69776849401126895</v>
      </c>
      <c r="H385" s="6">
        <v>1.0351348091923926</v>
      </c>
      <c r="I385" s="6">
        <v>0.71421114913444217</v>
      </c>
      <c r="J385" s="6">
        <v>1.4350519692368111</v>
      </c>
      <c r="K385" s="6">
        <v>-1.8097229408862914</v>
      </c>
      <c r="L385" s="6">
        <v>-0.39175859584172018</v>
      </c>
      <c r="N385" s="8">
        <f>SQRT((C385-Sheet2!$C$525)^2+(D385-Sheet2!$D$525)^2+(E385-Sheet2!$E$525)^2+(F385-Sheet2!$F$525)^2+(G385-Sheet2!$G$525)^2+(H385-Sheet2!$H$525)^2+(I385-Sheet2!$I$525)^2+(J385-Sheet2!$J$525)^2+(K385-Sheet2!$K$525)^2+(L385-Sheet2!$L$525)^2)</f>
        <v>4.0781886244091021</v>
      </c>
      <c r="O385" s="8">
        <f>SQRT((C385-Sheet2!$C$526)^2+(D385-Sheet2!$D$526)^2+(E385-Sheet2!$E$526)^2+(F385-Sheet2!$F$526)^2+(G385-Sheet2!$G$526)^2+(H385-Sheet2!$H$526)^2+(I385-Sheet2!$I$526)^2+(J385-Sheet2!$J$526)^2+(K385-Sheet2!$K$526)^2+(L385-Sheet2!$L$526)^2)</f>
        <v>1.9546201623880226</v>
      </c>
      <c r="P385" s="12">
        <f t="shared" si="5"/>
        <v>1</v>
      </c>
      <c r="Q385" s="11">
        <f>IF(P385=Sheet1!$M385, 1, 0)</f>
        <v>0</v>
      </c>
    </row>
    <row r="386" spans="1:17" x14ac:dyDescent="0.35">
      <c r="A386" s="6" t="s">
        <v>406</v>
      </c>
      <c r="B386" s="6" t="s">
        <v>421</v>
      </c>
      <c r="C386" s="6">
        <v>-0.87676318180939572</v>
      </c>
      <c r="D386" s="6">
        <v>1.1498418861571527</v>
      </c>
      <c r="E386" s="6">
        <v>0.19274713870887836</v>
      </c>
      <c r="F386" s="6">
        <v>0.54589244990957198</v>
      </c>
      <c r="G386" s="6">
        <v>0.2738562270462942</v>
      </c>
      <c r="H386" s="6">
        <v>-0.30337167995396808</v>
      </c>
      <c r="I386" s="6">
        <v>0.82386043397517872</v>
      </c>
      <c r="J386" s="6">
        <v>0.85807124561607839</v>
      </c>
      <c r="K386" s="6">
        <v>-0.73463584581959163</v>
      </c>
      <c r="L386" s="6">
        <v>-0.40674573569796918</v>
      </c>
      <c r="N386" s="8">
        <f>SQRT((C386-Sheet2!$C$525)^2+(D386-Sheet2!$D$525)^2+(E386-Sheet2!$E$525)^2+(F386-Sheet2!$F$525)^2+(G386-Sheet2!$G$525)^2+(H386-Sheet2!$H$525)^2+(I386-Sheet2!$I$525)^2+(J386-Sheet2!$J$525)^2+(K386-Sheet2!$K$525)^2+(L386-Sheet2!$L$525)^2)</f>
        <v>2.7519245069236016</v>
      </c>
      <c r="O386" s="8">
        <f>SQRT((C386-Sheet2!$C$526)^2+(D386-Sheet2!$D$526)^2+(E386-Sheet2!$E$526)^2+(F386-Sheet2!$F$526)^2+(G386-Sheet2!$G$526)^2+(H386-Sheet2!$H$526)^2+(I386-Sheet2!$I$526)^2+(J386-Sheet2!$J$526)^2+(K386-Sheet2!$K$526)^2+(L386-Sheet2!$L$526)^2)</f>
        <v>2.3385898583006486</v>
      </c>
      <c r="P386" s="12">
        <f t="shared" si="5"/>
        <v>1</v>
      </c>
      <c r="Q386" s="11">
        <f>IF(P386=Sheet1!$M386, 1, 0)</f>
        <v>0</v>
      </c>
    </row>
    <row r="387" spans="1:17" x14ac:dyDescent="0.35">
      <c r="A387" s="6" t="s">
        <v>422</v>
      </c>
      <c r="B387" s="6" t="s">
        <v>423</v>
      </c>
      <c r="C387" s="6">
        <v>0.19417018351419588</v>
      </c>
      <c r="D387" s="6">
        <v>2.0777685393525243E-3</v>
      </c>
      <c r="E387" s="6">
        <v>-1.057943705638386</v>
      </c>
      <c r="F387" s="6">
        <v>-0.66506906672908039</v>
      </c>
      <c r="G387" s="6">
        <v>-0.8904507527684562</v>
      </c>
      <c r="H387" s="6">
        <v>-9.9767875971141382E-2</v>
      </c>
      <c r="I387" s="6">
        <v>0.74927342044979384</v>
      </c>
      <c r="J387" s="6">
        <v>-0.80074833479352847</v>
      </c>
      <c r="K387" s="6">
        <v>0.39365788859538886</v>
      </c>
      <c r="L387" s="6">
        <v>-0.4017869717697295</v>
      </c>
      <c r="N387" s="8">
        <f>SQRT((C387-Sheet2!$C$525)^2+(D387-Sheet2!$D$525)^2+(E387-Sheet2!$E$525)^2+(F387-Sheet2!$F$525)^2+(G387-Sheet2!$G$525)^2+(H387-Sheet2!$H$525)^2+(I387-Sheet2!$I$525)^2+(J387-Sheet2!$J$525)^2+(K387-Sheet2!$K$525)^2+(L387-Sheet2!$L$525)^2)</f>
        <v>1.5736327528346385</v>
      </c>
      <c r="O387" s="8">
        <f>SQRT((C387-Sheet2!$C$526)^2+(D387-Sheet2!$D$526)^2+(E387-Sheet2!$E$526)^2+(F387-Sheet2!$F$526)^2+(G387-Sheet2!$G$526)^2+(H387-Sheet2!$H$526)^2+(I387-Sheet2!$I$526)^2+(J387-Sheet2!$J$526)^2+(K387-Sheet2!$K$526)^2+(L387-Sheet2!$L$526)^2)</f>
        <v>4.8644580704880509</v>
      </c>
      <c r="P387" s="12">
        <f t="shared" ref="P387:P450" si="6">IF(N387&lt;=O387, 0, 1)</f>
        <v>0</v>
      </c>
      <c r="Q387" s="11">
        <f>IF(P387=Sheet1!$M387, 1, 0)</f>
        <v>1</v>
      </c>
    </row>
    <row r="388" spans="1:17" x14ac:dyDescent="0.35">
      <c r="A388" s="6" t="s">
        <v>422</v>
      </c>
      <c r="B388" s="6" t="s">
        <v>424</v>
      </c>
      <c r="C388" s="6">
        <v>-0.59628063374845508</v>
      </c>
      <c r="D388" s="6">
        <v>5.7317752809727819E-2</v>
      </c>
      <c r="E388" s="6">
        <v>-0.26590090288533197</v>
      </c>
      <c r="F388" s="6">
        <v>0.10372202335067403</v>
      </c>
      <c r="G388" s="6">
        <v>0.35515447002587824</v>
      </c>
      <c r="H388" s="6">
        <v>0.28320118390131821</v>
      </c>
      <c r="I388" s="6">
        <v>0.64026163145115478</v>
      </c>
      <c r="J388" s="6">
        <v>-0.5654009343692824</v>
      </c>
      <c r="K388" s="6">
        <v>0.36548966776394587</v>
      </c>
      <c r="L388" s="6">
        <v>-6.47712023913318E-2</v>
      </c>
      <c r="N388" s="8">
        <f>SQRT((C388-Sheet2!$C$525)^2+(D388-Sheet2!$D$525)^2+(E388-Sheet2!$E$525)^2+(F388-Sheet2!$F$525)^2+(G388-Sheet2!$G$525)^2+(H388-Sheet2!$H$525)^2+(I388-Sheet2!$I$525)^2+(J388-Sheet2!$J$525)^2+(K388-Sheet2!$K$525)^2+(L388-Sheet2!$L$525)^2)</f>
        <v>1.5050019795318454</v>
      </c>
      <c r="O388" s="8">
        <f>SQRT((C388-Sheet2!$C$526)^2+(D388-Sheet2!$D$526)^2+(E388-Sheet2!$E$526)^2+(F388-Sheet2!$F$526)^2+(G388-Sheet2!$G$526)^2+(H388-Sheet2!$H$526)^2+(I388-Sheet2!$I$526)^2+(J388-Sheet2!$J$526)^2+(K388-Sheet2!$K$526)^2+(L388-Sheet2!$L$526)^2)</f>
        <v>3.40163762855097</v>
      </c>
      <c r="P388" s="12">
        <f t="shared" si="6"/>
        <v>0</v>
      </c>
      <c r="Q388" s="11">
        <f>IF(P388=Sheet1!$M388, 1, 0)</f>
        <v>1</v>
      </c>
    </row>
    <row r="389" spans="1:17" x14ac:dyDescent="0.35">
      <c r="A389" s="6" t="s">
        <v>422</v>
      </c>
      <c r="B389" s="6" t="s">
        <v>425</v>
      </c>
      <c r="C389" s="6">
        <v>0.19819624879736719</v>
      </c>
      <c r="D389" s="6">
        <v>0.55447761124310657</v>
      </c>
      <c r="E389" s="6">
        <v>0.25905769893936659</v>
      </c>
      <c r="F389" s="6">
        <v>0.36409415606305789</v>
      </c>
      <c r="G389" s="6">
        <v>-0.12392446181809495</v>
      </c>
      <c r="H389" s="6">
        <v>6.1283810248079121E-2</v>
      </c>
      <c r="I389" s="6">
        <v>0.51212496718959588</v>
      </c>
      <c r="J389" s="6">
        <v>7.7838634381562476E-3</v>
      </c>
      <c r="K389" s="6">
        <v>-0.89425576386442862</v>
      </c>
      <c r="L389" s="6">
        <v>0.68853613987620099</v>
      </c>
      <c r="N389" s="8">
        <f>SQRT((C389-Sheet2!$C$525)^2+(D389-Sheet2!$D$525)^2+(E389-Sheet2!$E$525)^2+(F389-Sheet2!$F$525)^2+(G389-Sheet2!$G$525)^2+(H389-Sheet2!$H$525)^2+(I389-Sheet2!$I$525)^2+(J389-Sheet2!$J$525)^2+(K389-Sheet2!$K$525)^2+(L389-Sheet2!$L$525)^2)</f>
        <v>1.9930885714029669</v>
      </c>
      <c r="O389" s="8">
        <f>SQRT((C389-Sheet2!$C$526)^2+(D389-Sheet2!$D$526)^2+(E389-Sheet2!$E$526)^2+(F389-Sheet2!$F$526)^2+(G389-Sheet2!$G$526)^2+(H389-Sheet2!$H$526)^2+(I389-Sheet2!$I$526)^2+(J389-Sheet2!$J$526)^2+(K389-Sheet2!$K$526)^2+(L389-Sheet2!$L$526)^2)</f>
        <v>2.6869953610710975</v>
      </c>
      <c r="P389" s="12">
        <f t="shared" si="6"/>
        <v>0</v>
      </c>
      <c r="Q389" s="11">
        <f>IF(P389=Sheet1!$M389, 1, 0)</f>
        <v>1</v>
      </c>
    </row>
    <row r="390" spans="1:17" x14ac:dyDescent="0.35">
      <c r="A390" s="6" t="s">
        <v>422</v>
      </c>
      <c r="B390" s="6" t="s">
        <v>426</v>
      </c>
      <c r="C390" s="6">
        <v>0.48941497094676489</v>
      </c>
      <c r="D390" s="6">
        <v>0.65268202772377404</v>
      </c>
      <c r="E390" s="6">
        <v>-0.5433000798495411</v>
      </c>
      <c r="F390" s="6">
        <v>0.23467842146045328</v>
      </c>
      <c r="G390" s="6">
        <v>0.44516323903898952</v>
      </c>
      <c r="H390" s="6">
        <v>0.58645235226727477</v>
      </c>
      <c r="I390" s="6">
        <v>0.29537638087651125</v>
      </c>
      <c r="J390" s="6">
        <v>-0.98295277383165469</v>
      </c>
      <c r="K390" s="6">
        <v>0.6377824691345525</v>
      </c>
      <c r="L390" s="6">
        <v>-0.32262519237328763</v>
      </c>
      <c r="N390" s="8">
        <f>SQRT((C390-Sheet2!$C$525)^2+(D390-Sheet2!$D$525)^2+(E390-Sheet2!$E$525)^2+(F390-Sheet2!$F$525)^2+(G390-Sheet2!$G$525)^2+(H390-Sheet2!$H$525)^2+(I390-Sheet2!$I$525)^2+(J390-Sheet2!$J$525)^2+(K390-Sheet2!$K$525)^2+(L390-Sheet2!$L$525)^2)</f>
        <v>1.8487160635819009</v>
      </c>
      <c r="O390" s="8">
        <f>SQRT((C390-Sheet2!$C$526)^2+(D390-Sheet2!$D$526)^2+(E390-Sheet2!$E$526)^2+(F390-Sheet2!$F$526)^2+(G390-Sheet2!$G$526)^2+(H390-Sheet2!$H$526)^2+(I390-Sheet2!$I$526)^2+(J390-Sheet2!$J$526)^2+(K390-Sheet2!$K$526)^2+(L390-Sheet2!$L$526)^2)</f>
        <v>3.8971661433941187</v>
      </c>
      <c r="P390" s="12">
        <f t="shared" si="6"/>
        <v>0</v>
      </c>
      <c r="Q390" s="11">
        <f>IF(P390=Sheet1!$M390, 1, 0)</f>
        <v>1</v>
      </c>
    </row>
    <row r="391" spans="1:17" x14ac:dyDescent="0.35">
      <c r="A391" s="6" t="s">
        <v>422</v>
      </c>
      <c r="B391" s="6" t="s">
        <v>427</v>
      </c>
      <c r="C391" s="6">
        <v>0.59811873359239265</v>
      </c>
      <c r="D391" s="6">
        <v>-0.28025992884256551</v>
      </c>
      <c r="E391" s="6">
        <v>-0.85569649693539684</v>
      </c>
      <c r="F391" s="6">
        <v>-0.64812176815016809</v>
      </c>
      <c r="G391" s="6">
        <v>-0.62623146308481004</v>
      </c>
      <c r="H391" s="6">
        <v>-0.66264082613530439</v>
      </c>
      <c r="I391" s="6">
        <v>0.2730640264031059</v>
      </c>
      <c r="J391" s="6">
        <v>-0.59197241506234233</v>
      </c>
      <c r="K391" s="6">
        <v>-0.31211253334796235</v>
      </c>
      <c r="L391" s="6">
        <v>-0.28040356938043731</v>
      </c>
      <c r="N391" s="8">
        <f>SQRT((C391-Sheet2!$C$525)^2+(D391-Sheet2!$D$525)^2+(E391-Sheet2!$E$525)^2+(F391-Sheet2!$F$525)^2+(G391-Sheet2!$G$525)^2+(H391-Sheet2!$H$525)^2+(I391-Sheet2!$I$525)^2+(J391-Sheet2!$J$525)^2+(K391-Sheet2!$K$525)^2+(L391-Sheet2!$L$525)^2)</f>
        <v>1.2237929797796954</v>
      </c>
      <c r="O391" s="8">
        <f>SQRT((C391-Sheet2!$C$526)^2+(D391-Sheet2!$D$526)^2+(E391-Sheet2!$E$526)^2+(F391-Sheet2!$F$526)^2+(G391-Sheet2!$G$526)^2+(H391-Sheet2!$H$526)^2+(I391-Sheet2!$I$526)^2+(J391-Sheet2!$J$526)^2+(K391-Sheet2!$K$526)^2+(L391-Sheet2!$L$526)^2)</f>
        <v>4.8071191832884921</v>
      </c>
      <c r="P391" s="12">
        <f t="shared" si="6"/>
        <v>0</v>
      </c>
      <c r="Q391" s="11">
        <f>IF(P391=Sheet1!$M391, 1, 0)</f>
        <v>1</v>
      </c>
    </row>
    <row r="392" spans="1:17" x14ac:dyDescent="0.35">
      <c r="A392" s="6" t="s">
        <v>422</v>
      </c>
      <c r="B392" s="6" t="s">
        <v>428</v>
      </c>
      <c r="C392" s="6">
        <v>0.16598772653199598</v>
      </c>
      <c r="D392" s="6">
        <v>0.19848660150068739</v>
      </c>
      <c r="E392" s="6">
        <v>-0.87595805700582385</v>
      </c>
      <c r="F392" s="6">
        <v>-0.55876328473408454</v>
      </c>
      <c r="G392" s="6">
        <v>-1.0094946085599885</v>
      </c>
      <c r="H392" s="6">
        <v>-0.49081645187466505</v>
      </c>
      <c r="I392" s="6">
        <v>4.9940481669048617E-2</v>
      </c>
      <c r="J392" s="6">
        <v>-0.73242167015423132</v>
      </c>
      <c r="K392" s="6">
        <v>-0.84887363030266005</v>
      </c>
      <c r="L392" s="6">
        <v>-0.33824513785560267</v>
      </c>
      <c r="N392" s="8">
        <f>SQRT((C392-Sheet2!$C$525)^2+(D392-Sheet2!$D$525)^2+(E392-Sheet2!$E$525)^2+(F392-Sheet2!$F$525)^2+(G392-Sheet2!$G$525)^2+(H392-Sheet2!$H$525)^2+(I392-Sheet2!$I$525)^2+(J392-Sheet2!$J$525)^2+(K392-Sheet2!$K$525)^2+(L392-Sheet2!$L$525)^2)</f>
        <v>1.6174658890065736</v>
      </c>
      <c r="O392" s="8">
        <f>SQRT((C392-Sheet2!$C$526)^2+(D392-Sheet2!$D$526)^2+(E392-Sheet2!$E$526)^2+(F392-Sheet2!$F$526)^2+(G392-Sheet2!$G$526)^2+(H392-Sheet2!$H$526)^2+(I392-Sheet2!$I$526)^2+(J392-Sheet2!$J$526)^2+(K392-Sheet2!$K$526)^2+(L392-Sheet2!$L$526)^2)</f>
        <v>4.7206441629032847</v>
      </c>
      <c r="P392" s="12">
        <f t="shared" si="6"/>
        <v>0</v>
      </c>
      <c r="Q392" s="11">
        <f>IF(P392=Sheet1!$M392, 1, 0)</f>
        <v>1</v>
      </c>
    </row>
    <row r="393" spans="1:17" x14ac:dyDescent="0.35">
      <c r="A393" s="6" t="s">
        <v>422</v>
      </c>
      <c r="B393" s="6" t="s">
        <v>429</v>
      </c>
      <c r="C393" s="6">
        <v>0.23979892339013836</v>
      </c>
      <c r="D393" s="6">
        <v>0.39489543446202224</v>
      </c>
      <c r="E393" s="6">
        <v>-0.86601147297125058</v>
      </c>
      <c r="F393" s="6">
        <v>-0.25833390083518176</v>
      </c>
      <c r="G393" s="6">
        <v>-0.17618761801925792</v>
      </c>
      <c r="H393" s="6">
        <v>-0.37716459303769045</v>
      </c>
      <c r="I393" s="6">
        <v>7.0977844458259623E-2</v>
      </c>
      <c r="J393" s="6">
        <v>-0.53882945367622215</v>
      </c>
      <c r="K393" s="6">
        <v>-0.30428802756145118</v>
      </c>
      <c r="L393" s="6">
        <v>-0.37473828713492702</v>
      </c>
      <c r="N393" s="8">
        <f>SQRT((C393-Sheet2!$C$525)^2+(D393-Sheet2!$D$525)^2+(E393-Sheet2!$E$525)^2+(F393-Sheet2!$F$525)^2+(G393-Sheet2!$G$525)^2+(H393-Sheet2!$H$525)^2+(I393-Sheet2!$I$525)^2+(J393-Sheet2!$J$525)^2+(K393-Sheet2!$K$525)^2+(L393-Sheet2!$L$525)^2)</f>
        <v>1.1010399290852055</v>
      </c>
      <c r="O393" s="8">
        <f>SQRT((C393-Sheet2!$C$526)^2+(D393-Sheet2!$D$526)^2+(E393-Sheet2!$E$526)^2+(F393-Sheet2!$F$526)^2+(G393-Sheet2!$G$526)^2+(H393-Sheet2!$H$526)^2+(I393-Sheet2!$I$526)^2+(J393-Sheet2!$J$526)^2+(K393-Sheet2!$K$526)^2+(L393-Sheet2!$L$526)^2)</f>
        <v>4.1704697124061907</v>
      </c>
      <c r="P393" s="12">
        <f t="shared" si="6"/>
        <v>0</v>
      </c>
      <c r="Q393" s="11">
        <f>IF(P393=Sheet1!$M393, 1, 0)</f>
        <v>1</v>
      </c>
    </row>
    <row r="394" spans="1:17" x14ac:dyDescent="0.35">
      <c r="A394" s="6" t="s">
        <v>422</v>
      </c>
      <c r="B394" s="6" t="s">
        <v>430</v>
      </c>
      <c r="C394" s="6">
        <v>0.40352557823910834</v>
      </c>
      <c r="D394" s="6">
        <v>-0.42756655356356671</v>
      </c>
      <c r="E394" s="6">
        <v>-0.2393766787931367</v>
      </c>
      <c r="F394" s="6">
        <v>-0.63271513307843041</v>
      </c>
      <c r="G394" s="6">
        <v>-1.540836696605129</v>
      </c>
      <c r="H394" s="6">
        <v>-0.71219519112583407</v>
      </c>
      <c r="I394" s="6">
        <v>-0.57289295606001955</v>
      </c>
      <c r="J394" s="6">
        <v>-0.79315648316693987</v>
      </c>
      <c r="K394" s="6">
        <v>-0.10085087711214884</v>
      </c>
      <c r="L394" s="6">
        <v>-0.21610174186448539</v>
      </c>
      <c r="N394" s="8">
        <f>SQRT((C394-Sheet2!$C$525)^2+(D394-Sheet2!$D$525)^2+(E394-Sheet2!$E$525)^2+(F394-Sheet2!$F$525)^2+(G394-Sheet2!$G$525)^2+(H394-Sheet2!$H$525)^2+(I394-Sheet2!$I$525)^2+(J394-Sheet2!$J$525)^2+(K394-Sheet2!$K$525)^2+(L394-Sheet2!$L$525)^2)</f>
        <v>1.6437122016772789</v>
      </c>
      <c r="O394" s="8">
        <f>SQRT((C394-Sheet2!$C$526)^2+(D394-Sheet2!$D$526)^2+(E394-Sheet2!$E$526)^2+(F394-Sheet2!$F$526)^2+(G394-Sheet2!$G$526)^2+(H394-Sheet2!$H$526)^2+(I394-Sheet2!$I$526)^2+(J394-Sheet2!$J$526)^2+(K394-Sheet2!$K$526)^2+(L394-Sheet2!$L$526)^2)</f>
        <v>5.1842428405462293</v>
      </c>
      <c r="P394" s="12">
        <f t="shared" si="6"/>
        <v>0</v>
      </c>
      <c r="Q394" s="11">
        <f>IF(P394=Sheet1!$M394, 1, 0)</f>
        <v>1</v>
      </c>
    </row>
    <row r="395" spans="1:17" x14ac:dyDescent="0.35">
      <c r="A395" s="6" t="s">
        <v>422</v>
      </c>
      <c r="B395" s="6" t="s">
        <v>431</v>
      </c>
      <c r="C395" s="6">
        <v>0.58067245069865003</v>
      </c>
      <c r="D395" s="6">
        <v>-2.247333558081379E-2</v>
      </c>
      <c r="E395" s="6">
        <v>-0.99605384942326358</v>
      </c>
      <c r="F395" s="6">
        <v>-0.79910679185320677</v>
      </c>
      <c r="G395" s="6">
        <v>-1.0907928515395726</v>
      </c>
      <c r="H395" s="6">
        <v>-0.32868749685130361</v>
      </c>
      <c r="I395" s="6">
        <v>0.58288700566239682</v>
      </c>
      <c r="J395" s="6">
        <v>-0.61474796994210812</v>
      </c>
      <c r="K395" s="6">
        <v>0.84434942189845885</v>
      </c>
      <c r="L395" s="6">
        <v>-0.37789659003027154</v>
      </c>
      <c r="N395" s="8">
        <f>SQRT((C395-Sheet2!$C$525)^2+(D395-Sheet2!$D$525)^2+(E395-Sheet2!$E$525)^2+(F395-Sheet2!$F$525)^2+(G395-Sheet2!$G$525)^2+(H395-Sheet2!$H$525)^2+(I395-Sheet2!$I$525)^2+(J395-Sheet2!$J$525)^2+(K395-Sheet2!$K$525)^2+(L395-Sheet2!$L$525)^2)</f>
        <v>1.7191984237596249</v>
      </c>
      <c r="O395" s="8">
        <f>SQRT((C395-Sheet2!$C$526)^2+(D395-Sheet2!$D$526)^2+(E395-Sheet2!$E$526)^2+(F395-Sheet2!$F$526)^2+(G395-Sheet2!$G$526)^2+(H395-Sheet2!$H$526)^2+(I395-Sheet2!$I$526)^2+(J395-Sheet2!$J$526)^2+(K395-Sheet2!$K$526)^2+(L395-Sheet2!$L$526)^2)</f>
        <v>5.1496159996987148</v>
      </c>
      <c r="P395" s="12">
        <f t="shared" si="6"/>
        <v>0</v>
      </c>
      <c r="Q395" s="11">
        <f>IF(P395=Sheet1!$M395, 1, 0)</f>
        <v>1</v>
      </c>
    </row>
    <row r="396" spans="1:17" x14ac:dyDescent="0.35">
      <c r="A396" s="6" t="s">
        <v>422</v>
      </c>
      <c r="B396" s="6" t="s">
        <v>432</v>
      </c>
      <c r="C396" s="6">
        <v>0.10425472552336802</v>
      </c>
      <c r="D396" s="6">
        <v>0.23531325768093794</v>
      </c>
      <c r="E396" s="6">
        <v>-0.79343824871899404</v>
      </c>
      <c r="F396" s="6">
        <v>-0.22135797666300996</v>
      </c>
      <c r="G396" s="6">
        <v>0.12577728447634071</v>
      </c>
      <c r="H396" s="6">
        <v>5.9667907041866149E-2</v>
      </c>
      <c r="I396" s="6">
        <v>-0.44985625853523992</v>
      </c>
      <c r="J396" s="6">
        <v>-1.0171161061513034</v>
      </c>
      <c r="K396" s="6">
        <v>0.20273994740450488</v>
      </c>
      <c r="L396" s="6">
        <v>-0.32465267777888246</v>
      </c>
      <c r="N396" s="8">
        <f>SQRT((C396-Sheet2!$C$525)^2+(D396-Sheet2!$D$525)^2+(E396-Sheet2!$E$525)^2+(F396-Sheet2!$F$525)^2+(G396-Sheet2!$G$525)^2+(H396-Sheet2!$H$525)^2+(I396-Sheet2!$I$525)^2+(J396-Sheet2!$J$525)^2+(K396-Sheet2!$K$525)^2+(L396-Sheet2!$L$525)^2)</f>
        <v>1.1729252808690291</v>
      </c>
      <c r="O396" s="8">
        <f>SQRT((C396-Sheet2!$C$526)^2+(D396-Sheet2!$D$526)^2+(E396-Sheet2!$E$526)^2+(F396-Sheet2!$F$526)^2+(G396-Sheet2!$G$526)^2+(H396-Sheet2!$H$526)^2+(I396-Sheet2!$I$526)^2+(J396-Sheet2!$J$526)^2+(K396-Sheet2!$K$526)^2+(L396-Sheet2!$L$526)^2)</f>
        <v>4.3498380477691034</v>
      </c>
      <c r="P396" s="12">
        <f t="shared" si="6"/>
        <v>0</v>
      </c>
      <c r="Q396" s="11">
        <f>IF(P396=Sheet1!$M396, 1, 0)</f>
        <v>1</v>
      </c>
    </row>
    <row r="397" spans="1:17" x14ac:dyDescent="0.35">
      <c r="A397" s="6" t="s">
        <v>422</v>
      </c>
      <c r="B397" s="6" t="s">
        <v>433</v>
      </c>
      <c r="C397" s="6">
        <v>0.25456116276176671</v>
      </c>
      <c r="D397" s="6">
        <v>0.11869551311014578</v>
      </c>
      <c r="E397" s="6">
        <v>-0.96437213731314142</v>
      </c>
      <c r="F397" s="6">
        <v>-0.65890641270038408</v>
      </c>
      <c r="G397" s="6">
        <v>-1.1575735511299463</v>
      </c>
      <c r="H397" s="6">
        <v>-0.83123339398351814</v>
      </c>
      <c r="I397" s="6">
        <v>0.46558777071649221</v>
      </c>
      <c r="J397" s="6">
        <v>-0.64891130226175675</v>
      </c>
      <c r="K397" s="6">
        <v>-1.258877733515871</v>
      </c>
      <c r="L397" s="6">
        <v>-0.42387714321651054</v>
      </c>
      <c r="N397" s="8">
        <f>SQRT((C397-Sheet2!$C$525)^2+(D397-Sheet2!$D$525)^2+(E397-Sheet2!$E$525)^2+(F397-Sheet2!$F$525)^2+(G397-Sheet2!$G$525)^2+(H397-Sheet2!$H$525)^2+(I397-Sheet2!$I$525)^2+(J397-Sheet2!$J$525)^2+(K397-Sheet2!$K$525)^2+(L397-Sheet2!$L$525)^2)</f>
        <v>2.144328136729329</v>
      </c>
      <c r="O397" s="8">
        <f>SQRT((C397-Sheet2!$C$526)^2+(D397-Sheet2!$D$526)^2+(E397-Sheet2!$E$526)^2+(F397-Sheet2!$F$526)^2+(G397-Sheet2!$G$526)^2+(H397-Sheet2!$H$526)^2+(I397-Sheet2!$I$526)^2+(J397-Sheet2!$J$526)^2+(K397-Sheet2!$K$526)^2+(L397-Sheet2!$L$526)^2)</f>
        <v>4.9882889294875801</v>
      </c>
      <c r="P397" s="12">
        <f t="shared" si="6"/>
        <v>0</v>
      </c>
      <c r="Q397" s="11">
        <f>IF(P397=Sheet1!$M397, 1, 0)</f>
        <v>1</v>
      </c>
    </row>
    <row r="398" spans="1:17" x14ac:dyDescent="0.35">
      <c r="A398" s="6" t="s">
        <v>422</v>
      </c>
      <c r="B398" s="6" t="s">
        <v>434</v>
      </c>
      <c r="C398" s="6">
        <v>0.21832657521322421</v>
      </c>
      <c r="D398" s="6">
        <v>0.17393549738052108</v>
      </c>
      <c r="E398" s="6">
        <v>-0.52856439979832148</v>
      </c>
      <c r="F398" s="6">
        <v>-0.22289864017018243</v>
      </c>
      <c r="G398" s="6">
        <v>1.5443954718331364E-2</v>
      </c>
      <c r="H398" s="6">
        <v>0.14423350816700806</v>
      </c>
      <c r="I398" s="6">
        <v>-0.136208304223365</v>
      </c>
      <c r="J398" s="6">
        <v>-0.78936055735364574</v>
      </c>
      <c r="K398" s="6">
        <v>-0.15562241761772946</v>
      </c>
      <c r="L398" s="6">
        <v>-0.27262521080181035</v>
      </c>
      <c r="N398" s="8">
        <f>SQRT((C398-Sheet2!$C$525)^2+(D398-Sheet2!$D$525)^2+(E398-Sheet2!$E$525)^2+(F398-Sheet2!$F$525)^2+(G398-Sheet2!$G$525)^2+(H398-Sheet2!$H$525)^2+(I398-Sheet2!$I$525)^2+(J398-Sheet2!$J$525)^2+(K398-Sheet2!$K$525)^2+(L398-Sheet2!$L$525)^2)</f>
        <v>0.9056768348141212</v>
      </c>
      <c r="O398" s="8">
        <f>SQRT((C398-Sheet2!$C$526)^2+(D398-Sheet2!$D$526)^2+(E398-Sheet2!$E$526)^2+(F398-Sheet2!$F$526)^2+(G398-Sheet2!$G$526)^2+(H398-Sheet2!$H$526)^2+(I398-Sheet2!$I$526)^2+(J398-Sheet2!$J$526)^2+(K398-Sheet2!$K$526)^2+(L398-Sheet2!$L$526)^2)</f>
        <v>4.0090324960314687</v>
      </c>
      <c r="P398" s="12">
        <f t="shared" si="6"/>
        <v>0</v>
      </c>
      <c r="Q398" s="11">
        <f>IF(P398=Sheet1!$M398, 1, 0)</f>
        <v>1</v>
      </c>
    </row>
    <row r="399" spans="1:17" x14ac:dyDescent="0.35">
      <c r="A399" s="6" t="s">
        <v>422</v>
      </c>
      <c r="B399" s="6" t="s">
        <v>435</v>
      </c>
      <c r="C399" s="6">
        <v>-0.68485406997822584</v>
      </c>
      <c r="D399" s="6">
        <v>2.0152683063930339</v>
      </c>
      <c r="E399" s="6">
        <v>1.6832611758897418</v>
      </c>
      <c r="F399" s="6">
        <v>1.813858516313658</v>
      </c>
      <c r="G399" s="6">
        <v>0.41612815226056837</v>
      </c>
      <c r="H399" s="6">
        <v>0.7830539090231784</v>
      </c>
      <c r="I399" s="6">
        <v>0.83469786329083306</v>
      </c>
      <c r="J399" s="6">
        <v>0.96815309420161288</v>
      </c>
      <c r="K399" s="6">
        <v>-0.68768881110052227</v>
      </c>
      <c r="L399" s="6">
        <v>-0.11656280640300744</v>
      </c>
      <c r="N399" s="8">
        <f>SQRT((C399-Sheet2!$C$525)^2+(D399-Sheet2!$D$525)^2+(E399-Sheet2!$E$525)^2+(F399-Sheet2!$F$525)^2+(G399-Sheet2!$G$525)^2+(H399-Sheet2!$H$525)^2+(I399-Sheet2!$I$525)^2+(J399-Sheet2!$J$525)^2+(K399-Sheet2!$K$525)^2+(L399-Sheet2!$L$525)^2)</f>
        <v>4.388974988943585</v>
      </c>
      <c r="O399" s="8">
        <f>SQRT((C399-Sheet2!$C$526)^2+(D399-Sheet2!$D$526)^2+(E399-Sheet2!$E$526)^2+(F399-Sheet2!$F$526)^2+(G399-Sheet2!$G$526)^2+(H399-Sheet2!$H$526)^2+(I399-Sheet2!$I$526)^2+(J399-Sheet2!$J$526)^2+(K399-Sheet2!$K$526)^2+(L399-Sheet2!$L$526)^2)</f>
        <v>1.3339197033360506</v>
      </c>
      <c r="P399" s="12">
        <f t="shared" si="6"/>
        <v>1</v>
      </c>
      <c r="Q399" s="11">
        <f>IF(P399=Sheet1!$M399, 1, 0)</f>
        <v>0</v>
      </c>
    </row>
    <row r="400" spans="1:17" x14ac:dyDescent="0.35">
      <c r="A400" s="6" t="s">
        <v>436</v>
      </c>
      <c r="B400" s="6" t="s">
        <v>437</v>
      </c>
      <c r="C400" s="6">
        <v>2.3733419859939892E-2</v>
      </c>
      <c r="D400" s="6">
        <v>-0.21888216854214865</v>
      </c>
      <c r="E400" s="6">
        <v>-0.46593775958063821</v>
      </c>
      <c r="F400" s="6">
        <v>-0.33382641268670005</v>
      </c>
      <c r="G400" s="6">
        <v>-0.33007357794489894</v>
      </c>
      <c r="H400" s="6">
        <v>-8.7917919125580113E-2</v>
      </c>
      <c r="I400" s="6">
        <v>0.27880148898198187</v>
      </c>
      <c r="J400" s="6">
        <v>-0.85389129617964865</v>
      </c>
      <c r="K400" s="6">
        <v>-6.1728348179590609E-2</v>
      </c>
      <c r="L400" s="6">
        <v>-0.38025839572700249</v>
      </c>
      <c r="N400" s="8">
        <f>SQRT((C400-Sheet2!$C$525)^2+(D400-Sheet2!$D$525)^2+(E400-Sheet2!$E$525)^2+(F400-Sheet2!$F$525)^2+(G400-Sheet2!$G$525)^2+(H400-Sheet2!$H$525)^2+(I400-Sheet2!$I$525)^2+(J400-Sheet2!$J$525)^2+(K400-Sheet2!$K$525)^2+(L400-Sheet2!$L$525)^2)</f>
        <v>0.84108133441623589</v>
      </c>
      <c r="O400" s="8">
        <f>SQRT((C400-Sheet2!$C$526)^2+(D400-Sheet2!$D$526)^2+(E400-Sheet2!$E$526)^2+(F400-Sheet2!$F$526)^2+(G400-Sheet2!$G$526)^2+(H400-Sheet2!$H$526)^2+(I400-Sheet2!$I$526)^2+(J400-Sheet2!$J$526)^2+(K400-Sheet2!$K$526)^2+(L400-Sheet2!$L$526)^2)</f>
        <v>4.2531129521259761</v>
      </c>
      <c r="P400" s="12">
        <f t="shared" si="6"/>
        <v>0</v>
      </c>
      <c r="Q400" s="11">
        <f>IF(P400=Sheet1!$M400, 1, 0)</f>
        <v>1</v>
      </c>
    </row>
    <row r="401" spans="1:17" x14ac:dyDescent="0.35">
      <c r="A401" s="6" t="s">
        <v>436</v>
      </c>
      <c r="B401" s="6" t="s">
        <v>438</v>
      </c>
      <c r="C401" s="6">
        <v>-0.6499615041907405</v>
      </c>
      <c r="D401" s="6">
        <v>-0.37846434532323298</v>
      </c>
      <c r="E401" s="6">
        <v>0.11317446643229245</v>
      </c>
      <c r="F401" s="6">
        <v>-4.7263000352362507E-2</v>
      </c>
      <c r="G401" s="6">
        <v>-0.45202094241427504</v>
      </c>
      <c r="H401" s="6">
        <v>0.8013674786935916</v>
      </c>
      <c r="I401" s="6">
        <v>0.14620235382574223</v>
      </c>
      <c r="J401" s="6">
        <v>-0.72862574434093696</v>
      </c>
      <c r="K401" s="6">
        <v>-0.62665766596573136</v>
      </c>
      <c r="L401" s="6">
        <v>-0.27060079696389028</v>
      </c>
      <c r="N401" s="8">
        <f>SQRT((C401-Sheet2!$C$525)^2+(D401-Sheet2!$D$525)^2+(E401-Sheet2!$E$525)^2+(F401-Sheet2!$F$525)^2+(G401-Sheet2!$G$525)^2+(H401-Sheet2!$H$525)^2+(I401-Sheet2!$I$525)^2+(J401-Sheet2!$J$525)^2+(K401-Sheet2!$K$525)^2+(L401-Sheet2!$L$525)^2)</f>
        <v>1.6956546117172697</v>
      </c>
      <c r="O401" s="8">
        <f>SQRT((C401-Sheet2!$C$526)^2+(D401-Sheet2!$D$526)^2+(E401-Sheet2!$E$526)^2+(F401-Sheet2!$F$526)^2+(G401-Sheet2!$G$526)^2+(H401-Sheet2!$H$526)^2+(I401-Sheet2!$I$526)^2+(J401-Sheet2!$J$526)^2+(K401-Sheet2!$K$526)^2+(L401-Sheet2!$L$526)^2)</f>
        <v>3.7308429913785193</v>
      </c>
      <c r="P401" s="12">
        <f t="shared" si="6"/>
        <v>0</v>
      </c>
      <c r="Q401" s="11">
        <f>IF(P401=Sheet1!$M401, 1, 0)</f>
        <v>1</v>
      </c>
    </row>
    <row r="402" spans="1:17" x14ac:dyDescent="0.35">
      <c r="A402" s="6" t="s">
        <v>436</v>
      </c>
      <c r="B402" s="6" t="s">
        <v>439</v>
      </c>
      <c r="C402" s="6">
        <v>-0.38424119550142821</v>
      </c>
      <c r="D402" s="6">
        <v>-1.0229308284776129</v>
      </c>
      <c r="E402" s="6">
        <v>0.55413969196503932</v>
      </c>
      <c r="F402" s="6">
        <v>-0.14432480130431705</v>
      </c>
      <c r="G402" s="6">
        <v>0.2738562270462942</v>
      </c>
      <c r="H402" s="6">
        <v>3.2197552536246406E-2</v>
      </c>
      <c r="I402" s="6">
        <v>0.77094827908110242</v>
      </c>
      <c r="J402" s="6">
        <v>-0.37560464370456742</v>
      </c>
      <c r="K402" s="6">
        <v>0.7598447594041321</v>
      </c>
      <c r="L402" s="6">
        <v>-0.33040520165835208</v>
      </c>
      <c r="N402" s="8">
        <f>SQRT((C402-Sheet2!$C$525)^2+(D402-Sheet2!$D$525)^2+(E402-Sheet2!$E$525)^2+(F402-Sheet2!$F$525)^2+(G402-Sheet2!$G$525)^2+(H402-Sheet2!$H$525)^2+(I402-Sheet2!$I$525)^2+(J402-Sheet2!$J$525)^2+(K402-Sheet2!$K$525)^2+(L402-Sheet2!$L$525)^2)</f>
        <v>1.7946481746851151</v>
      </c>
      <c r="O402" s="8">
        <f>SQRT((C402-Sheet2!$C$526)^2+(D402-Sheet2!$D$526)^2+(E402-Sheet2!$E$526)^2+(F402-Sheet2!$F$526)^2+(G402-Sheet2!$G$526)^2+(H402-Sheet2!$H$526)^2+(I402-Sheet2!$I$526)^2+(J402-Sheet2!$J$526)^2+(K402-Sheet2!$K$526)^2+(L402-Sheet2!$L$526)^2)</f>
        <v>3.937463605038146</v>
      </c>
      <c r="P402" s="12">
        <f t="shared" si="6"/>
        <v>0</v>
      </c>
      <c r="Q402" s="11">
        <f>IF(P402=Sheet1!$M402, 1, 0)</f>
        <v>1</v>
      </c>
    </row>
    <row r="403" spans="1:17" x14ac:dyDescent="0.35">
      <c r="A403" s="6" t="s">
        <v>436</v>
      </c>
      <c r="B403" s="6" t="s">
        <v>440</v>
      </c>
      <c r="C403" s="6">
        <v>0.26932340213339512</v>
      </c>
      <c r="D403" s="6">
        <v>-1.1272730209883219</v>
      </c>
      <c r="E403" s="6">
        <v>-0.40883699938216223</v>
      </c>
      <c r="F403" s="6">
        <v>-0.82683873498233507</v>
      </c>
      <c r="G403" s="6">
        <v>-0.91948583954688146</v>
      </c>
      <c r="H403" s="6">
        <v>0.23041501249836371</v>
      </c>
      <c r="I403" s="6">
        <v>0.85446023439584973</v>
      </c>
      <c r="J403" s="6">
        <v>-1.0171161061513034</v>
      </c>
      <c r="K403" s="6">
        <v>-0.32463174260638072</v>
      </c>
      <c r="L403" s="6">
        <v>-0.31145544697133976</v>
      </c>
      <c r="N403" s="8">
        <f>SQRT((C403-Sheet2!$C$525)^2+(D403-Sheet2!$D$525)^2+(E403-Sheet2!$E$525)^2+(F403-Sheet2!$F$525)^2+(G403-Sheet2!$G$525)^2+(H403-Sheet2!$H$525)^2+(I403-Sheet2!$I$525)^2+(J403-Sheet2!$J$525)^2+(K403-Sheet2!$K$525)^2+(L403-Sheet2!$L$525)^2)</f>
        <v>1.8617435449640474</v>
      </c>
      <c r="O403" s="8">
        <f>SQRT((C403-Sheet2!$C$526)^2+(D403-Sheet2!$D$526)^2+(E403-Sheet2!$E$526)^2+(F403-Sheet2!$F$526)^2+(G403-Sheet2!$G$526)^2+(H403-Sheet2!$H$526)^2+(I403-Sheet2!$I$526)^2+(J403-Sheet2!$J$526)^2+(K403-Sheet2!$K$526)^2+(L403-Sheet2!$L$526)^2)</f>
        <v>5.045547024168938</v>
      </c>
      <c r="P403" s="12">
        <f t="shared" si="6"/>
        <v>0</v>
      </c>
      <c r="Q403" s="11">
        <f>IF(P403=Sheet1!$M403, 1, 0)</f>
        <v>1</v>
      </c>
    </row>
    <row r="404" spans="1:17" x14ac:dyDescent="0.35">
      <c r="A404" s="6" t="s">
        <v>436</v>
      </c>
      <c r="B404" s="6" t="s">
        <v>441</v>
      </c>
      <c r="C404" s="6">
        <v>-0.53991571978405561</v>
      </c>
      <c r="D404" s="6">
        <v>-0.58101095431460936</v>
      </c>
      <c r="E404" s="6">
        <v>8.0387578318328823E-2</v>
      </c>
      <c r="F404" s="6">
        <v>-0.33998906671539642</v>
      </c>
      <c r="G404" s="6">
        <v>-0.68430163664165644</v>
      </c>
      <c r="H404" s="6">
        <v>0.69741103909389479</v>
      </c>
      <c r="I404" s="6">
        <v>0.75883585808125376</v>
      </c>
      <c r="J404" s="6">
        <v>-0.4287476050906876</v>
      </c>
      <c r="K404" s="6">
        <v>-0.56719142198824135</v>
      </c>
      <c r="L404" s="6">
        <v>-0.31459600999623583</v>
      </c>
      <c r="N404" s="8">
        <f>SQRT((C404-Sheet2!$C$525)^2+(D404-Sheet2!$D$525)^2+(E404-Sheet2!$E$525)^2+(F404-Sheet2!$F$525)^2+(G404-Sheet2!$G$525)^2+(H404-Sheet2!$H$525)^2+(I404-Sheet2!$I$525)^2+(J404-Sheet2!$J$525)^2+(K404-Sheet2!$K$525)^2+(L404-Sheet2!$L$525)^2)</f>
        <v>1.7745703015033292</v>
      </c>
      <c r="O404" s="8">
        <f>SQRT((C404-Sheet2!$C$526)^2+(D404-Sheet2!$D$526)^2+(E404-Sheet2!$E$526)^2+(F404-Sheet2!$F$526)^2+(G404-Sheet2!$G$526)^2+(H404-Sheet2!$H$526)^2+(I404-Sheet2!$I$526)^2+(J404-Sheet2!$J$526)^2+(K404-Sheet2!$K$526)^2+(L404-Sheet2!$L$526)^2)</f>
        <v>3.8853168544582468</v>
      </c>
      <c r="P404" s="12">
        <f t="shared" si="6"/>
        <v>0</v>
      </c>
      <c r="Q404" s="11">
        <f>IF(P404=Sheet1!$M404, 1, 0)</f>
        <v>1</v>
      </c>
    </row>
    <row r="405" spans="1:17" x14ac:dyDescent="0.35">
      <c r="A405" s="6" t="s">
        <v>436</v>
      </c>
      <c r="B405" s="6" t="s">
        <v>442</v>
      </c>
      <c r="C405" s="6">
        <v>-0.63519926481911193</v>
      </c>
      <c r="D405" s="6">
        <v>-0.14522885618164863</v>
      </c>
      <c r="E405" s="6">
        <v>-0.30237171101210053</v>
      </c>
      <c r="F405" s="6">
        <v>5.5961454628286257E-2</v>
      </c>
      <c r="G405" s="6">
        <v>0.2303035968786625</v>
      </c>
      <c r="H405" s="6">
        <v>1.0771482925539284</v>
      </c>
      <c r="I405" s="6">
        <v>0.65811151502987852</v>
      </c>
      <c r="J405" s="6">
        <v>-0.28829834999879883</v>
      </c>
      <c r="K405" s="6">
        <v>-8.989656901103138E-2</v>
      </c>
      <c r="L405" s="6">
        <v>-0.14460149699993666</v>
      </c>
      <c r="N405" s="8">
        <f>SQRT((C405-Sheet2!$C$525)^2+(D405-Sheet2!$D$525)^2+(E405-Sheet2!$E$525)^2+(F405-Sheet2!$F$525)^2+(G405-Sheet2!$G$525)^2+(H405-Sheet2!$H$525)^2+(I405-Sheet2!$I$525)^2+(J405-Sheet2!$J$525)^2+(K405-Sheet2!$K$525)^2+(L405-Sheet2!$L$525)^2)</f>
        <v>1.8301360779985028</v>
      </c>
      <c r="O405" s="8">
        <f>SQRT((C405-Sheet2!$C$526)^2+(D405-Sheet2!$D$526)^2+(E405-Sheet2!$E$526)^2+(F405-Sheet2!$F$526)^2+(G405-Sheet2!$G$526)^2+(H405-Sheet2!$H$526)^2+(I405-Sheet2!$I$526)^2+(J405-Sheet2!$J$526)^2+(K405-Sheet2!$K$526)^2+(L405-Sheet2!$L$526)^2)</f>
        <v>3.3045480993367264</v>
      </c>
      <c r="P405" s="12">
        <f t="shared" si="6"/>
        <v>0</v>
      </c>
      <c r="Q405" s="11">
        <f>IF(P405=Sheet1!$M405, 1, 0)</f>
        <v>1</v>
      </c>
    </row>
    <row r="406" spans="1:17" x14ac:dyDescent="0.35">
      <c r="A406" s="6" t="s">
        <v>436</v>
      </c>
      <c r="B406" s="6" t="s">
        <v>443</v>
      </c>
      <c r="C406" s="6">
        <v>-0.46073643588168478</v>
      </c>
      <c r="D406" s="6">
        <v>-0.40301544944339984</v>
      </c>
      <c r="E406" s="6">
        <v>-0.30200331901082006</v>
      </c>
      <c r="F406" s="6">
        <v>-0.33536707619387468</v>
      </c>
      <c r="G406" s="6">
        <v>-0.66107356721891863</v>
      </c>
      <c r="H406" s="6">
        <v>0.53474344966846132</v>
      </c>
      <c r="I406" s="6">
        <v>0.20867694635127762</v>
      </c>
      <c r="J406" s="6">
        <v>-0.92980981244553462</v>
      </c>
      <c r="K406" s="6">
        <v>0.38270358049427139</v>
      </c>
      <c r="L406" s="6">
        <v>-0.30062169346198359</v>
      </c>
      <c r="N406" s="8">
        <f>SQRT((C406-Sheet2!$C$525)^2+(D406-Sheet2!$D$525)^2+(E406-Sheet2!$E$525)^2+(F406-Sheet2!$F$525)^2+(G406-Sheet2!$G$525)^2+(H406-Sheet2!$H$525)^2+(I406-Sheet2!$I$525)^2+(J406-Sheet2!$J$525)^2+(K406-Sheet2!$K$525)^2+(L406-Sheet2!$L$525)^2)</f>
        <v>1.3348058034675467</v>
      </c>
      <c r="O406" s="8">
        <f>SQRT((C406-Sheet2!$C$526)^2+(D406-Sheet2!$D$526)^2+(E406-Sheet2!$E$526)^2+(F406-Sheet2!$F$526)^2+(G406-Sheet2!$G$526)^2+(H406-Sheet2!$H$526)^2+(I406-Sheet2!$I$526)^2+(J406-Sheet2!$J$526)^2+(K406-Sheet2!$K$526)^2+(L406-Sheet2!$L$526)^2)</f>
        <v>4.3297575336451928</v>
      </c>
      <c r="P406" s="12">
        <f t="shared" si="6"/>
        <v>0</v>
      </c>
      <c r="Q406" s="11">
        <f>IF(P406=Sheet1!$M406, 1, 0)</f>
        <v>1</v>
      </c>
    </row>
    <row r="407" spans="1:17" x14ac:dyDescent="0.35">
      <c r="A407" s="6" t="s">
        <v>436</v>
      </c>
      <c r="B407" s="6" t="s">
        <v>444</v>
      </c>
      <c r="C407" s="6">
        <v>-0.36276884732451409</v>
      </c>
      <c r="D407" s="6">
        <v>-0.26184660075244082</v>
      </c>
      <c r="E407" s="6">
        <v>0.26053126694448853</v>
      </c>
      <c r="F407" s="6">
        <v>7.4449416714371067E-2</v>
      </c>
      <c r="G407" s="6">
        <v>-0.17909112669709756</v>
      </c>
      <c r="H407" s="6">
        <v>0.56760014819479043</v>
      </c>
      <c r="I407" s="6">
        <v>-0.11198346222366763</v>
      </c>
      <c r="J407" s="6">
        <v>0.47088681266006011</v>
      </c>
      <c r="K407" s="6">
        <v>-1.5421248429875929</v>
      </c>
      <c r="L407" s="6">
        <v>-0.19982868079841778</v>
      </c>
      <c r="N407" s="8">
        <f>SQRT((C407-Sheet2!$C$525)^2+(D407-Sheet2!$D$525)^2+(E407-Sheet2!$E$525)^2+(F407-Sheet2!$F$525)^2+(G407-Sheet2!$G$525)^2+(H407-Sheet2!$H$525)^2+(I407-Sheet2!$I$525)^2+(J407-Sheet2!$J$525)^2+(K407-Sheet2!$K$525)^2+(L407-Sheet2!$L$525)^2)</f>
        <v>2.1717829496941476</v>
      </c>
      <c r="O407" s="8">
        <f>SQRT((C407-Sheet2!$C$526)^2+(D407-Sheet2!$D$526)^2+(E407-Sheet2!$E$526)^2+(F407-Sheet2!$F$526)^2+(G407-Sheet2!$G$526)^2+(H407-Sheet2!$H$526)^2+(I407-Sheet2!$I$526)^2+(J407-Sheet2!$J$526)^2+(K407-Sheet2!$K$526)^2+(L407-Sheet2!$L$526)^2)</f>
        <v>3.2115548013734156</v>
      </c>
      <c r="P407" s="12">
        <f t="shared" si="6"/>
        <v>0</v>
      </c>
      <c r="Q407" s="11">
        <f>IF(P407=Sheet1!$M407, 1, 0)</f>
        <v>1</v>
      </c>
    </row>
    <row r="408" spans="1:17" x14ac:dyDescent="0.35">
      <c r="A408" s="6" t="s">
        <v>436</v>
      </c>
      <c r="B408" s="6" t="s">
        <v>445</v>
      </c>
      <c r="C408" s="6">
        <v>0.26932340213339512</v>
      </c>
      <c r="D408" s="6">
        <v>-0.31708658502281611</v>
      </c>
      <c r="E408" s="6">
        <v>0.43993817156808729</v>
      </c>
      <c r="F408" s="6">
        <v>-0.11043020414649235</v>
      </c>
      <c r="G408" s="6">
        <v>-0.83528408788945363</v>
      </c>
      <c r="H408" s="6">
        <v>0.49272996630692556</v>
      </c>
      <c r="I408" s="6">
        <v>0.26796405966632758</v>
      </c>
      <c r="J408" s="6">
        <v>0.30386607687511136</v>
      </c>
      <c r="K408" s="6">
        <v>-0.78784248516786914</v>
      </c>
      <c r="L408" s="6">
        <v>-9.3264234263914961E-2</v>
      </c>
      <c r="N408" s="8">
        <f>SQRT((C408-Sheet2!$C$525)^2+(D408-Sheet2!$D$525)^2+(E408-Sheet2!$E$525)^2+(F408-Sheet2!$F$525)^2+(G408-Sheet2!$G$525)^2+(H408-Sheet2!$H$525)^2+(I408-Sheet2!$I$525)^2+(J408-Sheet2!$J$525)^2+(K408-Sheet2!$K$525)^2+(L408-Sheet2!$L$525)^2)</f>
        <v>1.6898820174063982</v>
      </c>
      <c r="O408" s="8">
        <f>SQRT((C408-Sheet2!$C$526)^2+(D408-Sheet2!$D$526)^2+(E408-Sheet2!$E$526)^2+(F408-Sheet2!$F$526)^2+(G408-Sheet2!$G$526)^2+(H408-Sheet2!$H$526)^2+(I408-Sheet2!$I$526)^2+(J408-Sheet2!$J$526)^2+(K408-Sheet2!$K$526)^2+(L408-Sheet2!$L$526)^2)</f>
        <v>3.4936861142049049</v>
      </c>
      <c r="P408" s="12">
        <f t="shared" si="6"/>
        <v>0</v>
      </c>
      <c r="Q408" s="11">
        <f>IF(P408=Sheet1!$M408, 1, 0)</f>
        <v>1</v>
      </c>
    </row>
    <row r="409" spans="1:17" x14ac:dyDescent="0.35">
      <c r="A409" s="6" t="s">
        <v>436</v>
      </c>
      <c r="B409" s="6" t="s">
        <v>446</v>
      </c>
      <c r="C409" s="6">
        <v>-0.4822087840585989</v>
      </c>
      <c r="D409" s="6">
        <v>-0.12067775206148122</v>
      </c>
      <c r="E409" s="6">
        <v>0.25500538692528119</v>
      </c>
      <c r="F409" s="6">
        <v>0.18537718923088869</v>
      </c>
      <c r="G409" s="6">
        <v>-0.17038060066357452</v>
      </c>
      <c r="H409" s="6">
        <v>0.90047620867465017</v>
      </c>
      <c r="I409" s="6">
        <v>0.75692337055496173</v>
      </c>
      <c r="J409" s="6">
        <v>0.63790754844500919</v>
      </c>
      <c r="K409" s="6">
        <v>-1.7721653131110351</v>
      </c>
      <c r="L409" s="6">
        <v>-0.35300216087645908</v>
      </c>
      <c r="N409" s="8">
        <f>SQRT((C409-Sheet2!$C$525)^2+(D409-Sheet2!$D$525)^2+(E409-Sheet2!$E$525)^2+(F409-Sheet2!$F$525)^2+(G409-Sheet2!$G$525)^2+(H409-Sheet2!$H$525)^2+(I409-Sheet2!$I$525)^2+(J409-Sheet2!$J$525)^2+(K409-Sheet2!$K$525)^2+(L409-Sheet2!$L$525)^2)</f>
        <v>2.7553342064286901</v>
      </c>
      <c r="O409" s="8">
        <f>SQRT((C409-Sheet2!$C$526)^2+(D409-Sheet2!$D$526)^2+(E409-Sheet2!$E$526)^2+(F409-Sheet2!$F$526)^2+(G409-Sheet2!$G$526)^2+(H409-Sheet2!$H$526)^2+(I409-Sheet2!$I$526)^2+(J409-Sheet2!$J$526)^2+(K409-Sheet2!$K$526)^2+(L409-Sheet2!$L$526)^2)</f>
        <v>3.045009519945856</v>
      </c>
      <c r="P409" s="12">
        <f t="shared" si="6"/>
        <v>0</v>
      </c>
      <c r="Q409" s="11">
        <f>IF(P409=Sheet1!$M409, 1, 0)</f>
        <v>1</v>
      </c>
    </row>
    <row r="410" spans="1:17" x14ac:dyDescent="0.35">
      <c r="A410" s="6" t="s">
        <v>436</v>
      </c>
      <c r="B410" s="6" t="s">
        <v>447</v>
      </c>
      <c r="C410" s="6">
        <v>-0.23527678002408661</v>
      </c>
      <c r="D410" s="6">
        <v>-0.74059313109569369</v>
      </c>
      <c r="E410" s="6">
        <v>-0.47698951961905289</v>
      </c>
      <c r="F410" s="6">
        <v>-0.54335664966234465</v>
      </c>
      <c r="G410" s="6">
        <v>-0.71043321474223786</v>
      </c>
      <c r="H410" s="6">
        <v>0.91986704714920509</v>
      </c>
      <c r="I410" s="6">
        <v>0.31577624782362557</v>
      </c>
      <c r="J410" s="6">
        <v>-0.34523723719821309</v>
      </c>
      <c r="K410" s="6">
        <v>-0.59379474166238111</v>
      </c>
      <c r="L410" s="6">
        <v>2.736809669632179E-2</v>
      </c>
      <c r="N410" s="8">
        <f>SQRT((C410-Sheet2!$C$525)^2+(D410-Sheet2!$D$525)^2+(E410-Sheet2!$E$525)^2+(F410-Sheet2!$F$525)^2+(G410-Sheet2!$G$525)^2+(H410-Sheet2!$H$525)^2+(I410-Sheet2!$I$525)^2+(J410-Sheet2!$J$525)^2+(K410-Sheet2!$K$525)^2+(L410-Sheet2!$L$525)^2)</f>
        <v>1.6447098830568303</v>
      </c>
      <c r="O410" s="8">
        <f>SQRT((C410-Sheet2!$C$526)^2+(D410-Sheet2!$D$526)^2+(E410-Sheet2!$E$526)^2+(F410-Sheet2!$F$526)^2+(G410-Sheet2!$G$526)^2+(H410-Sheet2!$H$526)^2+(I410-Sheet2!$I$526)^2+(J410-Sheet2!$J$526)^2+(K410-Sheet2!$K$526)^2+(L410-Sheet2!$L$526)^2)</f>
        <v>4.2354642855458398</v>
      </c>
      <c r="P410" s="12">
        <f t="shared" si="6"/>
        <v>0</v>
      </c>
      <c r="Q410" s="11">
        <f>IF(P410=Sheet1!$M410, 1, 0)</f>
        <v>1</v>
      </c>
    </row>
    <row r="411" spans="1:17" x14ac:dyDescent="0.35">
      <c r="A411" s="6" t="s">
        <v>436</v>
      </c>
      <c r="B411" s="6" t="s">
        <v>448</v>
      </c>
      <c r="C411" s="6">
        <v>-0.63654128658016906</v>
      </c>
      <c r="D411" s="6">
        <v>-0.37846434532323298</v>
      </c>
      <c r="E411" s="6">
        <v>-0.28247854294295405</v>
      </c>
      <c r="F411" s="6">
        <v>-0.14432480130431705</v>
      </c>
      <c r="G411" s="6">
        <v>4.4479041496756612E-2</v>
      </c>
      <c r="H411" s="6">
        <v>0.81806514515779172</v>
      </c>
      <c r="I411" s="6">
        <v>0.72951104934477717</v>
      </c>
      <c r="J411" s="6">
        <v>-0.43254353090398201</v>
      </c>
      <c r="K411" s="6">
        <v>-1.6469732205268492</v>
      </c>
      <c r="L411" s="6">
        <v>-0.30043069210065393</v>
      </c>
      <c r="N411" s="8">
        <f>SQRT((C411-Sheet2!$C$525)^2+(D411-Sheet2!$D$525)^2+(E411-Sheet2!$E$525)^2+(F411-Sheet2!$F$525)^2+(G411-Sheet2!$G$525)^2+(H411-Sheet2!$H$525)^2+(I411-Sheet2!$I$525)^2+(J411-Sheet2!$J$525)^2+(K411-Sheet2!$K$525)^2+(L411-Sheet2!$L$525)^2)</f>
        <v>2.4099808542067538</v>
      </c>
      <c r="O411" s="8">
        <f>SQRT((C411-Sheet2!$C$526)^2+(D411-Sheet2!$D$526)^2+(E411-Sheet2!$E$526)^2+(F411-Sheet2!$F$526)^2+(G411-Sheet2!$G$526)^2+(H411-Sheet2!$H$526)^2+(I411-Sheet2!$I$526)^2+(J411-Sheet2!$J$526)^2+(K411-Sheet2!$K$526)^2+(L411-Sheet2!$L$526)^2)</f>
        <v>3.7353080904275395</v>
      </c>
      <c r="P411" s="12">
        <f t="shared" si="6"/>
        <v>0</v>
      </c>
      <c r="Q411" s="11">
        <f>IF(P411=Sheet1!$M411, 1, 0)</f>
        <v>1</v>
      </c>
    </row>
    <row r="412" spans="1:17" x14ac:dyDescent="0.35">
      <c r="A412" s="6" t="s">
        <v>436</v>
      </c>
      <c r="B412" s="6" t="s">
        <v>449</v>
      </c>
      <c r="C412" s="6">
        <v>-0.78013761501328227</v>
      </c>
      <c r="D412" s="6">
        <v>-0.85107309963644484</v>
      </c>
      <c r="E412" s="6">
        <v>0.80317268483065063</v>
      </c>
      <c r="F412" s="6">
        <v>-4.7263000352362507E-2</v>
      </c>
      <c r="G412" s="6">
        <v>-0.63203848044049338</v>
      </c>
      <c r="H412" s="6">
        <v>0.96026462730452788</v>
      </c>
      <c r="I412" s="6">
        <v>0.17425217087802358</v>
      </c>
      <c r="J412" s="6">
        <v>-0.28070649837221007</v>
      </c>
      <c r="K412" s="6">
        <v>-0.76436896780833552</v>
      </c>
      <c r="L412" s="6">
        <v>-0.17540938346336432</v>
      </c>
      <c r="N412" s="8">
        <f>SQRT((C412-Sheet2!$C$525)^2+(D412-Sheet2!$D$525)^2+(E412-Sheet2!$E$525)^2+(F412-Sheet2!$F$525)^2+(G412-Sheet2!$G$525)^2+(H412-Sheet2!$H$525)^2+(I412-Sheet2!$I$525)^2+(J412-Sheet2!$J$525)^2+(K412-Sheet2!$K$525)^2+(L412-Sheet2!$L$525)^2)</f>
        <v>2.2250848928681637</v>
      </c>
      <c r="O412" s="8">
        <f>SQRT((C412-Sheet2!$C$526)^2+(D412-Sheet2!$D$526)^2+(E412-Sheet2!$E$526)^2+(F412-Sheet2!$F$526)^2+(G412-Sheet2!$G$526)^2+(H412-Sheet2!$H$526)^2+(I412-Sheet2!$I$526)^2+(J412-Sheet2!$J$526)^2+(K412-Sheet2!$K$526)^2+(L412-Sheet2!$L$526)^2)</f>
        <v>3.6490886875893223</v>
      </c>
      <c r="P412" s="12">
        <f t="shared" si="6"/>
        <v>0</v>
      </c>
      <c r="Q412" s="11">
        <f>IF(P412=Sheet1!$M412, 1, 0)</f>
        <v>1</v>
      </c>
    </row>
    <row r="413" spans="1:17" x14ac:dyDescent="0.35">
      <c r="A413" s="6" t="s">
        <v>436</v>
      </c>
      <c r="B413" s="6" t="s">
        <v>450</v>
      </c>
      <c r="C413" s="6">
        <v>-0.97070470508339501</v>
      </c>
      <c r="D413" s="6">
        <v>-0.30481103296273238</v>
      </c>
      <c r="E413" s="6">
        <v>0.69118151644138159</v>
      </c>
      <c r="F413" s="6">
        <v>0.24854439302501855</v>
      </c>
      <c r="G413" s="6">
        <v>0.10254921505360297</v>
      </c>
      <c r="H413" s="6">
        <v>1.148248033627296</v>
      </c>
      <c r="I413" s="6">
        <v>0.88633502650071505</v>
      </c>
      <c r="J413" s="6">
        <v>-4.9155023761258312E-2</v>
      </c>
      <c r="K413" s="6">
        <v>-1.6845308483021044</v>
      </c>
      <c r="L413" s="6">
        <v>-0.27368302109798315</v>
      </c>
      <c r="N413" s="8">
        <f>SQRT((C413-Sheet2!$C$525)^2+(D413-Sheet2!$D$525)^2+(E413-Sheet2!$E$525)^2+(F413-Sheet2!$F$525)^2+(G413-Sheet2!$G$525)^2+(H413-Sheet2!$H$525)^2+(I413-Sheet2!$I$525)^2+(J413-Sheet2!$J$525)^2+(K413-Sheet2!$K$525)^2+(L413-Sheet2!$L$525)^2)</f>
        <v>3.0050830498568244</v>
      </c>
      <c r="O413" s="8">
        <f>SQRT((C413-Sheet2!$C$526)^2+(D413-Sheet2!$D$526)^2+(E413-Sheet2!$E$526)^2+(F413-Sheet2!$F$526)^2+(G413-Sheet2!$G$526)^2+(H413-Sheet2!$H$526)^2+(I413-Sheet2!$I$526)^2+(J413-Sheet2!$J$526)^2+(K413-Sheet2!$K$526)^2+(L413-Sheet2!$L$526)^2)</f>
        <v>3.0450636801698536</v>
      </c>
      <c r="P413" s="12">
        <f t="shared" si="6"/>
        <v>0</v>
      </c>
      <c r="Q413" s="11">
        <f>IF(P413=Sheet1!$M413, 1, 0)</f>
        <v>1</v>
      </c>
    </row>
    <row r="414" spans="1:17" x14ac:dyDescent="0.35">
      <c r="A414" s="6" t="s">
        <v>436</v>
      </c>
      <c r="B414" s="6" t="s">
        <v>451</v>
      </c>
      <c r="C414" s="6">
        <v>-0.46476250116485612</v>
      </c>
      <c r="D414" s="6">
        <v>-0.34777546517302454</v>
      </c>
      <c r="E414" s="6">
        <v>0.60092547612766156</v>
      </c>
      <c r="F414" s="6">
        <v>0.23467842146045328</v>
      </c>
      <c r="G414" s="6">
        <v>3.2865006785385689E-2</v>
      </c>
      <c r="H414" s="6">
        <v>0.94356696084032765</v>
      </c>
      <c r="I414" s="6">
        <v>0.42925050771694617</v>
      </c>
      <c r="J414" s="6">
        <v>-0.379400569517862</v>
      </c>
      <c r="K414" s="6">
        <v>-1.8285017547739189</v>
      </c>
      <c r="L414" s="6">
        <v>-0.17743181227455573</v>
      </c>
      <c r="N414" s="8">
        <f>SQRT((C414-Sheet2!$C$525)^2+(D414-Sheet2!$D$525)^2+(E414-Sheet2!$E$525)^2+(F414-Sheet2!$F$525)^2+(G414-Sheet2!$G$525)^2+(H414-Sheet2!$H$525)^2+(I414-Sheet2!$I$525)^2+(J414-Sheet2!$J$525)^2+(K414-Sheet2!$K$525)^2+(L414-Sheet2!$L$525)^2)</f>
        <v>2.6721870611175573</v>
      </c>
      <c r="O414" s="8">
        <f>SQRT((C414-Sheet2!$C$526)^2+(D414-Sheet2!$D$526)^2+(E414-Sheet2!$E$526)^2+(F414-Sheet2!$F$526)^2+(G414-Sheet2!$G$526)^2+(H414-Sheet2!$H$526)^2+(I414-Sheet2!$I$526)^2+(J414-Sheet2!$J$526)^2+(K414-Sheet2!$K$526)^2+(L414-Sheet2!$L$526)^2)</f>
        <v>3.2877408410081297</v>
      </c>
      <c r="P414" s="12">
        <f t="shared" si="6"/>
        <v>0</v>
      </c>
      <c r="Q414" s="11">
        <f>IF(P414=Sheet1!$M414, 1, 0)</f>
        <v>1</v>
      </c>
    </row>
    <row r="415" spans="1:17" x14ac:dyDescent="0.35">
      <c r="A415" s="6" t="s">
        <v>436</v>
      </c>
      <c r="B415" s="6" t="s">
        <v>452</v>
      </c>
      <c r="C415" s="6">
        <v>2.6417463382054338E-2</v>
      </c>
      <c r="D415" s="6">
        <v>0.29055324195131327</v>
      </c>
      <c r="E415" s="6">
        <v>0.23879613886893963</v>
      </c>
      <c r="F415" s="6">
        <v>0.45961529350783564</v>
      </c>
      <c r="G415" s="6">
        <v>0.36967201341509293</v>
      </c>
      <c r="H415" s="6">
        <v>0.64139306127851359</v>
      </c>
      <c r="I415" s="6">
        <v>-0.7717916587943795</v>
      </c>
      <c r="J415" s="6">
        <v>-1.0322998094044806</v>
      </c>
      <c r="K415" s="6">
        <v>0.49694136497734204</v>
      </c>
      <c r="L415" s="6">
        <v>-0.35688073594403807</v>
      </c>
      <c r="N415" s="8">
        <f>SQRT((C415-Sheet2!$C$525)^2+(D415-Sheet2!$D$525)^2+(E415-Sheet2!$E$525)^2+(F415-Sheet2!$F$525)^2+(G415-Sheet2!$G$525)^2+(H415-Sheet2!$H$525)^2+(I415-Sheet2!$I$525)^2+(J415-Sheet2!$J$525)^2+(K415-Sheet2!$K$525)^2+(L415-Sheet2!$L$525)^2)</f>
        <v>1.851616922153835</v>
      </c>
      <c r="O415" s="8">
        <f>SQRT((C415-Sheet2!$C$526)^2+(D415-Sheet2!$D$526)^2+(E415-Sheet2!$E$526)^2+(F415-Sheet2!$F$526)^2+(G415-Sheet2!$G$526)^2+(H415-Sheet2!$H$526)^2+(I415-Sheet2!$I$526)^2+(J415-Sheet2!$J$526)^2+(K415-Sheet2!$K$526)^2+(L415-Sheet2!$L$526)^2)</f>
        <v>3.760187056284467</v>
      </c>
      <c r="P415" s="12">
        <f t="shared" si="6"/>
        <v>0</v>
      </c>
      <c r="Q415" s="11">
        <f>IF(P415=Sheet1!$M415, 1, 0)</f>
        <v>1</v>
      </c>
    </row>
    <row r="416" spans="1:17" x14ac:dyDescent="0.35">
      <c r="A416" s="6" t="s">
        <v>436</v>
      </c>
      <c r="B416" s="6" t="s">
        <v>453</v>
      </c>
      <c r="C416" s="6">
        <v>3.4469593948396965E-2</v>
      </c>
      <c r="D416" s="6">
        <v>-5.3162215731022769E-2</v>
      </c>
      <c r="E416" s="6">
        <v>-7.6915806228440506E-2</v>
      </c>
      <c r="F416" s="6">
        <v>0.14223861103002047</v>
      </c>
      <c r="G416" s="6">
        <v>0.22740008820081875</v>
      </c>
      <c r="H416" s="6">
        <v>0.61122953476253905</v>
      </c>
      <c r="I416" s="6">
        <v>-0.11198346222366763</v>
      </c>
      <c r="J416" s="6">
        <v>-9.8502059334084097E-2</v>
      </c>
      <c r="K416" s="6">
        <v>-0.82070540947121928</v>
      </c>
      <c r="L416" s="6">
        <v>-0.24059208226140524</v>
      </c>
      <c r="N416" s="8">
        <f>SQRT((C416-Sheet2!$C$525)^2+(D416-Sheet2!$D$525)^2+(E416-Sheet2!$E$525)^2+(F416-Sheet2!$F$525)^2+(G416-Sheet2!$G$525)^2+(H416-Sheet2!$H$525)^2+(I416-Sheet2!$I$525)^2+(J416-Sheet2!$J$525)^2+(K416-Sheet2!$K$525)^2+(L416-Sheet2!$L$525)^2)</f>
        <v>1.4630573709145811</v>
      </c>
      <c r="O416" s="8">
        <f>SQRT((C416-Sheet2!$C$526)^2+(D416-Sheet2!$D$526)^2+(E416-Sheet2!$E$526)^2+(F416-Sheet2!$F$526)^2+(G416-Sheet2!$G$526)^2+(H416-Sheet2!$H$526)^2+(I416-Sheet2!$I$526)^2+(J416-Sheet2!$J$526)^2+(K416-Sheet2!$K$526)^2+(L416-Sheet2!$L$526)^2)</f>
        <v>3.2358512253104714</v>
      </c>
      <c r="P416" s="12">
        <f t="shared" si="6"/>
        <v>0</v>
      </c>
      <c r="Q416" s="11">
        <f>IF(P416=Sheet1!$M416, 1, 0)</f>
        <v>1</v>
      </c>
    </row>
    <row r="417" spans="1:17" x14ac:dyDescent="0.35">
      <c r="A417" s="6" t="s">
        <v>436</v>
      </c>
      <c r="B417" s="6" t="s">
        <v>454</v>
      </c>
      <c r="C417" s="6">
        <v>-4.2297183908844934E-4</v>
      </c>
      <c r="D417" s="6">
        <v>4.5042200749644663E-2</v>
      </c>
      <c r="E417" s="6">
        <v>-1.0649431536627154</v>
      </c>
      <c r="F417" s="6">
        <v>-6.7291625945624156E-2</v>
      </c>
      <c r="G417" s="6">
        <v>1.0868386568421351</v>
      </c>
      <c r="H417" s="6">
        <v>0.35268502176847366</v>
      </c>
      <c r="I417" s="6">
        <v>-0.86486605174058673</v>
      </c>
      <c r="J417" s="6">
        <v>-0.74760537340740851</v>
      </c>
      <c r="K417" s="6">
        <v>1.3341634841340873</v>
      </c>
      <c r="L417" s="6">
        <v>-0.35904105098030498</v>
      </c>
      <c r="N417" s="8">
        <f>SQRT((C417-Sheet2!$C$525)^2+(D417-Sheet2!$D$525)^2+(E417-Sheet2!$E$525)^2+(F417-Sheet2!$F$525)^2+(G417-Sheet2!$G$525)^2+(H417-Sheet2!$H$525)^2+(I417-Sheet2!$I$525)^2+(J417-Sheet2!$J$525)^2+(K417-Sheet2!$K$525)^2+(L417-Sheet2!$L$525)^2)</f>
        <v>2.2200029994226833</v>
      </c>
      <c r="O417" s="8">
        <f>SQRT((C417-Sheet2!$C$526)^2+(D417-Sheet2!$D$526)^2+(E417-Sheet2!$E$526)^2+(F417-Sheet2!$F$526)^2+(G417-Sheet2!$G$526)^2+(H417-Sheet2!$H$526)^2+(I417-Sheet2!$I$526)^2+(J417-Sheet2!$J$526)^2+(K417-Sheet2!$K$526)^2+(L417-Sheet2!$L$526)^2)</f>
        <v>4.7188295019912472</v>
      </c>
      <c r="P417" s="12">
        <f t="shared" si="6"/>
        <v>0</v>
      </c>
      <c r="Q417" s="11">
        <f>IF(P417=Sheet1!$M417, 1, 0)</f>
        <v>1</v>
      </c>
    </row>
    <row r="418" spans="1:17" x14ac:dyDescent="0.35">
      <c r="A418" s="6" t="s">
        <v>436</v>
      </c>
      <c r="B418" s="6" t="s">
        <v>455</v>
      </c>
      <c r="C418" s="6">
        <v>0.17672390062045304</v>
      </c>
      <c r="D418" s="6">
        <v>-0.35391324120306611</v>
      </c>
      <c r="E418" s="6">
        <v>0.51987923584595364</v>
      </c>
      <c r="F418" s="6">
        <v>1.4363539934590509E-2</v>
      </c>
      <c r="G418" s="6">
        <v>-0.28652094777726311</v>
      </c>
      <c r="H418" s="6">
        <v>0.88970352063323066</v>
      </c>
      <c r="I418" s="6">
        <v>-7.0546232487342347E-2</v>
      </c>
      <c r="J418" s="6">
        <v>-0.4363394567172762</v>
      </c>
      <c r="K418" s="6">
        <v>-1.000669042560987</v>
      </c>
      <c r="L418" s="6">
        <v>-0.28150977253875203</v>
      </c>
      <c r="N418" s="8">
        <f>SQRT((C418-Sheet2!$C$525)^2+(D418-Sheet2!$D$525)^2+(E418-Sheet2!$E$525)^2+(F418-Sheet2!$F$525)^2+(G418-Sheet2!$G$525)^2+(H418-Sheet2!$H$525)^2+(I418-Sheet2!$I$525)^2+(J418-Sheet2!$J$525)^2+(K418-Sheet2!$K$525)^2+(L418-Sheet2!$L$525)^2)</f>
        <v>1.8233971674131213</v>
      </c>
      <c r="O418" s="8">
        <f>SQRT((C418-Sheet2!$C$526)^2+(D418-Sheet2!$D$526)^2+(E418-Sheet2!$E$526)^2+(F418-Sheet2!$F$526)^2+(G418-Sheet2!$G$526)^2+(H418-Sheet2!$H$526)^2+(I418-Sheet2!$I$526)^2+(J418-Sheet2!$J$526)^2+(K418-Sheet2!$K$526)^2+(L418-Sheet2!$L$526)^2)</f>
        <v>3.5561384084568157</v>
      </c>
      <c r="P418" s="12">
        <f t="shared" si="6"/>
        <v>0</v>
      </c>
      <c r="Q418" s="11">
        <f>IF(P418=Sheet1!$M418, 1, 0)</f>
        <v>1</v>
      </c>
    </row>
    <row r="419" spans="1:17" x14ac:dyDescent="0.35">
      <c r="A419" s="6" t="s">
        <v>436</v>
      </c>
      <c r="B419" s="6" t="s">
        <v>456</v>
      </c>
      <c r="C419" s="6">
        <v>-0.7157205704825399</v>
      </c>
      <c r="D419" s="6">
        <v>0.22917548165089638</v>
      </c>
      <c r="E419" s="6">
        <v>0.94353003731851748</v>
      </c>
      <c r="F419" s="6">
        <v>0.52586382431631262</v>
      </c>
      <c r="G419" s="6">
        <v>0.28256675307982132</v>
      </c>
      <c r="H419" s="6">
        <v>0.842842327653056</v>
      </c>
      <c r="I419" s="6">
        <v>-0.38419418679921724</v>
      </c>
      <c r="J419" s="6">
        <v>-3.7767246321375333E-2</v>
      </c>
      <c r="K419" s="6">
        <v>0.57518642284245847</v>
      </c>
      <c r="L419" s="6">
        <v>-0.12398216767400883</v>
      </c>
      <c r="N419" s="8">
        <f>SQRT((C419-Sheet2!$C$525)^2+(D419-Sheet2!$D$525)^2+(E419-Sheet2!$E$525)^2+(F419-Sheet2!$F$525)^2+(G419-Sheet2!$G$525)^2+(H419-Sheet2!$H$525)^2+(I419-Sheet2!$I$525)^2+(J419-Sheet2!$J$525)^2+(K419-Sheet2!$K$525)^2+(L419-Sheet2!$L$525)^2)</f>
        <v>2.23113838155213</v>
      </c>
      <c r="O419" s="8">
        <f>SQRT((C419-Sheet2!$C$526)^2+(D419-Sheet2!$D$526)^2+(E419-Sheet2!$E$526)^2+(F419-Sheet2!$F$526)^2+(G419-Sheet2!$G$526)^2+(H419-Sheet2!$H$526)^2+(I419-Sheet2!$I$526)^2+(J419-Sheet2!$J$526)^2+(K419-Sheet2!$K$526)^2+(L419-Sheet2!$L$526)^2)</f>
        <v>2.7816625516867419</v>
      </c>
      <c r="P419" s="12">
        <f t="shared" si="6"/>
        <v>0</v>
      </c>
      <c r="Q419" s="11">
        <f>IF(P419=Sheet1!$M419, 1, 0)</f>
        <v>1</v>
      </c>
    </row>
    <row r="420" spans="1:17" x14ac:dyDescent="0.35">
      <c r="A420" s="6" t="s">
        <v>436</v>
      </c>
      <c r="B420" s="6" t="s">
        <v>457</v>
      </c>
      <c r="C420" s="6">
        <v>-3.7999581148688066E-2</v>
      </c>
      <c r="D420" s="6">
        <v>-0.11453997603143964</v>
      </c>
      <c r="E420" s="6">
        <v>-0.80706875276637213</v>
      </c>
      <c r="F420" s="6">
        <v>-2.723437475910305E-2</v>
      </c>
      <c r="G420" s="6">
        <v>1.0897421655199746</v>
      </c>
      <c r="H420" s="6">
        <v>0.56113653536993924</v>
      </c>
      <c r="I420" s="6">
        <v>-0.78645406316261779</v>
      </c>
      <c r="J420" s="6">
        <v>-0.92980981244553462</v>
      </c>
      <c r="K420" s="6">
        <v>0.32793203998869075</v>
      </c>
      <c r="L420" s="6">
        <v>-0.34700249072176714</v>
      </c>
      <c r="N420" s="8">
        <f>SQRT((C420-Sheet2!$C$525)^2+(D420-Sheet2!$D$525)^2+(E420-Sheet2!$E$525)^2+(F420-Sheet2!$F$525)^2+(G420-Sheet2!$G$525)^2+(H420-Sheet2!$H$525)^2+(I420-Sheet2!$I$525)^2+(J420-Sheet2!$J$525)^2+(K420-Sheet2!$K$525)^2+(L420-Sheet2!$L$525)^2)</f>
        <v>1.8824142276151568</v>
      </c>
      <c r="O420" s="8">
        <f>SQRT((C420-Sheet2!$C$526)^2+(D420-Sheet2!$D$526)^2+(E420-Sheet2!$E$526)^2+(F420-Sheet2!$F$526)^2+(G420-Sheet2!$G$526)^2+(H420-Sheet2!$H$526)^2+(I420-Sheet2!$I$526)^2+(J420-Sheet2!$J$526)^2+(K420-Sheet2!$K$526)^2+(L420-Sheet2!$L$526)^2)</f>
        <v>4.3282914366474401</v>
      </c>
      <c r="P420" s="12">
        <f t="shared" si="6"/>
        <v>0</v>
      </c>
      <c r="Q420" s="11">
        <f>IF(P420=Sheet1!$M420, 1, 0)</f>
        <v>1</v>
      </c>
    </row>
    <row r="421" spans="1:17" x14ac:dyDescent="0.35">
      <c r="A421" s="6" t="s">
        <v>436</v>
      </c>
      <c r="B421" s="6" t="s">
        <v>458</v>
      </c>
      <c r="C421" s="6">
        <v>-1.0002291838266519</v>
      </c>
      <c r="D421" s="6">
        <v>1.8372728015218238</v>
      </c>
      <c r="E421" s="6">
        <v>2.494828754710662</v>
      </c>
      <c r="F421" s="6">
        <v>1.9617622130023473</v>
      </c>
      <c r="G421" s="6">
        <v>0.71809305475616292</v>
      </c>
      <c r="H421" s="6">
        <v>0.89131942383944363</v>
      </c>
      <c r="I421" s="6">
        <v>0.92075980197396912</v>
      </c>
      <c r="J421" s="6">
        <v>3.082483772206535</v>
      </c>
      <c r="K421" s="6">
        <v>-1.5280407325718715</v>
      </c>
      <c r="L421" s="6">
        <v>2.1803690407938481</v>
      </c>
      <c r="N421" s="8">
        <f>SQRT((C421-Sheet2!$C$525)^2+(D421-Sheet2!$D$525)^2+(E421-Sheet2!$E$525)^2+(F421-Sheet2!$F$525)^2+(G421-Sheet2!$G$525)^2+(H421-Sheet2!$H$525)^2+(I421-Sheet2!$I$525)^2+(J421-Sheet2!$J$525)^2+(K421-Sheet2!$K$525)^2+(L421-Sheet2!$L$525)^2)</f>
        <v>6.4701055325241619</v>
      </c>
      <c r="O421" s="8">
        <f>SQRT((C421-Sheet2!$C$526)^2+(D421-Sheet2!$D$526)^2+(E421-Sheet2!$E$526)^2+(F421-Sheet2!$F$526)^2+(G421-Sheet2!$G$526)^2+(H421-Sheet2!$H$526)^2+(I421-Sheet2!$I$526)^2+(J421-Sheet2!$J$526)^2+(K421-Sheet2!$K$526)^2+(L421-Sheet2!$L$526)^2)</f>
        <v>2.8895265850052918</v>
      </c>
      <c r="P421" s="12">
        <f t="shared" si="6"/>
        <v>1</v>
      </c>
      <c r="Q421" s="11">
        <f>IF(P421=Sheet1!$M421, 1, 0)</f>
        <v>0</v>
      </c>
    </row>
    <row r="422" spans="1:17" x14ac:dyDescent="0.35">
      <c r="A422" s="6" t="s">
        <v>436</v>
      </c>
      <c r="B422" s="6" t="s">
        <v>459</v>
      </c>
      <c r="C422" s="6">
        <v>-0.92239192168533823</v>
      </c>
      <c r="D422" s="6">
        <v>1.3585262711785708</v>
      </c>
      <c r="E422" s="6">
        <v>1.2750828384709587</v>
      </c>
      <c r="F422" s="6">
        <v>1.2761669523099801</v>
      </c>
      <c r="G422" s="6">
        <v>0.48000534317309818</v>
      </c>
      <c r="H422" s="6">
        <v>1.131550367163096</v>
      </c>
      <c r="I422" s="6">
        <v>0.88952250571120139</v>
      </c>
      <c r="J422" s="6">
        <v>0.63031569681842048</v>
      </c>
      <c r="K422" s="6">
        <v>-0.39505229468498598</v>
      </c>
      <c r="L422" s="6">
        <v>-0.35108146990886402</v>
      </c>
      <c r="N422" s="8">
        <f>SQRT((C422-Sheet2!$C$525)^2+(D422-Sheet2!$D$525)^2+(E422-Sheet2!$E$525)^2+(F422-Sheet2!$F$525)^2+(G422-Sheet2!$G$525)^2+(H422-Sheet2!$H$525)^2+(I422-Sheet2!$I$525)^2+(J422-Sheet2!$J$525)^2+(K422-Sheet2!$K$525)^2+(L422-Sheet2!$L$525)^2)</f>
        <v>3.6788312034626247</v>
      </c>
      <c r="O422" s="8">
        <f>SQRT((C422-Sheet2!$C$526)^2+(D422-Sheet2!$D$526)^2+(E422-Sheet2!$E$526)^2+(F422-Sheet2!$F$526)^2+(G422-Sheet2!$G$526)^2+(H422-Sheet2!$H$526)^2+(I422-Sheet2!$I$526)^2+(J422-Sheet2!$J$526)^2+(K422-Sheet2!$K$526)^2+(L422-Sheet2!$L$526)^2)</f>
        <v>1.4112689364410191</v>
      </c>
      <c r="P422" s="12">
        <f t="shared" si="6"/>
        <v>1</v>
      </c>
      <c r="Q422" s="11">
        <f>IF(P422=Sheet1!$M422, 1, 0)</f>
        <v>0</v>
      </c>
    </row>
    <row r="423" spans="1:17" x14ac:dyDescent="0.35">
      <c r="A423" s="6" t="s">
        <v>436</v>
      </c>
      <c r="B423" s="6" t="s">
        <v>460</v>
      </c>
      <c r="C423" s="6">
        <v>-0.55467795915568396</v>
      </c>
      <c r="D423" s="6">
        <v>1.5365217760497798</v>
      </c>
      <c r="E423" s="6">
        <v>1.0286285896143106</v>
      </c>
      <c r="F423" s="6">
        <v>1.3023582319319358</v>
      </c>
      <c r="G423" s="6">
        <v>0.3667685047372492</v>
      </c>
      <c r="H423" s="6">
        <v>0.80190611309566284</v>
      </c>
      <c r="I423" s="6">
        <v>0.70656119902927417</v>
      </c>
      <c r="J423" s="6">
        <v>1.4312560434235169</v>
      </c>
      <c r="K423" s="6">
        <v>-1.4889182036393132</v>
      </c>
      <c r="L423" s="6">
        <v>-0.33841158757055206</v>
      </c>
      <c r="N423" s="8">
        <f>SQRT((C423-Sheet2!$C$525)^2+(D423-Sheet2!$D$525)^2+(E423-Sheet2!$E$525)^2+(F423-Sheet2!$F$525)^2+(G423-Sheet2!$G$525)^2+(H423-Sheet2!$H$525)^2+(I423-Sheet2!$I$525)^2+(J423-Sheet2!$J$525)^2+(K423-Sheet2!$K$525)^2+(L423-Sheet2!$L$525)^2)</f>
        <v>4.0034052277895062</v>
      </c>
      <c r="O423" s="8">
        <f>SQRT((C423-Sheet2!$C$526)^2+(D423-Sheet2!$D$526)^2+(E423-Sheet2!$E$526)^2+(F423-Sheet2!$F$526)^2+(G423-Sheet2!$G$526)^2+(H423-Sheet2!$H$526)^2+(I423-Sheet2!$I$526)^2+(J423-Sheet2!$J$526)^2+(K423-Sheet2!$K$526)^2+(L423-Sheet2!$L$526)^2)</f>
        <v>1.6206816875627867</v>
      </c>
      <c r="P423" s="12">
        <f t="shared" si="6"/>
        <v>1</v>
      </c>
      <c r="Q423" s="11">
        <f>IF(P423=Sheet1!$M423, 1, 0)</f>
        <v>0</v>
      </c>
    </row>
    <row r="424" spans="1:17" x14ac:dyDescent="0.35">
      <c r="A424" s="6" t="s">
        <v>461</v>
      </c>
      <c r="B424" s="6" t="s">
        <v>462</v>
      </c>
      <c r="C424" s="6">
        <v>0.22101061873533842</v>
      </c>
      <c r="D424" s="6">
        <v>-0.31708658502281611</v>
      </c>
      <c r="E424" s="6">
        <v>-1.1054662738035692</v>
      </c>
      <c r="F424" s="6">
        <v>-0.5556819577197375</v>
      </c>
      <c r="G424" s="6">
        <v>-0.36781919075684721</v>
      </c>
      <c r="H424" s="6">
        <v>0.11676315366138909</v>
      </c>
      <c r="I424" s="6">
        <v>0.81876046723840046</v>
      </c>
      <c r="J424" s="6">
        <v>-0.12127761421384972</v>
      </c>
      <c r="K424" s="6">
        <v>-0.78940738632517227</v>
      </c>
      <c r="L424" s="6">
        <v>-0.39944980129945162</v>
      </c>
      <c r="N424" s="8">
        <f>SQRT((C424-Sheet2!$C$525)^2+(D424-Sheet2!$D$525)^2+(E424-Sheet2!$E$525)^2+(F424-Sheet2!$F$525)^2+(G424-Sheet2!$G$525)^2+(H424-Sheet2!$H$525)^2+(I424-Sheet2!$I$525)^2+(J424-Sheet2!$J$525)^2+(K424-Sheet2!$K$525)^2+(L424-Sheet2!$L$525)^2)</f>
        <v>1.6450289252866153</v>
      </c>
      <c r="O424" s="8">
        <f>SQRT((C424-Sheet2!$C$526)^2+(D424-Sheet2!$D$526)^2+(E424-Sheet2!$E$526)^2+(F424-Sheet2!$F$526)^2+(G424-Sheet2!$G$526)^2+(H424-Sheet2!$H$526)^2+(I424-Sheet2!$I$526)^2+(J424-Sheet2!$J$526)^2+(K424-Sheet2!$K$526)^2+(L424-Sheet2!$L$526)^2)</f>
        <v>4.3900202088639535</v>
      </c>
      <c r="P424" s="12">
        <f t="shared" si="6"/>
        <v>0</v>
      </c>
      <c r="Q424" s="11">
        <f>IF(P424=Sheet1!$M424, 1, 0)</f>
        <v>1</v>
      </c>
    </row>
    <row r="425" spans="1:17" x14ac:dyDescent="0.35">
      <c r="A425" s="6" t="s">
        <v>461</v>
      </c>
      <c r="B425" s="6" t="s">
        <v>463</v>
      </c>
      <c r="C425" s="6">
        <v>0.17001379181516729</v>
      </c>
      <c r="D425" s="6">
        <v>1.4353320599436772E-2</v>
      </c>
      <c r="E425" s="6">
        <v>-0.77612382465881091</v>
      </c>
      <c r="F425" s="6">
        <v>-0.11659285817518657</v>
      </c>
      <c r="G425" s="6">
        <v>0.21868956216729157</v>
      </c>
      <c r="H425" s="6">
        <v>0.14261760496079509</v>
      </c>
      <c r="I425" s="6">
        <v>0.44391291208518358</v>
      </c>
      <c r="J425" s="6">
        <v>-3.3971320508081118E-2</v>
      </c>
      <c r="K425" s="6">
        <v>-0.46390794560628812</v>
      </c>
      <c r="L425" s="6">
        <v>-0.34966833982826817</v>
      </c>
      <c r="N425" s="8">
        <f>SQRT((C425-Sheet2!$C$525)^2+(D425-Sheet2!$D$525)^2+(E425-Sheet2!$E$525)^2+(F425-Sheet2!$F$525)^2+(G425-Sheet2!$G$525)^2+(H425-Sheet2!$H$525)^2+(I425-Sheet2!$I$525)^2+(J425-Sheet2!$J$525)^2+(K425-Sheet2!$K$525)^2+(L425-Sheet2!$L$525)^2)</f>
        <v>1.2160766872998896</v>
      </c>
      <c r="O425" s="8">
        <f>SQRT((C425-Sheet2!$C$526)^2+(D425-Sheet2!$D$526)^2+(E425-Sheet2!$E$526)^2+(F425-Sheet2!$F$526)^2+(G425-Sheet2!$G$526)^2+(H425-Sheet2!$H$526)^2+(I425-Sheet2!$I$526)^2+(J425-Sheet2!$J$526)^2+(K425-Sheet2!$K$526)^2+(L425-Sheet2!$L$526)^2)</f>
        <v>3.6884044615742773</v>
      </c>
      <c r="P425" s="12">
        <f t="shared" si="6"/>
        <v>0</v>
      </c>
      <c r="Q425" s="11">
        <f>IF(P425=Sheet1!$M425, 1, 0)</f>
        <v>1</v>
      </c>
    </row>
    <row r="426" spans="1:17" x14ac:dyDescent="0.35">
      <c r="A426" s="6" t="s">
        <v>461</v>
      </c>
      <c r="B426" s="6" t="s">
        <v>464</v>
      </c>
      <c r="C426" s="6">
        <v>0.10157068200125358</v>
      </c>
      <c r="D426" s="6">
        <v>0.47468652285256496</v>
      </c>
      <c r="E426" s="6">
        <v>-6.4022086183623345E-2</v>
      </c>
      <c r="F426" s="6">
        <v>0.23930041198197502</v>
      </c>
      <c r="G426" s="6">
        <v>0.1925579840667101</v>
      </c>
      <c r="H426" s="6">
        <v>0.6742497598048427</v>
      </c>
      <c r="I426" s="6">
        <v>7.416532366874598E-2</v>
      </c>
      <c r="J426" s="6">
        <v>-0.18960427885314726</v>
      </c>
      <c r="K426" s="6">
        <v>8.3807459449527055E-2</v>
      </c>
      <c r="L426" s="6">
        <v>-0.29540686108575182</v>
      </c>
      <c r="N426" s="8">
        <f>SQRT((C426-Sheet2!$C$525)^2+(D426-Sheet2!$D$525)^2+(E426-Sheet2!$E$525)^2+(F426-Sheet2!$F$525)^2+(G426-Sheet2!$G$525)^2+(H426-Sheet2!$H$525)^2+(I426-Sheet2!$I$525)^2+(J426-Sheet2!$J$525)^2+(K426-Sheet2!$K$525)^2+(L426-Sheet2!$L$525)^2)</f>
        <v>1.4084001971935727</v>
      </c>
      <c r="O426" s="8">
        <f>SQRT((C426-Sheet2!$C$526)^2+(D426-Sheet2!$D$526)^2+(E426-Sheet2!$E$526)^2+(F426-Sheet2!$F$526)^2+(G426-Sheet2!$G$526)^2+(H426-Sheet2!$H$526)^2+(I426-Sheet2!$I$526)^2+(J426-Sheet2!$J$526)^2+(K426-Sheet2!$K$526)^2+(L426-Sheet2!$L$526)^2)</f>
        <v>3.1020079204853439</v>
      </c>
      <c r="P426" s="12">
        <f t="shared" si="6"/>
        <v>0</v>
      </c>
      <c r="Q426" s="11">
        <f>IF(P426=Sheet1!$M426, 1, 0)</f>
        <v>1</v>
      </c>
    </row>
    <row r="427" spans="1:17" x14ac:dyDescent="0.35">
      <c r="A427" s="6" t="s">
        <v>461</v>
      </c>
      <c r="B427" s="6" t="s">
        <v>465</v>
      </c>
      <c r="C427" s="6">
        <v>2.1049376337825686E-2</v>
      </c>
      <c r="D427" s="6">
        <v>0.33965545019164695</v>
      </c>
      <c r="E427" s="6">
        <v>0.81054052485626049</v>
      </c>
      <c r="F427" s="6">
        <v>0.55975842147413724</v>
      </c>
      <c r="G427" s="6">
        <v>0.45097025639467292</v>
      </c>
      <c r="H427" s="6">
        <v>0.54659340651402255</v>
      </c>
      <c r="I427" s="6">
        <v>3.5278077300810312E-2</v>
      </c>
      <c r="J427" s="6">
        <v>-0.54642130530281074</v>
      </c>
      <c r="K427" s="6">
        <v>5.72041397753872E-2</v>
      </c>
      <c r="L427" s="6">
        <v>-6.1948013797814845E-2</v>
      </c>
      <c r="N427" s="8">
        <f>SQRT((C427-Sheet2!$C$525)^2+(D427-Sheet2!$D$525)^2+(E427-Sheet2!$E$525)^2+(F427-Sheet2!$F$525)^2+(G427-Sheet2!$G$525)^2+(H427-Sheet2!$H$525)^2+(I427-Sheet2!$I$525)^2+(J427-Sheet2!$J$525)^2+(K427-Sheet2!$K$525)^2+(L427-Sheet2!$L$525)^2)</f>
        <v>1.9016793331063191</v>
      </c>
      <c r="O427" s="8">
        <f>SQRT((C427-Sheet2!$C$526)^2+(D427-Sheet2!$D$526)^2+(E427-Sheet2!$E$526)^2+(F427-Sheet2!$F$526)^2+(G427-Sheet2!$G$526)^2+(H427-Sheet2!$H$526)^2+(I427-Sheet2!$I$526)^2+(J427-Sheet2!$J$526)^2+(K427-Sheet2!$K$526)^2+(L427-Sheet2!$L$526)^2)</f>
        <v>2.7700578557299664</v>
      </c>
      <c r="P427" s="12">
        <f t="shared" si="6"/>
        <v>0</v>
      </c>
      <c r="Q427" s="11">
        <f>IF(P427=Sheet1!$M427, 1, 0)</f>
        <v>1</v>
      </c>
    </row>
    <row r="428" spans="1:17" x14ac:dyDescent="0.35">
      <c r="A428" s="6" t="s">
        <v>461</v>
      </c>
      <c r="B428" s="6" t="s">
        <v>466</v>
      </c>
      <c r="C428" s="6">
        <v>-0.12523099561740172</v>
      </c>
      <c r="D428" s="6">
        <v>-0.20046884045202393</v>
      </c>
      <c r="E428" s="6">
        <v>-0.46630615158191868</v>
      </c>
      <c r="F428" s="6">
        <v>-0.20749200509844473</v>
      </c>
      <c r="G428" s="6">
        <v>0.35225096134803863</v>
      </c>
      <c r="H428" s="6">
        <v>-2.4359059681205286E-2</v>
      </c>
      <c r="I428" s="6">
        <v>0.11815253677345998</v>
      </c>
      <c r="J428" s="6">
        <v>-1.1082183256703664</v>
      </c>
      <c r="K428" s="6">
        <v>0.39365788859538886</v>
      </c>
      <c r="L428" s="6">
        <v>-0.27808146421827878</v>
      </c>
      <c r="N428" s="8">
        <f>SQRT((C428-Sheet2!$C$525)^2+(D428-Sheet2!$D$525)^2+(E428-Sheet2!$E$525)^2+(F428-Sheet2!$F$525)^2+(G428-Sheet2!$G$525)^2+(H428-Sheet2!$H$525)^2+(I428-Sheet2!$I$525)^2+(J428-Sheet2!$J$525)^2+(K428-Sheet2!$K$525)^2+(L428-Sheet2!$L$525)^2)</f>
        <v>1.1634914681107611</v>
      </c>
      <c r="O428" s="8">
        <f>SQRT((C428-Sheet2!$C$526)^2+(D428-Sheet2!$D$526)^2+(E428-Sheet2!$E$526)^2+(F428-Sheet2!$F$526)^2+(G428-Sheet2!$G$526)^2+(H428-Sheet2!$H$526)^2+(I428-Sheet2!$I$526)^2+(J428-Sheet2!$J$526)^2+(K428-Sheet2!$K$526)^2+(L428-Sheet2!$L$526)^2)</f>
        <v>4.2145471266634758</v>
      </c>
      <c r="P428" s="12">
        <f t="shared" si="6"/>
        <v>0</v>
      </c>
      <c r="Q428" s="11">
        <f>IF(P428=Sheet1!$M428, 1, 0)</f>
        <v>1</v>
      </c>
    </row>
    <row r="429" spans="1:17" x14ac:dyDescent="0.35">
      <c r="A429" s="6" t="s">
        <v>461</v>
      </c>
      <c r="B429" s="6" t="s">
        <v>467</v>
      </c>
      <c r="C429" s="6">
        <v>-0.2030682577587154</v>
      </c>
      <c r="D429" s="6">
        <v>-0.24343327266231607</v>
      </c>
      <c r="E429" s="6">
        <v>-0.74223176054100581</v>
      </c>
      <c r="F429" s="6">
        <v>-0.56646660226995338</v>
      </c>
      <c r="G429" s="6">
        <v>-0.16457358330788699</v>
      </c>
      <c r="H429" s="6">
        <v>0.28535572150960242</v>
      </c>
      <c r="I429" s="6">
        <v>0.44136292871679483</v>
      </c>
      <c r="J429" s="6">
        <v>-0.71723796690105412</v>
      </c>
      <c r="K429" s="6">
        <v>0.51728508002227158</v>
      </c>
      <c r="L429" s="6">
        <v>-0.35710339325793472</v>
      </c>
      <c r="N429" s="8">
        <f>SQRT((C429-Sheet2!$C$525)^2+(D429-Sheet2!$D$525)^2+(E429-Sheet2!$E$525)^2+(F429-Sheet2!$F$525)^2+(G429-Sheet2!$G$525)^2+(H429-Sheet2!$H$525)^2+(I429-Sheet2!$I$525)^2+(J429-Sheet2!$J$525)^2+(K429-Sheet2!$K$525)^2+(L429-Sheet2!$L$525)^2)</f>
        <v>1.1678857059756758</v>
      </c>
      <c r="O429" s="8">
        <f>SQRT((C429-Sheet2!$C$526)^2+(D429-Sheet2!$D$526)^2+(E429-Sheet2!$E$526)^2+(F429-Sheet2!$F$526)^2+(G429-Sheet2!$G$526)^2+(H429-Sheet2!$H$526)^2+(I429-Sheet2!$I$526)^2+(J429-Sheet2!$J$526)^2+(K429-Sheet2!$K$526)^2+(L429-Sheet2!$L$526)^2)</f>
        <v>4.3790894559507878</v>
      </c>
      <c r="P429" s="12">
        <f t="shared" si="6"/>
        <v>0</v>
      </c>
      <c r="Q429" s="11">
        <f>IF(P429=Sheet1!$M429, 1, 0)</f>
        <v>1</v>
      </c>
    </row>
    <row r="430" spans="1:17" x14ac:dyDescent="0.35">
      <c r="A430" s="6" t="s">
        <v>461</v>
      </c>
      <c r="B430" s="6" t="s">
        <v>468</v>
      </c>
      <c r="C430" s="6">
        <v>0.35387077307999454</v>
      </c>
      <c r="D430" s="6">
        <v>-0.16977996030181494</v>
      </c>
      <c r="E430" s="6">
        <v>-0.38489151929893034</v>
      </c>
      <c r="F430" s="6">
        <v>-8.7464126730160494E-3</v>
      </c>
      <c r="G430" s="6">
        <v>0.23901412291218965</v>
      </c>
      <c r="H430" s="6">
        <v>0.41947568762527365</v>
      </c>
      <c r="I430" s="6">
        <v>0.57906203060981287</v>
      </c>
      <c r="J430" s="6">
        <v>-1.0474835126576578</v>
      </c>
      <c r="K430" s="6">
        <v>0.18239623235957309</v>
      </c>
      <c r="L430" s="6">
        <v>-0.39163838680203855</v>
      </c>
      <c r="N430" s="8">
        <f>SQRT((C430-Sheet2!$C$525)^2+(D430-Sheet2!$D$525)^2+(E430-Sheet2!$E$525)^2+(F430-Sheet2!$F$525)^2+(G430-Sheet2!$G$525)^2+(H430-Sheet2!$H$525)^2+(I430-Sheet2!$I$525)^2+(J430-Sheet2!$J$525)^2+(K430-Sheet2!$K$525)^2+(L430-Sheet2!$L$525)^2)</f>
        <v>1.3973190168676435</v>
      </c>
      <c r="O430" s="8">
        <f>SQRT((C430-Sheet2!$C$526)^2+(D430-Sheet2!$D$526)^2+(E430-Sheet2!$E$526)^2+(F430-Sheet2!$F$526)^2+(G430-Sheet2!$G$526)^2+(H430-Sheet2!$H$526)^2+(I430-Sheet2!$I$526)^2+(J430-Sheet2!$J$526)^2+(K430-Sheet2!$K$526)^2+(L430-Sheet2!$L$526)^2)</f>
        <v>4.0515519468113554</v>
      </c>
      <c r="P430" s="12">
        <f t="shared" si="6"/>
        <v>0</v>
      </c>
      <c r="Q430" s="11">
        <f>IF(P430=Sheet1!$M430, 1, 0)</f>
        <v>1</v>
      </c>
    </row>
    <row r="431" spans="1:17" x14ac:dyDescent="0.35">
      <c r="A431" s="6" t="s">
        <v>461</v>
      </c>
      <c r="B431" s="6" t="s">
        <v>469</v>
      </c>
      <c r="C431" s="6">
        <v>0.20356433584159561</v>
      </c>
      <c r="D431" s="6">
        <v>-0.13295330412156439</v>
      </c>
      <c r="E431" s="6">
        <v>-2.9761630064537754E-2</v>
      </c>
      <c r="F431" s="6">
        <v>-6.5750962438449509E-2</v>
      </c>
      <c r="G431" s="6">
        <v>0.20417201877808103</v>
      </c>
      <c r="H431" s="6">
        <v>0.48357318147171974</v>
      </c>
      <c r="I431" s="6">
        <v>0.12006502429975198</v>
      </c>
      <c r="J431" s="6">
        <v>-0.71344204108775977</v>
      </c>
      <c r="K431" s="6">
        <v>1.6111509889766009</v>
      </c>
      <c r="L431" s="6">
        <v>-0.32259048574806409</v>
      </c>
      <c r="N431" s="8">
        <f>SQRT((C431-Sheet2!$C$525)^2+(D431-Sheet2!$D$525)^2+(E431-Sheet2!$E$525)^2+(F431-Sheet2!$F$525)^2+(G431-Sheet2!$G$525)^2+(H431-Sheet2!$H$525)^2+(I431-Sheet2!$I$525)^2+(J431-Sheet2!$J$525)^2+(K431-Sheet2!$K$525)^2+(L431-Sheet2!$L$525)^2)</f>
        <v>1.810942844895</v>
      </c>
      <c r="O431" s="8">
        <f>SQRT((C431-Sheet2!$C$526)^2+(D431-Sheet2!$D$526)^2+(E431-Sheet2!$E$526)^2+(F431-Sheet2!$F$526)^2+(G431-Sheet2!$G$526)^2+(H431-Sheet2!$H$526)^2+(I431-Sheet2!$I$526)^2+(J431-Sheet2!$J$526)^2+(K431-Sheet2!$K$526)^2+(L431-Sheet2!$L$526)^2)</f>
        <v>4.2642139873265714</v>
      </c>
      <c r="P431" s="12">
        <f t="shared" si="6"/>
        <v>0</v>
      </c>
      <c r="Q431" s="11">
        <f>IF(P431=Sheet1!$M431, 1, 0)</f>
        <v>1</v>
      </c>
    </row>
    <row r="432" spans="1:17" x14ac:dyDescent="0.35">
      <c r="A432" s="6" t="s">
        <v>461</v>
      </c>
      <c r="B432" s="6" t="s">
        <v>470</v>
      </c>
      <c r="C432" s="6">
        <v>0.35118672955788033</v>
      </c>
      <c r="D432" s="6">
        <v>0.3028287940113964</v>
      </c>
      <c r="E432" s="6">
        <v>-1.0421028495833249</v>
      </c>
      <c r="F432" s="6">
        <v>-0.28452518045713765</v>
      </c>
      <c r="G432" s="6">
        <v>0.36967201341509293</v>
      </c>
      <c r="H432" s="6">
        <v>-0.41863944199715492</v>
      </c>
      <c r="I432" s="6">
        <v>0.4273380201906542</v>
      </c>
      <c r="J432" s="6">
        <v>-0.78176870572705714</v>
      </c>
      <c r="K432" s="6">
        <v>0.96484681101073766</v>
      </c>
      <c r="L432" s="6">
        <v>-0.40999123350424566</v>
      </c>
      <c r="N432" s="8">
        <f>SQRT((C432-Sheet2!$C$525)^2+(D432-Sheet2!$D$525)^2+(E432-Sheet2!$E$525)^2+(F432-Sheet2!$F$525)^2+(G432-Sheet2!$G$525)^2+(H432-Sheet2!$H$525)^2+(I432-Sheet2!$I$525)^2+(J432-Sheet2!$J$525)^2+(K432-Sheet2!$K$525)^2+(L432-Sheet2!$L$525)^2)</f>
        <v>1.6418580715907951</v>
      </c>
      <c r="O432" s="8">
        <f>SQRT((C432-Sheet2!$C$526)^2+(D432-Sheet2!$D$526)^2+(E432-Sheet2!$E$526)^2+(F432-Sheet2!$F$526)^2+(G432-Sheet2!$G$526)^2+(H432-Sheet2!$H$526)^2+(I432-Sheet2!$I$526)^2+(J432-Sheet2!$J$526)^2+(K432-Sheet2!$K$526)^2+(L432-Sheet2!$L$526)^2)</f>
        <v>4.5701057716884508</v>
      </c>
      <c r="P432" s="12">
        <f t="shared" si="6"/>
        <v>0</v>
      </c>
      <c r="Q432" s="11">
        <f>IF(P432=Sheet1!$M432, 1, 0)</f>
        <v>1</v>
      </c>
    </row>
    <row r="433" spans="1:17" x14ac:dyDescent="0.35">
      <c r="A433" s="6" t="s">
        <v>461</v>
      </c>
      <c r="B433" s="6" t="s">
        <v>471</v>
      </c>
      <c r="C433" s="6">
        <v>0.27469148917762376</v>
      </c>
      <c r="D433" s="6">
        <v>0.5299265071229402</v>
      </c>
      <c r="E433" s="6">
        <v>-0.42136232742569885</v>
      </c>
      <c r="F433" s="6">
        <v>4.6717473585242759E-2</v>
      </c>
      <c r="G433" s="6">
        <v>-3.6819201482827475E-2</v>
      </c>
      <c r="H433" s="6">
        <v>-3.3515844516411868E-2</v>
      </c>
      <c r="I433" s="6">
        <v>-0.25988249759024229</v>
      </c>
      <c r="J433" s="6">
        <v>-0.64511537644846251</v>
      </c>
      <c r="K433" s="6">
        <v>0.17770152888766591</v>
      </c>
      <c r="L433" s="6">
        <v>-0.39713574071929858</v>
      </c>
      <c r="N433" s="8">
        <f>SQRT((C433-Sheet2!$C$525)^2+(D433-Sheet2!$D$525)^2+(E433-Sheet2!$E$525)^2+(F433-Sheet2!$F$525)^2+(G433-Sheet2!$G$525)^2+(H433-Sheet2!$H$525)^2+(I433-Sheet2!$I$525)^2+(J433-Sheet2!$J$525)^2+(K433-Sheet2!$K$525)^2+(L433-Sheet2!$L$525)^2)</f>
        <v>1.0562952957290008</v>
      </c>
      <c r="O433" s="8">
        <f>SQRT((C433-Sheet2!$C$526)^2+(D433-Sheet2!$D$526)^2+(E433-Sheet2!$E$526)^2+(F433-Sheet2!$F$526)^2+(G433-Sheet2!$G$526)^2+(H433-Sheet2!$H$526)^2+(I433-Sheet2!$I$526)^2+(J433-Sheet2!$J$526)^2+(K433-Sheet2!$K$526)^2+(L433-Sheet2!$L$526)^2)</f>
        <v>3.8733916916334108</v>
      </c>
      <c r="P433" s="12">
        <f t="shared" si="6"/>
        <v>0</v>
      </c>
      <c r="Q433" s="11">
        <f>IF(P433=Sheet1!$M433, 1, 0)</f>
        <v>1</v>
      </c>
    </row>
    <row r="434" spans="1:17" x14ac:dyDescent="0.35">
      <c r="A434" s="6" t="s">
        <v>461</v>
      </c>
      <c r="B434" s="6" t="s">
        <v>472</v>
      </c>
      <c r="C434" s="6">
        <v>0.2787175544607951</v>
      </c>
      <c r="D434" s="6">
        <v>-0.36618879326314979</v>
      </c>
      <c r="E434" s="6">
        <v>-0.94742610525423887</v>
      </c>
      <c r="F434" s="6">
        <v>-0.33382641268670005</v>
      </c>
      <c r="G434" s="6">
        <v>0.91843515352727934</v>
      </c>
      <c r="H434" s="6">
        <v>0.60368865313354547</v>
      </c>
      <c r="I434" s="6">
        <v>0.55674967613640747</v>
      </c>
      <c r="J434" s="6">
        <v>-0.61474796994210812</v>
      </c>
      <c r="K434" s="6">
        <v>0.83339511379734366</v>
      </c>
      <c r="L434" s="6">
        <v>-0.38760510501973633</v>
      </c>
      <c r="N434" s="8">
        <f>SQRT((C434-Sheet2!$C$525)^2+(D434-Sheet2!$D$525)^2+(E434-Sheet2!$E$525)^2+(F434-Sheet2!$F$525)^2+(G434-Sheet2!$G$525)^2+(H434-Sheet2!$H$525)^2+(I434-Sheet2!$I$525)^2+(J434-Sheet2!$J$525)^2+(K434-Sheet2!$K$525)^2+(L434-Sheet2!$L$525)^2)</f>
        <v>1.8708046420910605</v>
      </c>
      <c r="O434" s="8">
        <f>SQRT((C434-Sheet2!$C$526)^2+(D434-Sheet2!$D$526)^2+(E434-Sheet2!$E$526)^2+(F434-Sheet2!$F$526)^2+(G434-Sheet2!$G$526)^2+(H434-Sheet2!$H$526)^2+(I434-Sheet2!$I$526)^2+(J434-Sheet2!$J$526)^2+(K434-Sheet2!$K$526)^2+(L434-Sheet2!$L$526)^2)</f>
        <v>4.4007519162242241</v>
      </c>
      <c r="P434" s="12">
        <f t="shared" si="6"/>
        <v>0</v>
      </c>
      <c r="Q434" s="11">
        <f>IF(P434=Sheet1!$M434, 1, 0)</f>
        <v>1</v>
      </c>
    </row>
    <row r="435" spans="1:17" x14ac:dyDescent="0.35">
      <c r="A435" s="6" t="s">
        <v>461</v>
      </c>
      <c r="B435" s="6" t="s">
        <v>473</v>
      </c>
      <c r="C435" s="6">
        <v>0.74305708378656277</v>
      </c>
      <c r="D435" s="6">
        <v>0.60357981948344031</v>
      </c>
      <c r="E435" s="6">
        <v>-1.3213439865539365</v>
      </c>
      <c r="F435" s="6">
        <v>-0.64658110464299345</v>
      </c>
      <c r="G435" s="6">
        <v>-0.35620515604547631</v>
      </c>
      <c r="H435" s="6">
        <v>6.343834785636257E-2</v>
      </c>
      <c r="I435" s="6">
        <v>0.80601055039645408</v>
      </c>
      <c r="J435" s="6">
        <v>-1.2258920258824895</v>
      </c>
      <c r="K435" s="6">
        <v>0.20273994740450488</v>
      </c>
      <c r="L435" s="6">
        <v>-0.43655914466537615</v>
      </c>
      <c r="N435" s="8">
        <f>SQRT((C435-Sheet2!$C$525)^2+(D435-Sheet2!$D$525)^2+(E435-Sheet2!$E$525)^2+(F435-Sheet2!$F$525)^2+(G435-Sheet2!$G$525)^2+(H435-Sheet2!$H$525)^2+(I435-Sheet2!$I$525)^2+(J435-Sheet2!$J$525)^2+(K435-Sheet2!$K$525)^2+(L435-Sheet2!$L$525)^2)</f>
        <v>2.0746527997749253</v>
      </c>
      <c r="O435" s="8">
        <f>SQRT((C435-Sheet2!$C$526)^2+(D435-Sheet2!$D$526)^2+(E435-Sheet2!$E$526)^2+(F435-Sheet2!$F$526)^2+(G435-Sheet2!$G$526)^2+(H435-Sheet2!$H$526)^2+(I435-Sheet2!$I$526)^2+(J435-Sheet2!$J$526)^2+(K435-Sheet2!$K$526)^2+(L435-Sheet2!$L$526)^2)</f>
        <v>4.9659254935362167</v>
      </c>
      <c r="P435" s="12">
        <f t="shared" si="6"/>
        <v>0</v>
      </c>
      <c r="Q435" s="11">
        <f>IF(P435=Sheet1!$M435, 1, 0)</f>
        <v>1</v>
      </c>
    </row>
    <row r="436" spans="1:17" x14ac:dyDescent="0.35">
      <c r="A436" s="6" t="s">
        <v>461</v>
      </c>
      <c r="B436" s="6" t="s">
        <v>474</v>
      </c>
      <c r="C436" s="6">
        <v>0.22637870577956709</v>
      </c>
      <c r="D436" s="6">
        <v>-0.69762869888540213</v>
      </c>
      <c r="E436" s="6">
        <v>-1.0398924975756421</v>
      </c>
      <c r="F436" s="6">
        <v>-0.68509769232233986</v>
      </c>
      <c r="G436" s="6">
        <v>0.20126851010023725</v>
      </c>
      <c r="H436" s="6">
        <v>-0.22473105725160605</v>
      </c>
      <c r="I436" s="6">
        <v>0.64026163145115478</v>
      </c>
      <c r="J436" s="6">
        <v>-0.84250351873976592</v>
      </c>
      <c r="K436" s="6">
        <v>0.39052808628078256</v>
      </c>
      <c r="L436" s="6">
        <v>-0.4186855878905491</v>
      </c>
      <c r="N436" s="8">
        <f>SQRT((C436-Sheet2!$C$525)^2+(D436-Sheet2!$D$525)^2+(E436-Sheet2!$E$525)^2+(F436-Sheet2!$F$525)^2+(G436-Sheet2!$G$525)^2+(H436-Sheet2!$H$525)^2+(I436-Sheet2!$I$525)^2+(J436-Sheet2!$J$525)^2+(K436-Sheet2!$K$525)^2+(L436-Sheet2!$L$525)^2)</f>
        <v>1.4500850527790925</v>
      </c>
      <c r="O436" s="8">
        <f>SQRT((C436-Sheet2!$C$526)^2+(D436-Sheet2!$D$526)^2+(E436-Sheet2!$E$526)^2+(F436-Sheet2!$F$526)^2+(G436-Sheet2!$G$526)^2+(H436-Sheet2!$H$526)^2+(I436-Sheet2!$I$526)^2+(J436-Sheet2!$J$526)^2+(K436-Sheet2!$K$526)^2+(L436-Sheet2!$L$526)^2)</f>
        <v>4.8703683161003557</v>
      </c>
      <c r="P436" s="12">
        <f t="shared" si="6"/>
        <v>0</v>
      </c>
      <c r="Q436" s="11">
        <f>IF(P436=Sheet1!$M436, 1, 0)</f>
        <v>1</v>
      </c>
    </row>
    <row r="437" spans="1:17" x14ac:dyDescent="0.35">
      <c r="A437" s="6" t="s">
        <v>461</v>
      </c>
      <c r="B437" s="6" t="s">
        <v>475</v>
      </c>
      <c r="C437" s="6">
        <v>0.47331070981407941</v>
      </c>
      <c r="D437" s="6">
        <v>-0.69149092285536051</v>
      </c>
      <c r="E437" s="6">
        <v>-1.1349376339060084</v>
      </c>
      <c r="F437" s="6">
        <v>-0.8283793984895097</v>
      </c>
      <c r="G437" s="6">
        <v>-0.57106479820580747</v>
      </c>
      <c r="H437" s="6">
        <v>0.50134811674006163</v>
      </c>
      <c r="I437" s="6">
        <v>0.44710039129567081</v>
      </c>
      <c r="J437" s="6">
        <v>-0.48948241810339638</v>
      </c>
      <c r="K437" s="6">
        <v>-0.86608754303298674</v>
      </c>
      <c r="L437" s="6">
        <v>-0.42216381440949263</v>
      </c>
      <c r="N437" s="8">
        <f>SQRT((C437-Sheet2!$C$525)^2+(D437-Sheet2!$D$525)^2+(E437-Sheet2!$E$525)^2+(F437-Sheet2!$F$525)^2+(G437-Sheet2!$G$525)^2+(H437-Sheet2!$H$525)^2+(I437-Sheet2!$I$525)^2+(J437-Sheet2!$J$525)^2+(K437-Sheet2!$K$525)^2+(L437-Sheet2!$L$525)^2)</f>
        <v>1.8054312508080481</v>
      </c>
      <c r="O437" s="8">
        <f>SQRT((C437-Sheet2!$C$526)^2+(D437-Sheet2!$D$526)^2+(E437-Sheet2!$E$526)^2+(F437-Sheet2!$F$526)^2+(G437-Sheet2!$G$526)^2+(H437-Sheet2!$H$526)^2+(I437-Sheet2!$I$526)^2+(J437-Sheet2!$J$526)^2+(K437-Sheet2!$K$526)^2+(L437-Sheet2!$L$526)^2)</f>
        <v>4.8988925856645205</v>
      </c>
      <c r="P437" s="12">
        <f t="shared" si="6"/>
        <v>0</v>
      </c>
      <c r="Q437" s="11">
        <f>IF(P437=Sheet1!$M437, 1, 0)</f>
        <v>1</v>
      </c>
    </row>
    <row r="438" spans="1:17" x14ac:dyDescent="0.35">
      <c r="A438" s="6" t="s">
        <v>461</v>
      </c>
      <c r="B438" s="6" t="s">
        <v>476</v>
      </c>
      <c r="C438" s="6">
        <v>0.31495214200933758</v>
      </c>
      <c r="D438" s="6">
        <v>-0.55032207416440093</v>
      </c>
      <c r="E438" s="6">
        <v>-1.1220439138611913</v>
      </c>
      <c r="F438" s="6">
        <v>-0.76059020417386036</v>
      </c>
      <c r="G438" s="6">
        <v>-0.57106479820580747</v>
      </c>
      <c r="H438" s="6">
        <v>0.53959115928710022</v>
      </c>
      <c r="I438" s="6">
        <v>0.70018624060830148</v>
      </c>
      <c r="J438" s="6">
        <v>-0.43254353090398201</v>
      </c>
      <c r="K438" s="6">
        <v>0.61587385293231978</v>
      </c>
      <c r="L438" s="6">
        <v>-0.41547408627887761</v>
      </c>
      <c r="N438" s="8">
        <f>SQRT((C438-Sheet2!$C$525)^2+(D438-Sheet2!$D$525)^2+(E438-Sheet2!$E$525)^2+(F438-Sheet2!$F$525)^2+(G438-Sheet2!$G$525)^2+(H438-Sheet2!$H$525)^2+(I438-Sheet2!$I$525)^2+(J438-Sheet2!$J$525)^2+(K438-Sheet2!$K$525)^2+(L438-Sheet2!$L$525)^2)</f>
        <v>1.6248006992878814</v>
      </c>
      <c r="O438" s="8">
        <f>SQRT((C438-Sheet2!$C$526)^2+(D438-Sheet2!$D$526)^2+(E438-Sheet2!$E$526)^2+(F438-Sheet2!$F$526)^2+(G438-Sheet2!$G$526)^2+(H438-Sheet2!$H$526)^2+(I438-Sheet2!$I$526)^2+(J438-Sheet2!$J$526)^2+(K438-Sheet2!$K$526)^2+(L438-Sheet2!$L$526)^2)</f>
        <v>4.8819642851125646</v>
      </c>
      <c r="P438" s="12">
        <f t="shared" si="6"/>
        <v>0</v>
      </c>
      <c r="Q438" s="11">
        <f>IF(P438=Sheet1!$M438, 1, 0)</f>
        <v>1</v>
      </c>
    </row>
    <row r="439" spans="1:17" x14ac:dyDescent="0.35">
      <c r="A439" s="6" t="s">
        <v>461</v>
      </c>
      <c r="B439" s="6" t="s">
        <v>477</v>
      </c>
      <c r="C439" s="6">
        <v>-0.99351907502136627</v>
      </c>
      <c r="D439" s="6">
        <v>2.5001526127663283</v>
      </c>
      <c r="E439" s="6">
        <v>1.485066279200838</v>
      </c>
      <c r="F439" s="6">
        <v>2.1913210755712536</v>
      </c>
      <c r="G439" s="6">
        <v>1.2116895299893509</v>
      </c>
      <c r="H439" s="6">
        <v>1.0432143252234567</v>
      </c>
      <c r="I439" s="6">
        <v>0.87358510965876879</v>
      </c>
      <c r="J439" s="6">
        <v>4.953904738439361E-2</v>
      </c>
      <c r="K439" s="6">
        <v>-0.64543647985335773</v>
      </c>
      <c r="L439" s="6">
        <v>-0.10027294574231024</v>
      </c>
      <c r="N439" s="8">
        <f>SQRT((C439-Sheet2!$C$525)^2+(D439-Sheet2!$D$525)^2+(E439-Sheet2!$E$525)^2+(F439-Sheet2!$F$525)^2+(G439-Sheet2!$G$525)^2+(H439-Sheet2!$H$525)^2+(I439-Sheet2!$I$525)^2+(J439-Sheet2!$J$525)^2+(K439-Sheet2!$K$525)^2+(L439-Sheet2!$L$525)^2)</f>
        <v>4.9166981440550508</v>
      </c>
      <c r="O439" s="8">
        <f>SQRT((C439-Sheet2!$C$526)^2+(D439-Sheet2!$D$526)^2+(E439-Sheet2!$E$526)^2+(F439-Sheet2!$F$526)^2+(G439-Sheet2!$G$526)^2+(H439-Sheet2!$H$526)^2+(I439-Sheet2!$I$526)^2+(J439-Sheet2!$J$526)^2+(K439-Sheet2!$K$526)^2+(L439-Sheet2!$L$526)^2)</f>
        <v>2.0263597611798954</v>
      </c>
      <c r="P439" s="12">
        <f t="shared" si="6"/>
        <v>1</v>
      </c>
      <c r="Q439" s="11">
        <f>IF(P439=Sheet1!$M439, 1, 0)</f>
        <v>0</v>
      </c>
    </row>
    <row r="440" spans="1:17" x14ac:dyDescent="0.35">
      <c r="A440" s="6" t="s">
        <v>461</v>
      </c>
      <c r="B440" s="6" t="s">
        <v>478</v>
      </c>
      <c r="C440" s="6">
        <v>-0.60299074255374074</v>
      </c>
      <c r="D440" s="6">
        <v>1.5181084479596552</v>
      </c>
      <c r="E440" s="6">
        <v>6.565189826710921E-2</v>
      </c>
      <c r="F440" s="6">
        <v>0.97573756841107939</v>
      </c>
      <c r="G440" s="6">
        <v>0.46258429110604382</v>
      </c>
      <c r="H440" s="6">
        <v>1.0491393036462382</v>
      </c>
      <c r="I440" s="6">
        <v>0.92649726455284509</v>
      </c>
      <c r="J440" s="6">
        <v>0.68725458401783501</v>
      </c>
      <c r="K440" s="6">
        <v>-8.0507162067217045E-2</v>
      </c>
      <c r="L440" s="6">
        <v>-0.31591989745411653</v>
      </c>
      <c r="N440" s="8">
        <f>SQRT((C440-Sheet2!$C$525)^2+(D440-Sheet2!$D$525)^2+(E440-Sheet2!$E$525)^2+(F440-Sheet2!$F$525)^2+(G440-Sheet2!$G$525)^2+(H440-Sheet2!$H$525)^2+(I440-Sheet2!$I$525)^2+(J440-Sheet2!$J$525)^2+(K440-Sheet2!$K$525)^2+(L440-Sheet2!$L$525)^2)</f>
        <v>3.1512005541681569</v>
      </c>
      <c r="O440" s="8">
        <f>SQRT((C440-Sheet2!$C$526)^2+(D440-Sheet2!$D$526)^2+(E440-Sheet2!$E$526)^2+(F440-Sheet2!$F$526)^2+(G440-Sheet2!$G$526)^2+(H440-Sheet2!$H$526)^2+(I440-Sheet2!$I$526)^2+(J440-Sheet2!$J$526)^2+(K440-Sheet2!$K$526)^2+(L440-Sheet2!$L$526)^2)</f>
        <v>2.0178686259841605</v>
      </c>
      <c r="P440" s="12">
        <f t="shared" si="6"/>
        <v>1</v>
      </c>
      <c r="Q440" s="11">
        <f>IF(P440=Sheet1!$M440, 1, 0)</f>
        <v>0</v>
      </c>
    </row>
    <row r="441" spans="1:17" x14ac:dyDescent="0.35">
      <c r="A441" s="6" t="s">
        <v>479</v>
      </c>
      <c r="B441" s="6" t="s">
        <v>480</v>
      </c>
      <c r="C441" s="6">
        <v>0.90275767335236168</v>
      </c>
      <c r="D441" s="6">
        <v>-0.88176197978665327</v>
      </c>
      <c r="E441" s="6">
        <v>-0.51014479973429705</v>
      </c>
      <c r="F441" s="6">
        <v>-0.5402753226479976</v>
      </c>
      <c r="G441" s="6">
        <v>-0.103599901073201</v>
      </c>
      <c r="H441" s="6">
        <v>-0.4514961405234848</v>
      </c>
      <c r="I441" s="6">
        <v>0.57842453476771516</v>
      </c>
      <c r="J441" s="6">
        <v>-0.5654009343692824</v>
      </c>
      <c r="K441" s="6">
        <v>-0.61100865439270668</v>
      </c>
      <c r="L441" s="6">
        <v>-0.38439393772835595</v>
      </c>
      <c r="N441" s="8">
        <f>SQRT((C441-Sheet2!$C$525)^2+(D441-Sheet2!$D$525)^2+(E441-Sheet2!$E$525)^2+(F441-Sheet2!$F$525)^2+(G441-Sheet2!$G$525)^2+(H441-Sheet2!$H$525)^2+(I441-Sheet2!$I$525)^2+(J441-Sheet2!$J$525)^2+(K441-Sheet2!$K$525)^2+(L441-Sheet2!$L$525)^2)</f>
        <v>1.5164665001122171</v>
      </c>
      <c r="O441" s="8">
        <f>SQRT((C441-Sheet2!$C$526)^2+(D441-Sheet2!$D$526)^2+(E441-Sheet2!$E$526)^2+(F441-Sheet2!$F$526)^2+(G441-Sheet2!$G$526)^2+(H441-Sheet2!$H$526)^2+(I441-Sheet2!$I$526)^2+(J441-Sheet2!$J$526)^2+(K441-Sheet2!$K$526)^2+(L441-Sheet2!$L$526)^2)</f>
        <v>4.7276245552879068</v>
      </c>
      <c r="P441" s="12">
        <f t="shared" si="6"/>
        <v>0</v>
      </c>
      <c r="Q441" s="11">
        <f>IF(P441=Sheet1!$M441, 1, 0)</f>
        <v>1</v>
      </c>
    </row>
    <row r="442" spans="1:17" x14ac:dyDescent="0.35">
      <c r="A442" s="6" t="s">
        <v>479</v>
      </c>
      <c r="B442" s="6" t="s">
        <v>481</v>
      </c>
      <c r="C442" s="6">
        <v>0.75379325787502005</v>
      </c>
      <c r="D442" s="6">
        <v>-0.69762869888540213</v>
      </c>
      <c r="E442" s="6">
        <v>-0.33626377512990563</v>
      </c>
      <c r="F442" s="6">
        <v>-0.39853427998800234</v>
      </c>
      <c r="G442" s="6">
        <v>-0.57106479820580747</v>
      </c>
      <c r="H442" s="6">
        <v>-2.0588618866708864E-2</v>
      </c>
      <c r="I442" s="6">
        <v>0.63579916055647312</v>
      </c>
      <c r="J442" s="6">
        <v>-1.1158101772969551</v>
      </c>
      <c r="K442" s="6">
        <v>-0.67829940415670786</v>
      </c>
      <c r="L442" s="6">
        <v>-0.26916472415331522</v>
      </c>
      <c r="N442" s="8">
        <f>SQRT((C442-Sheet2!$C$525)^2+(D442-Sheet2!$D$525)^2+(E442-Sheet2!$E$525)^2+(F442-Sheet2!$F$525)^2+(G442-Sheet2!$G$525)^2+(H442-Sheet2!$H$525)^2+(I442-Sheet2!$I$525)^2+(J442-Sheet2!$J$525)^2+(K442-Sheet2!$K$525)^2+(L442-Sheet2!$L$525)^2)</f>
        <v>1.6448993010329822</v>
      </c>
      <c r="O442" s="8">
        <f>SQRT((C442-Sheet2!$C$526)^2+(D442-Sheet2!$D$526)^2+(E442-Sheet2!$E$526)^2+(F442-Sheet2!$F$526)^2+(G442-Sheet2!$G$526)^2+(H442-Sheet2!$H$526)^2+(I442-Sheet2!$I$526)^2+(J442-Sheet2!$J$526)^2+(K442-Sheet2!$K$526)^2+(L442-Sheet2!$L$526)^2)</f>
        <v>4.7102075727868309</v>
      </c>
      <c r="P442" s="12">
        <f t="shared" si="6"/>
        <v>0</v>
      </c>
      <c r="Q442" s="11">
        <f>IF(P442=Sheet1!$M442, 1, 0)</f>
        <v>1</v>
      </c>
    </row>
    <row r="443" spans="1:17" x14ac:dyDescent="0.35">
      <c r="A443" s="6" t="s">
        <v>479</v>
      </c>
      <c r="B443" s="6" t="s">
        <v>482</v>
      </c>
      <c r="C443" s="6">
        <v>0.77929167133510524</v>
      </c>
      <c r="D443" s="6">
        <v>-0.72217980300556894</v>
      </c>
      <c r="E443" s="6">
        <v>3.1023050146743131E-2</v>
      </c>
      <c r="F443" s="6">
        <v>-0.63579646009277746</v>
      </c>
      <c r="G443" s="6">
        <v>-1.5553542399943394</v>
      </c>
      <c r="H443" s="6">
        <v>-5.829302701167615E-2</v>
      </c>
      <c r="I443" s="6">
        <v>0.50957498382120625</v>
      </c>
      <c r="J443" s="6">
        <v>-0.99054462545824329</v>
      </c>
      <c r="K443" s="6">
        <v>9.7891569865248551E-2</v>
      </c>
      <c r="L443" s="6">
        <v>-0.36065771943314812</v>
      </c>
      <c r="N443" s="8">
        <f>SQRT((C443-Sheet2!$C$525)^2+(D443-Sheet2!$D$525)^2+(E443-Sheet2!$E$525)^2+(F443-Sheet2!$F$525)^2+(G443-Sheet2!$G$525)^2+(H443-Sheet2!$H$525)^2+(I443-Sheet2!$I$525)^2+(J443-Sheet2!$J$525)^2+(K443-Sheet2!$K$525)^2+(L443-Sheet2!$L$525)^2)</f>
        <v>1.8979632670709261</v>
      </c>
      <c r="O443" s="8">
        <f>SQRT((C443-Sheet2!$C$526)^2+(D443-Sheet2!$D$526)^2+(E443-Sheet2!$E$526)^2+(F443-Sheet2!$F$526)^2+(G443-Sheet2!$G$526)^2+(H443-Sheet2!$H$526)^2+(I443-Sheet2!$I$526)^2+(J443-Sheet2!$J$526)^2+(K443-Sheet2!$K$526)^2+(L443-Sheet2!$L$526)^2)</f>
        <v>5.1339935815233035</v>
      </c>
      <c r="P443" s="12">
        <f t="shared" si="6"/>
        <v>0</v>
      </c>
      <c r="Q443" s="11">
        <f>IF(P443=Sheet1!$M443, 1, 0)</f>
        <v>1</v>
      </c>
    </row>
    <row r="444" spans="1:17" x14ac:dyDescent="0.35">
      <c r="A444" s="6" t="s">
        <v>479</v>
      </c>
      <c r="B444" s="6" t="s">
        <v>483</v>
      </c>
      <c r="C444" s="6">
        <v>0.54041179786693605</v>
      </c>
      <c r="D444" s="6">
        <v>-7.1575543821147503E-2</v>
      </c>
      <c r="E444" s="6">
        <v>-4.6707662123440304E-2</v>
      </c>
      <c r="F444" s="6">
        <v>4.9798800599589861E-2</v>
      </c>
      <c r="G444" s="6">
        <v>-0.33007357794489894</v>
      </c>
      <c r="H444" s="6">
        <v>-0.18810391791078049</v>
      </c>
      <c r="I444" s="6">
        <v>0.54718723850494755</v>
      </c>
      <c r="J444" s="6">
        <v>-0.61095204412881376</v>
      </c>
      <c r="K444" s="6">
        <v>-0.68455900878591602</v>
      </c>
      <c r="L444" s="6">
        <v>-0.39156005137882177</v>
      </c>
      <c r="N444" s="8">
        <f>SQRT((C444-Sheet2!$C$525)^2+(D444-Sheet2!$D$525)^2+(E444-Sheet2!$E$525)^2+(F444-Sheet2!$F$525)^2+(G444-Sheet2!$G$525)^2+(H444-Sheet2!$H$525)^2+(I444-Sheet2!$I$525)^2+(J444-Sheet2!$J$525)^2+(K444-Sheet2!$K$525)^2+(L444-Sheet2!$L$525)^2)</f>
        <v>1.3357843663390301</v>
      </c>
      <c r="O444" s="8">
        <f>SQRT((C444-Sheet2!$C$526)^2+(D444-Sheet2!$D$526)^2+(E444-Sheet2!$E$526)^2+(F444-Sheet2!$F$526)^2+(G444-Sheet2!$G$526)^2+(H444-Sheet2!$H$526)^2+(I444-Sheet2!$I$526)^2+(J444-Sheet2!$J$526)^2+(K444-Sheet2!$K$526)^2+(L444-Sheet2!$L$526)^2)</f>
        <v>3.8624049863893548</v>
      </c>
      <c r="P444" s="12">
        <f t="shared" si="6"/>
        <v>0</v>
      </c>
      <c r="Q444" s="11">
        <f>IF(P444=Sheet1!$M444, 1, 0)</f>
        <v>1</v>
      </c>
    </row>
    <row r="445" spans="1:17" x14ac:dyDescent="0.35">
      <c r="A445" s="6" t="s">
        <v>479</v>
      </c>
      <c r="B445" s="6" t="s">
        <v>484</v>
      </c>
      <c r="C445" s="6">
        <v>0.66521982164524929</v>
      </c>
      <c r="D445" s="6">
        <v>-0.78969533933602742</v>
      </c>
      <c r="E445" s="6">
        <v>-0.46446419157551622</v>
      </c>
      <c r="F445" s="6">
        <v>-0.72669560701603564</v>
      </c>
      <c r="G445" s="6">
        <v>-1.0820823255060454</v>
      </c>
      <c r="H445" s="6">
        <v>9.844958399097592E-2</v>
      </c>
      <c r="I445" s="6">
        <v>6.9702852774065266E-2</v>
      </c>
      <c r="J445" s="6">
        <v>-1.0474835126576578</v>
      </c>
      <c r="K445" s="6">
        <v>-0.13997340604470707</v>
      </c>
      <c r="L445" s="6">
        <v>-0.40929018474875145</v>
      </c>
      <c r="N445" s="8">
        <f>SQRT((C445-Sheet2!$C$525)^2+(D445-Sheet2!$D$525)^2+(E445-Sheet2!$E$525)^2+(F445-Sheet2!$F$525)^2+(G445-Sheet2!$G$525)^2+(H445-Sheet2!$H$525)^2+(I445-Sheet2!$I$525)^2+(J445-Sheet2!$J$525)^2+(K445-Sheet2!$K$525)^2+(L445-Sheet2!$L$525)^2)</f>
        <v>1.5143110418750154</v>
      </c>
      <c r="O445" s="8">
        <f>SQRT((C445-Sheet2!$C$526)^2+(D445-Sheet2!$D$526)^2+(E445-Sheet2!$E$526)^2+(F445-Sheet2!$F$526)^2+(G445-Sheet2!$G$526)^2+(H445-Sheet2!$H$526)^2+(I445-Sheet2!$I$526)^2+(J445-Sheet2!$J$526)^2+(K445-Sheet2!$K$526)^2+(L445-Sheet2!$L$526)^2)</f>
        <v>5.1391744157527439</v>
      </c>
      <c r="P445" s="12">
        <f t="shared" si="6"/>
        <v>0</v>
      </c>
      <c r="Q445" s="11">
        <f>IF(P445=Sheet1!$M445, 1, 0)</f>
        <v>1</v>
      </c>
    </row>
    <row r="446" spans="1:17" x14ac:dyDescent="0.35">
      <c r="A446" s="6" t="s">
        <v>479</v>
      </c>
      <c r="B446" s="6" t="s">
        <v>485</v>
      </c>
      <c r="C446" s="6">
        <v>-0.85126476834931031</v>
      </c>
      <c r="D446" s="6">
        <v>1.1866685423374022</v>
      </c>
      <c r="E446" s="6">
        <v>0.76080760468339426</v>
      </c>
      <c r="F446" s="6">
        <v>1.1529138717360718</v>
      </c>
      <c r="G446" s="6">
        <v>0.83423340186985562</v>
      </c>
      <c r="H446" s="6">
        <v>0.84553549966341146</v>
      </c>
      <c r="I446" s="6">
        <v>0.92330978534235875</v>
      </c>
      <c r="J446" s="6">
        <v>-0.19340020466644148</v>
      </c>
      <c r="K446" s="6">
        <v>-0.85982793840377758</v>
      </c>
      <c r="L446" s="6">
        <v>-0.32634770254996071</v>
      </c>
      <c r="N446" s="8">
        <f>SQRT((C446-Sheet2!$C$525)^2+(D446-Sheet2!$D$525)^2+(E446-Sheet2!$E$525)^2+(F446-Sheet2!$F$525)^2+(G446-Sheet2!$G$525)^2+(H446-Sheet2!$H$525)^2+(I446-Sheet2!$I$525)^2+(J446-Sheet2!$J$525)^2+(K446-Sheet2!$K$525)^2+(L446-Sheet2!$L$525)^2)</f>
        <v>3.3186288426239998</v>
      </c>
      <c r="O446" s="8">
        <f>SQRT((C446-Sheet2!$C$526)^2+(D446-Sheet2!$D$526)^2+(E446-Sheet2!$E$526)^2+(F446-Sheet2!$F$526)^2+(G446-Sheet2!$G$526)^2+(H446-Sheet2!$H$526)^2+(I446-Sheet2!$I$526)^2+(J446-Sheet2!$J$526)^2+(K446-Sheet2!$K$526)^2+(L446-Sheet2!$L$526)^2)</f>
        <v>1.9190987895433056</v>
      </c>
      <c r="P446" s="12">
        <f t="shared" si="6"/>
        <v>1</v>
      </c>
      <c r="Q446" s="11">
        <f>IF(P446=Sheet1!$M446, 1, 0)</f>
        <v>0</v>
      </c>
    </row>
    <row r="447" spans="1:17" x14ac:dyDescent="0.35">
      <c r="A447" s="6" t="s">
        <v>486</v>
      </c>
      <c r="B447" s="6" t="s">
        <v>487</v>
      </c>
      <c r="C447" s="6">
        <v>0.27737553269973797</v>
      </c>
      <c r="D447" s="6">
        <v>0.29055324195131327</v>
      </c>
      <c r="E447" s="6">
        <v>-0.10933430234112365</v>
      </c>
      <c r="F447" s="6">
        <v>-0.40623759752387117</v>
      </c>
      <c r="G447" s="6">
        <v>-2.2899419354884336</v>
      </c>
      <c r="H447" s="6">
        <v>0.13669262653801445</v>
      </c>
      <c r="I447" s="6">
        <v>0.60328687260951019</v>
      </c>
      <c r="J447" s="6">
        <v>-0.83870759292647146</v>
      </c>
      <c r="K447" s="6">
        <v>-0.64387157869605682</v>
      </c>
      <c r="L447" s="6">
        <v>-0.38373948486343884</v>
      </c>
      <c r="N447" s="8">
        <f>SQRT((C447-Sheet2!$C$525)^2+(D447-Sheet2!$D$525)^2+(E447-Sheet2!$E$525)^2+(F447-Sheet2!$F$525)^2+(G447-Sheet2!$G$525)^2+(H447-Sheet2!$H$525)^2+(I447-Sheet2!$I$525)^2+(J447-Sheet2!$J$525)^2+(K447-Sheet2!$K$525)^2+(L447-Sheet2!$L$525)^2)</f>
        <v>2.531914587511257</v>
      </c>
      <c r="O447" s="8">
        <f>SQRT((C447-Sheet2!$C$526)^2+(D447-Sheet2!$D$526)^2+(E447-Sheet2!$E$526)^2+(F447-Sheet2!$F$526)^2+(G447-Sheet2!$G$526)^2+(H447-Sheet2!$H$526)^2+(I447-Sheet2!$I$526)^2+(J447-Sheet2!$J$526)^2+(K447-Sheet2!$K$526)^2+(L447-Sheet2!$L$526)^2)</f>
        <v>4.9207573312878568</v>
      </c>
      <c r="P447" s="12">
        <f t="shared" si="6"/>
        <v>0</v>
      </c>
      <c r="Q447" s="11">
        <f>IF(P447=Sheet1!$M447, 1, 0)</f>
        <v>1</v>
      </c>
    </row>
    <row r="448" spans="1:17" x14ac:dyDescent="0.35">
      <c r="A448" s="6" t="s">
        <v>486</v>
      </c>
      <c r="B448" s="6" t="s">
        <v>488</v>
      </c>
      <c r="C448" s="6">
        <v>0.45720644868139365</v>
      </c>
      <c r="D448" s="6">
        <v>-0.6116998344648179</v>
      </c>
      <c r="E448" s="6">
        <v>-0.65455446423624919</v>
      </c>
      <c r="F448" s="6">
        <v>-0.87768063071907221</v>
      </c>
      <c r="G448" s="6">
        <v>-2.0692752759724216</v>
      </c>
      <c r="H448" s="6">
        <v>0.49057542869864212</v>
      </c>
      <c r="I448" s="6">
        <v>-8.0108670118802308E-2</v>
      </c>
      <c r="J448" s="6">
        <v>-0.63752352482187391</v>
      </c>
      <c r="K448" s="6">
        <v>-7.5812458595309884E-2</v>
      </c>
      <c r="L448" s="6">
        <v>-0.26221336949986795</v>
      </c>
      <c r="N448" s="8">
        <f>SQRT((C448-Sheet2!$C$525)^2+(D448-Sheet2!$D$525)^2+(E448-Sheet2!$E$525)^2+(F448-Sheet2!$F$525)^2+(G448-Sheet2!$G$525)^2+(H448-Sheet2!$H$525)^2+(I448-Sheet2!$I$525)^2+(J448-Sheet2!$J$525)^2+(K448-Sheet2!$K$525)^2+(L448-Sheet2!$L$525)^2)</f>
        <v>2.1629263130956606</v>
      </c>
      <c r="O448" s="8">
        <f>SQRT((C448-Sheet2!$C$526)^2+(D448-Sheet2!$D$526)^2+(E448-Sheet2!$E$526)^2+(F448-Sheet2!$F$526)^2+(G448-Sheet2!$G$526)^2+(H448-Sheet2!$H$526)^2+(I448-Sheet2!$I$526)^2+(J448-Sheet2!$J$526)^2+(K448-Sheet2!$K$526)^2+(L448-Sheet2!$L$526)^2)</f>
        <v>5.429884899529128</v>
      </c>
      <c r="P448" s="12">
        <f t="shared" si="6"/>
        <v>0</v>
      </c>
      <c r="Q448" s="11">
        <f>IF(P448=Sheet1!$M448, 1, 0)</f>
        <v>1</v>
      </c>
    </row>
    <row r="449" spans="1:17" x14ac:dyDescent="0.35">
      <c r="A449" s="6" t="s">
        <v>486</v>
      </c>
      <c r="B449" s="6" t="s">
        <v>489</v>
      </c>
      <c r="C449" s="6">
        <v>0.2008802923194814</v>
      </c>
      <c r="D449" s="6">
        <v>-0.34163768914298293</v>
      </c>
      <c r="E449" s="6">
        <v>-0.95368876927600721</v>
      </c>
      <c r="F449" s="6">
        <v>-0.50792138899734751</v>
      </c>
      <c r="G449" s="6">
        <v>0.3725755220929326</v>
      </c>
      <c r="H449" s="6">
        <v>-0.76067228731222125</v>
      </c>
      <c r="I449" s="6">
        <v>-3.4186743951823959</v>
      </c>
      <c r="J449" s="6">
        <v>-1.0930346224171892</v>
      </c>
      <c r="K449" s="6">
        <v>1.6862662445271113</v>
      </c>
      <c r="L449" s="6">
        <v>-0.41180882845206157</v>
      </c>
      <c r="N449" s="8">
        <f>SQRT((C449-Sheet2!$C$525)^2+(D449-Sheet2!$D$525)^2+(E449-Sheet2!$E$525)^2+(F449-Sheet2!$F$525)^2+(G449-Sheet2!$G$525)^2+(H449-Sheet2!$H$525)^2+(I449-Sheet2!$I$525)^2+(J449-Sheet2!$J$525)^2+(K449-Sheet2!$K$525)^2+(L449-Sheet2!$L$525)^2)</f>
        <v>3.8442044552503245</v>
      </c>
      <c r="O449" s="8">
        <f>SQRT((C449-Sheet2!$C$526)^2+(D449-Sheet2!$D$526)^2+(E449-Sheet2!$E$526)^2+(F449-Sheet2!$F$526)^2+(G449-Sheet2!$G$526)^2+(H449-Sheet2!$H$526)^2+(I449-Sheet2!$I$526)^2+(J449-Sheet2!$J$526)^2+(K449-Sheet2!$K$526)^2+(L449-Sheet2!$L$526)^2)</f>
        <v>6.7261065569972818</v>
      </c>
      <c r="P449" s="12">
        <f t="shared" si="6"/>
        <v>0</v>
      </c>
      <c r="Q449" s="11">
        <f>IF(P449=Sheet1!$M449, 1, 0)</f>
        <v>1</v>
      </c>
    </row>
    <row r="450" spans="1:17" x14ac:dyDescent="0.35">
      <c r="A450" s="6" t="s">
        <v>486</v>
      </c>
      <c r="B450" s="6" t="s">
        <v>490</v>
      </c>
      <c r="C450" s="6">
        <v>-0.64593543890756899</v>
      </c>
      <c r="D450" s="6">
        <v>-0.29253548090264925</v>
      </c>
      <c r="E450" s="6">
        <v>-0.30605563102490541</v>
      </c>
      <c r="F450" s="6">
        <v>-0.24754925628496582</v>
      </c>
      <c r="G450" s="6">
        <v>-0.54783672878306966</v>
      </c>
      <c r="H450" s="6">
        <v>0.17601293788919548</v>
      </c>
      <c r="I450" s="6">
        <v>-0.14194576680224097</v>
      </c>
      <c r="J450" s="6">
        <v>-0.48189056647680778</v>
      </c>
      <c r="K450" s="6">
        <v>0.12136508722478216</v>
      </c>
      <c r="L450" s="6">
        <v>-0.28463322254374562</v>
      </c>
      <c r="N450" s="8">
        <f>SQRT((C450-Sheet2!$C$525)^2+(D450-Sheet2!$D$525)^2+(E450-Sheet2!$E$525)^2+(F450-Sheet2!$F$525)^2+(G450-Sheet2!$G$525)^2+(H450-Sheet2!$H$525)^2+(I450-Sheet2!$I$525)^2+(J450-Sheet2!$J$525)^2+(K450-Sheet2!$K$525)^2+(L450-Sheet2!$L$525)^2)</f>
        <v>0.98475856989359623</v>
      </c>
      <c r="O450" s="8">
        <f>SQRT((C450-Sheet2!$C$526)^2+(D450-Sheet2!$D$526)^2+(E450-Sheet2!$E$526)^2+(F450-Sheet2!$F$526)^2+(G450-Sheet2!$G$526)^2+(H450-Sheet2!$H$526)^2+(I450-Sheet2!$I$526)^2+(J450-Sheet2!$J$526)^2+(K450-Sheet2!$K$526)^2+(L450-Sheet2!$L$526)^2)</f>
        <v>4.0405557465262767</v>
      </c>
      <c r="P450" s="12">
        <f t="shared" si="6"/>
        <v>0</v>
      </c>
      <c r="Q450" s="11">
        <f>IF(P450=Sheet1!$M450, 1, 0)</f>
        <v>1</v>
      </c>
    </row>
    <row r="451" spans="1:17" x14ac:dyDescent="0.35">
      <c r="A451" s="6" t="s">
        <v>486</v>
      </c>
      <c r="B451" s="6" t="s">
        <v>491</v>
      </c>
      <c r="C451" s="6">
        <v>-1.0069392926319376</v>
      </c>
      <c r="D451" s="6">
        <v>-0.21274439251210708</v>
      </c>
      <c r="E451" s="6">
        <v>0.27526694699570814</v>
      </c>
      <c r="F451" s="6">
        <v>-0.29222849799300649</v>
      </c>
      <c r="G451" s="6">
        <v>-0.93109987425824825</v>
      </c>
      <c r="H451" s="6">
        <v>0.10652910002204077</v>
      </c>
      <c r="I451" s="6">
        <v>0.1417398829310606</v>
      </c>
      <c r="J451" s="6">
        <v>-0.73242167015423132</v>
      </c>
      <c r="K451" s="6">
        <v>-6.7987952808798685E-2</v>
      </c>
      <c r="L451" s="6">
        <v>-0.30454032427944433</v>
      </c>
      <c r="N451" s="8">
        <f>SQRT((C451-Sheet2!$C$525)^2+(D451-Sheet2!$D$525)^2+(E451-Sheet2!$E$525)^2+(F451-Sheet2!$F$525)^2+(G451-Sheet2!$G$525)^2+(H451-Sheet2!$H$525)^2+(I451-Sheet2!$I$525)^2+(J451-Sheet2!$J$525)^2+(K451-Sheet2!$K$525)^2+(L451-Sheet2!$L$525)^2)</f>
        <v>1.6503392485565211</v>
      </c>
      <c r="O451" s="8">
        <f>SQRT((C451-Sheet2!$C$526)^2+(D451-Sheet2!$D$526)^2+(E451-Sheet2!$E$526)^2+(F451-Sheet2!$F$526)^2+(G451-Sheet2!$G$526)^2+(H451-Sheet2!$H$526)^2+(I451-Sheet2!$I$526)^2+(J451-Sheet2!$J$526)^2+(K451-Sheet2!$K$526)^2+(L451-Sheet2!$L$526)^2)</f>
        <v>4.031077978609499</v>
      </c>
      <c r="P451" s="12">
        <f t="shared" ref="P451:P514" si="7">IF(N451&lt;=O451, 0, 1)</f>
        <v>0</v>
      </c>
      <c r="Q451" s="11">
        <f>IF(P451=Sheet1!$M451, 1, 0)</f>
        <v>1</v>
      </c>
    </row>
    <row r="452" spans="1:17" x14ac:dyDescent="0.35">
      <c r="A452" s="6" t="s">
        <v>486</v>
      </c>
      <c r="B452" s="6" t="s">
        <v>492</v>
      </c>
      <c r="C452" s="6">
        <v>-0.69022215702245437</v>
      </c>
      <c r="D452" s="6">
        <v>-0.56873540225452623</v>
      </c>
      <c r="E452" s="6">
        <v>-0.70612934441551778</v>
      </c>
      <c r="F452" s="6">
        <v>-0.57725124682016937</v>
      </c>
      <c r="G452" s="6">
        <v>-0.32136305191137177</v>
      </c>
      <c r="H452" s="6">
        <v>0.24549677575635093</v>
      </c>
      <c r="I452" s="6">
        <v>-0.49129348827156427</v>
      </c>
      <c r="J452" s="6">
        <v>-0.96397314476518325</v>
      </c>
      <c r="K452" s="6">
        <v>0.21525915666292322</v>
      </c>
      <c r="L452" s="6">
        <v>-0.41124173765822197</v>
      </c>
      <c r="N452" s="8">
        <f>SQRT((C452-Sheet2!$C$525)^2+(D452-Sheet2!$D$525)^2+(E452-Sheet2!$E$525)^2+(F452-Sheet2!$F$525)^2+(G452-Sheet2!$G$525)^2+(H452-Sheet2!$H$525)^2+(I452-Sheet2!$I$525)^2+(J452-Sheet2!$J$525)^2+(K452-Sheet2!$K$525)^2+(L452-Sheet2!$L$525)^2)</f>
        <v>1.3661804706078389</v>
      </c>
      <c r="O452" s="8">
        <f>SQRT((C452-Sheet2!$C$526)^2+(D452-Sheet2!$D$526)^2+(E452-Sheet2!$E$526)^2+(F452-Sheet2!$F$526)^2+(G452-Sheet2!$G$526)^2+(H452-Sheet2!$H$526)^2+(I452-Sheet2!$I$526)^2+(J452-Sheet2!$J$526)^2+(K452-Sheet2!$K$526)^2+(L452-Sheet2!$L$526)^2)</f>
        <v>4.7275801790264538</v>
      </c>
      <c r="P452" s="12">
        <f t="shared" si="7"/>
        <v>0</v>
      </c>
      <c r="Q452" s="11">
        <f>IF(P452=Sheet1!$M452, 1, 0)</f>
        <v>1</v>
      </c>
    </row>
    <row r="453" spans="1:17" x14ac:dyDescent="0.35">
      <c r="A453" s="6" t="s">
        <v>493</v>
      </c>
      <c r="B453" s="6" t="s">
        <v>494</v>
      </c>
      <c r="C453" s="6">
        <v>2.01260966974661</v>
      </c>
      <c r="D453" s="6">
        <v>0.76929977229456614</v>
      </c>
      <c r="E453" s="6">
        <v>-1.469805963069974</v>
      </c>
      <c r="F453" s="6">
        <v>-1.0718042326229791</v>
      </c>
      <c r="G453" s="6">
        <v>-1.8021524776109314</v>
      </c>
      <c r="H453" s="6">
        <v>0.41355070920249304</v>
      </c>
      <c r="I453" s="6">
        <v>0.52041241313686049</v>
      </c>
      <c r="J453" s="6">
        <v>-0.25033909186585568</v>
      </c>
      <c r="K453" s="6">
        <v>-7.8942260909916143E-2</v>
      </c>
      <c r="L453" s="6">
        <v>-0.42237754955061957</v>
      </c>
      <c r="N453" s="8">
        <f>SQRT((C453-Sheet2!$C$525)^2+(D453-Sheet2!$D$525)^2+(E453-Sheet2!$E$525)^2+(F453-Sheet2!$F$525)^2+(G453-Sheet2!$G$525)^2+(H453-Sheet2!$H$525)^2+(I453-Sheet2!$I$525)^2+(J453-Sheet2!$J$525)^2+(K453-Sheet2!$K$525)^2+(L453-Sheet2!$L$525)^2)</f>
        <v>3.1463071525062776</v>
      </c>
      <c r="O453" s="8">
        <f>SQRT((C453-Sheet2!$C$526)^2+(D453-Sheet2!$D$526)^2+(E453-Sheet2!$E$526)^2+(F453-Sheet2!$F$526)^2+(G453-Sheet2!$G$526)^2+(H453-Sheet2!$H$526)^2+(I453-Sheet2!$I$526)^2+(J453-Sheet2!$J$526)^2+(K453-Sheet2!$K$526)^2+(L453-Sheet2!$L$526)^2)</f>
        <v>5.8336246871093271</v>
      </c>
      <c r="P453" s="12">
        <f t="shared" si="7"/>
        <v>0</v>
      </c>
      <c r="Q453" s="11">
        <f>IF(P453=Sheet1!$M453, 1, 0)</f>
        <v>0</v>
      </c>
    </row>
    <row r="454" spans="1:17" x14ac:dyDescent="0.35">
      <c r="A454" s="6" t="s">
        <v>493</v>
      </c>
      <c r="B454" s="6" t="s">
        <v>495</v>
      </c>
      <c r="C454" s="6">
        <v>1.403331790226672</v>
      </c>
      <c r="D454" s="6">
        <v>0.81226420450485837</v>
      </c>
      <c r="E454" s="6">
        <v>-1.0111579214757638</v>
      </c>
      <c r="F454" s="6">
        <v>-0.55414129421256286</v>
      </c>
      <c r="G454" s="6">
        <v>-1.3114595110555873</v>
      </c>
      <c r="H454" s="6">
        <v>0.49919357913177742</v>
      </c>
      <c r="I454" s="6">
        <v>0.49873755450555191</v>
      </c>
      <c r="J454" s="6">
        <v>1.9201181156748245E-4</v>
      </c>
      <c r="K454" s="6">
        <v>-0.76436896780833552</v>
      </c>
      <c r="L454" s="6">
        <v>-0.4164392062743329</v>
      </c>
      <c r="N454" s="8">
        <f>SQRT((C454-Sheet2!$C$525)^2+(D454-Sheet2!$D$525)^2+(E454-Sheet2!$E$525)^2+(F454-Sheet2!$F$525)^2+(G454-Sheet2!$G$525)^2+(H454-Sheet2!$H$525)^2+(I454-Sheet2!$I$525)^2+(J454-Sheet2!$J$525)^2+(K454-Sheet2!$K$525)^2+(L454-Sheet2!$L$525)^2)</f>
        <v>2.5233696077136387</v>
      </c>
      <c r="O454" s="8">
        <f>SQRT((C454-Sheet2!$C$526)^2+(D454-Sheet2!$D$526)^2+(E454-Sheet2!$E$526)^2+(F454-Sheet2!$F$526)^2+(G454-Sheet2!$G$526)^2+(H454-Sheet2!$H$526)^2+(I454-Sheet2!$I$526)^2+(J454-Sheet2!$J$526)^2+(K454-Sheet2!$K$526)^2+(L454-Sheet2!$L$526)^2)</f>
        <v>4.7752877024713136</v>
      </c>
      <c r="P454" s="12">
        <f t="shared" si="7"/>
        <v>0</v>
      </c>
      <c r="Q454" s="11">
        <f>IF(P454=Sheet1!$M454, 1, 0)</f>
        <v>0</v>
      </c>
    </row>
    <row r="455" spans="1:17" x14ac:dyDescent="0.35">
      <c r="A455" s="6" t="s">
        <v>493</v>
      </c>
      <c r="B455" s="6" t="s">
        <v>496</v>
      </c>
      <c r="C455" s="6">
        <v>1.0154875012811608</v>
      </c>
      <c r="D455" s="6">
        <v>0.76316199626452463</v>
      </c>
      <c r="E455" s="6">
        <v>-3.0130022065818246E-2</v>
      </c>
      <c r="F455" s="6">
        <v>0.21464979586719163</v>
      </c>
      <c r="G455" s="6">
        <v>-0.93109987425824825</v>
      </c>
      <c r="H455" s="6">
        <v>-0.15955629460101903</v>
      </c>
      <c r="I455" s="6">
        <v>0.28517644740295456</v>
      </c>
      <c r="J455" s="6">
        <v>1.1427656816131504</v>
      </c>
      <c r="K455" s="6">
        <v>-1.0757842981114982</v>
      </c>
      <c r="L455" s="6">
        <v>-0.33298116039657388</v>
      </c>
      <c r="N455" s="8">
        <f>SQRT((C455-Sheet2!$C$525)^2+(D455-Sheet2!$D$525)^2+(E455-Sheet2!$E$525)^2+(F455-Sheet2!$F$525)^2+(G455-Sheet2!$G$525)^2+(H455-Sheet2!$H$525)^2+(I455-Sheet2!$I$525)^2+(J455-Sheet2!$J$525)^2+(K455-Sheet2!$K$525)^2+(L455-Sheet2!$L$525)^2)</f>
        <v>2.5376459659844883</v>
      </c>
      <c r="O455" s="8">
        <f>SQRT((C455-Sheet2!$C$526)^2+(D455-Sheet2!$D$526)^2+(E455-Sheet2!$E$526)^2+(F455-Sheet2!$F$526)^2+(G455-Sheet2!$G$526)^2+(H455-Sheet2!$H$526)^2+(I455-Sheet2!$I$526)^2+(J455-Sheet2!$J$526)^2+(K455-Sheet2!$K$526)^2+(L455-Sheet2!$L$526)^2)</f>
        <v>3.6259673811861592</v>
      </c>
      <c r="P455" s="12">
        <f t="shared" si="7"/>
        <v>0</v>
      </c>
      <c r="Q455" s="11">
        <f>IF(P455=Sheet1!$M455, 1, 0)</f>
        <v>1</v>
      </c>
    </row>
    <row r="456" spans="1:17" x14ac:dyDescent="0.35">
      <c r="A456" s="6" t="s">
        <v>493</v>
      </c>
      <c r="B456" s="6" t="s">
        <v>497</v>
      </c>
      <c r="C456" s="6">
        <v>0.67192993045053506</v>
      </c>
      <c r="D456" s="6">
        <v>0.21689992959081214</v>
      </c>
      <c r="E456" s="6">
        <v>8.1827460673527374E-3</v>
      </c>
      <c r="F456" s="6">
        <v>-9.1942242060405355E-2</v>
      </c>
      <c r="G456" s="6">
        <v>-0.93400338293609209</v>
      </c>
      <c r="H456" s="6">
        <v>-0.42294851721372334</v>
      </c>
      <c r="I456" s="6">
        <v>0.70401121566088543</v>
      </c>
      <c r="J456" s="6">
        <v>-7.9522430267612701E-2</v>
      </c>
      <c r="K456" s="6">
        <v>0.21212935434831698</v>
      </c>
      <c r="L456" s="6">
        <v>-0.42527244984658524</v>
      </c>
      <c r="N456" s="8">
        <f>SQRT((C456-Sheet2!$C$525)^2+(D456-Sheet2!$D$525)^2+(E456-Sheet2!$E$525)^2+(F456-Sheet2!$F$525)^2+(G456-Sheet2!$G$525)^2+(H456-Sheet2!$H$525)^2+(I456-Sheet2!$I$525)^2+(J456-Sheet2!$J$525)^2+(K456-Sheet2!$K$525)^2+(L456-Sheet2!$L$525)^2)</f>
        <v>1.4617348923370854</v>
      </c>
      <c r="O456" s="8">
        <f>SQRT((C456-Sheet2!$C$526)^2+(D456-Sheet2!$D$526)^2+(E456-Sheet2!$E$526)^2+(F456-Sheet2!$F$526)^2+(G456-Sheet2!$G$526)^2+(H456-Sheet2!$H$526)^2+(I456-Sheet2!$I$526)^2+(J456-Sheet2!$J$526)^2+(K456-Sheet2!$K$526)^2+(L456-Sheet2!$L$526)^2)</f>
        <v>4.0391443820863824</v>
      </c>
      <c r="P456" s="12">
        <f t="shared" si="7"/>
        <v>0</v>
      </c>
      <c r="Q456" s="11">
        <f>IF(P456=Sheet1!$M456, 1, 0)</f>
        <v>1</v>
      </c>
    </row>
    <row r="457" spans="1:17" x14ac:dyDescent="0.35">
      <c r="A457" s="6" t="s">
        <v>493</v>
      </c>
      <c r="B457" s="6" t="s">
        <v>498</v>
      </c>
      <c r="C457" s="6">
        <v>1.9133000594283824</v>
      </c>
      <c r="D457" s="6">
        <v>0.24145103371097953</v>
      </c>
      <c r="E457" s="6">
        <v>-0.99531706542070264</v>
      </c>
      <c r="F457" s="6">
        <v>-0.93930717100602734</v>
      </c>
      <c r="G457" s="6">
        <v>-1.9444244028252036</v>
      </c>
      <c r="H457" s="6">
        <v>-2.022154056962433</v>
      </c>
      <c r="I457" s="6">
        <v>-3.4208969487796309E-2</v>
      </c>
      <c r="J457" s="6">
        <v>-1.3321779486547298</v>
      </c>
      <c r="K457" s="6">
        <v>-0.5718861254601485</v>
      </c>
      <c r="L457" s="6">
        <v>-0.40969594510709967</v>
      </c>
      <c r="N457" s="8">
        <f>SQRT((C457-Sheet2!$C$525)^2+(D457-Sheet2!$D$525)^2+(E457-Sheet2!$E$525)^2+(F457-Sheet2!$F$525)^2+(G457-Sheet2!$G$525)^2+(H457-Sheet2!$H$525)^2+(I457-Sheet2!$I$525)^2+(J457-Sheet2!$J$525)^2+(K457-Sheet2!$K$525)^2+(L457-Sheet2!$L$525)^2)</f>
        <v>3.5023800195592898</v>
      </c>
      <c r="O457" s="8">
        <f>SQRT((C457-Sheet2!$C$526)^2+(D457-Sheet2!$D$526)^2+(E457-Sheet2!$E$526)^2+(F457-Sheet2!$F$526)^2+(G457-Sheet2!$G$526)^2+(H457-Sheet2!$H$526)^2+(I457-Sheet2!$I$526)^2+(J457-Sheet2!$J$526)^2+(K457-Sheet2!$K$526)^2+(L457-Sheet2!$L$526)^2)</f>
        <v>6.6624940091468599</v>
      </c>
      <c r="P457" s="12">
        <f t="shared" si="7"/>
        <v>0</v>
      </c>
      <c r="Q457" s="11">
        <f>IF(P457=Sheet1!$M457, 1, 0)</f>
        <v>0</v>
      </c>
    </row>
    <row r="458" spans="1:17" x14ac:dyDescent="0.35">
      <c r="A458" s="6" t="s">
        <v>493</v>
      </c>
      <c r="B458" s="6" t="s">
        <v>499</v>
      </c>
      <c r="C458" s="6">
        <v>1.7442053175351835</v>
      </c>
      <c r="D458" s="6">
        <v>0.29669101798135483</v>
      </c>
      <c r="E458" s="6">
        <v>-0.59119104001600487</v>
      </c>
      <c r="F458" s="6">
        <v>-0.63117446957125567</v>
      </c>
      <c r="G458" s="6">
        <v>-2.2667138660656962</v>
      </c>
      <c r="H458" s="6">
        <v>-0.78437220100334382</v>
      </c>
      <c r="I458" s="6">
        <v>0.3820758154017449</v>
      </c>
      <c r="J458" s="6">
        <v>0.22415163479593117</v>
      </c>
      <c r="K458" s="6">
        <v>0.4280857140560399</v>
      </c>
      <c r="L458" s="6">
        <v>-0.41652052968515174</v>
      </c>
      <c r="N458" s="8">
        <f>SQRT((C458-Sheet2!$C$525)^2+(D458-Sheet2!$D$525)^2+(E458-Sheet2!$E$525)^2+(F458-Sheet2!$F$525)^2+(G458-Sheet2!$G$525)^2+(H458-Sheet2!$H$525)^2+(I458-Sheet2!$I$525)^2+(J458-Sheet2!$J$525)^2+(K458-Sheet2!$K$525)^2+(L458-Sheet2!$L$525)^2)</f>
        <v>2.8755831227617863</v>
      </c>
      <c r="O458" s="8">
        <f>SQRT((C458-Sheet2!$C$526)^2+(D458-Sheet2!$D$526)^2+(E458-Sheet2!$E$526)^2+(F458-Sheet2!$F$526)^2+(G458-Sheet2!$G$526)^2+(H458-Sheet2!$H$526)^2+(I458-Sheet2!$I$526)^2+(J458-Sheet2!$J$526)^2+(K458-Sheet2!$K$526)^2+(L458-Sheet2!$L$526)^2)</f>
        <v>5.6570039244430586</v>
      </c>
      <c r="P458" s="12">
        <f t="shared" si="7"/>
        <v>0</v>
      </c>
      <c r="Q458" s="11">
        <f>IF(P458=Sheet1!$M458, 1, 0)</f>
        <v>0</v>
      </c>
    </row>
    <row r="459" spans="1:17" x14ac:dyDescent="0.35">
      <c r="A459" s="6" t="s">
        <v>493</v>
      </c>
      <c r="B459" s="6" t="s">
        <v>500</v>
      </c>
      <c r="C459" s="6">
        <v>1.4731169218016429</v>
      </c>
      <c r="D459" s="6">
        <v>1.4353320599436772E-2</v>
      </c>
      <c r="E459" s="6">
        <v>-0.31121311904283228</v>
      </c>
      <c r="F459" s="6">
        <v>-0.86689598616885621</v>
      </c>
      <c r="G459" s="6">
        <v>-2.9141963012245249</v>
      </c>
      <c r="H459" s="6">
        <v>-0.64378862206282073</v>
      </c>
      <c r="I459" s="6">
        <v>-4.5046398803449725E-2</v>
      </c>
      <c r="J459" s="6">
        <v>-0.4477272341571592</v>
      </c>
      <c r="K459" s="6">
        <v>-6.1728348179590609E-2</v>
      </c>
      <c r="L459" s="6">
        <v>-0.41784886778190822</v>
      </c>
      <c r="N459" s="8">
        <f>SQRT((C459-Sheet2!$C$525)^2+(D459-Sheet2!$D$525)^2+(E459-Sheet2!$E$525)^2+(F459-Sheet2!$F$525)^2+(G459-Sheet2!$G$525)^2+(H459-Sheet2!$H$525)^2+(I459-Sheet2!$I$525)^2+(J459-Sheet2!$J$525)^2+(K459-Sheet2!$K$525)^2+(L459-Sheet2!$L$525)^2)</f>
        <v>3.1204631339911106</v>
      </c>
      <c r="O459" s="8">
        <f>SQRT((C459-Sheet2!$C$526)^2+(D459-Sheet2!$D$526)^2+(E459-Sheet2!$E$526)^2+(F459-Sheet2!$F$526)^2+(G459-Sheet2!$G$526)^2+(H459-Sheet2!$H$526)^2+(I459-Sheet2!$I$526)^2+(J459-Sheet2!$J$526)^2+(K459-Sheet2!$K$526)^2+(L459-Sheet2!$L$526)^2)</f>
        <v>6.0833983914203031</v>
      </c>
      <c r="P459" s="12">
        <f t="shared" si="7"/>
        <v>0</v>
      </c>
      <c r="Q459" s="11">
        <f>IF(P459=Sheet1!$M459, 1, 0)</f>
        <v>0</v>
      </c>
    </row>
    <row r="460" spans="1:17" x14ac:dyDescent="0.35">
      <c r="A460" s="6" t="s">
        <v>493</v>
      </c>
      <c r="B460" s="6" t="s">
        <v>501</v>
      </c>
      <c r="C460" s="6">
        <v>2.3185906312676363</v>
      </c>
      <c r="D460" s="6">
        <v>9.4144408989978376E-2</v>
      </c>
      <c r="E460" s="6">
        <v>-1.2550334263234482</v>
      </c>
      <c r="F460" s="6">
        <v>-1.1642440430534109</v>
      </c>
      <c r="G460" s="6">
        <v>-2.0634682586167381</v>
      </c>
      <c r="H460" s="6">
        <v>0.2934352375406673</v>
      </c>
      <c r="I460" s="6">
        <v>0.51084997550540145</v>
      </c>
      <c r="J460" s="6">
        <v>-1.2372798033223726</v>
      </c>
      <c r="K460" s="6">
        <v>1.1260316302128777</v>
      </c>
      <c r="L460" s="6">
        <v>-0.43612647152359146</v>
      </c>
      <c r="N460" s="8">
        <f>SQRT((C460-Sheet2!$C$525)^2+(D460-Sheet2!$D$525)^2+(E460-Sheet2!$E$525)^2+(F460-Sheet2!$F$525)^2+(G460-Sheet2!$G$525)^2+(H460-Sheet2!$H$525)^2+(I460-Sheet2!$I$525)^2+(J460-Sheet2!$J$525)^2+(K460-Sheet2!$K$525)^2+(L460-Sheet2!$L$525)^2)</f>
        <v>3.528869807560266</v>
      </c>
      <c r="O460" s="8">
        <f>SQRT((C460-Sheet2!$C$526)^2+(D460-Sheet2!$D$526)^2+(E460-Sheet2!$E$526)^2+(F460-Sheet2!$F$526)^2+(G460-Sheet2!$G$526)^2+(H460-Sheet2!$H$526)^2+(I460-Sheet2!$I$526)^2+(J460-Sheet2!$J$526)^2+(K460-Sheet2!$K$526)^2+(L460-Sheet2!$L$526)^2)</f>
        <v>6.672564166619094</v>
      </c>
      <c r="P460" s="12">
        <f t="shared" si="7"/>
        <v>0</v>
      </c>
      <c r="Q460" s="11">
        <f>IF(P460=Sheet1!$M460, 1, 0)</f>
        <v>0</v>
      </c>
    </row>
    <row r="461" spans="1:17" x14ac:dyDescent="0.35">
      <c r="A461" s="6" t="s">
        <v>493</v>
      </c>
      <c r="B461" s="6" t="s">
        <v>502</v>
      </c>
      <c r="C461" s="6">
        <v>0.48538890566359355</v>
      </c>
      <c r="D461" s="6">
        <v>-0.29867325693269081</v>
      </c>
      <c r="E461" s="6">
        <v>-1.0037900814501539</v>
      </c>
      <c r="F461" s="6">
        <v>-0.7898628108101633</v>
      </c>
      <c r="G461" s="6">
        <v>-0.95723145235882978</v>
      </c>
      <c r="H461" s="6">
        <v>-1.0052123058524416</v>
      </c>
      <c r="I461" s="6">
        <v>0.56439962624157458</v>
      </c>
      <c r="J461" s="6">
        <v>-1.3018105421483754</v>
      </c>
      <c r="K461" s="6">
        <v>0.92728918323548248</v>
      </c>
      <c r="L461" s="6">
        <v>-0.43964857758074666</v>
      </c>
      <c r="N461" s="8">
        <f>SQRT((C461-Sheet2!$C$525)^2+(D461-Sheet2!$D$525)^2+(E461-Sheet2!$E$525)^2+(F461-Sheet2!$F$525)^2+(G461-Sheet2!$G$525)^2+(H461-Sheet2!$H$525)^2+(I461-Sheet2!$I$525)^2+(J461-Sheet2!$J$525)^2+(K461-Sheet2!$K$525)^2+(L461-Sheet2!$L$525)^2)</f>
        <v>2.0795639575841802</v>
      </c>
      <c r="O461" s="8">
        <f>SQRT((C461-Sheet2!$C$526)^2+(D461-Sheet2!$D$526)^2+(E461-Sheet2!$E$526)^2+(F461-Sheet2!$F$526)^2+(G461-Sheet2!$G$526)^2+(H461-Sheet2!$H$526)^2+(I461-Sheet2!$I$526)^2+(J461-Sheet2!$J$526)^2+(K461-Sheet2!$K$526)^2+(L461-Sheet2!$L$526)^2)</f>
        <v>5.6476440672034762</v>
      </c>
      <c r="P461" s="12">
        <f t="shared" si="7"/>
        <v>0</v>
      </c>
      <c r="Q461" s="11">
        <f>IF(P461=Sheet1!$M461, 1, 0)</f>
        <v>1</v>
      </c>
    </row>
    <row r="462" spans="1:17" x14ac:dyDescent="0.35">
      <c r="A462" s="6" t="s">
        <v>493</v>
      </c>
      <c r="B462" s="6" t="s">
        <v>503</v>
      </c>
      <c r="C462" s="6">
        <v>-0.97338874860550939</v>
      </c>
      <c r="D462" s="6">
        <v>2.3098815558350352</v>
      </c>
      <c r="E462" s="6">
        <v>1.4084407429344961</v>
      </c>
      <c r="F462" s="6">
        <v>1.7414473314764867</v>
      </c>
      <c r="G462" s="6">
        <v>0.28256675307982132</v>
      </c>
      <c r="H462" s="6">
        <v>0.71949504957880428</v>
      </c>
      <c r="I462" s="6">
        <v>0.83916033418551383</v>
      </c>
      <c r="J462" s="6">
        <v>2.3764415709337965</v>
      </c>
      <c r="K462" s="6">
        <v>-1.2369691173136383</v>
      </c>
      <c r="L462" s="6">
        <v>-0.23762367329142606</v>
      </c>
      <c r="N462" s="8">
        <f>SQRT((C462-Sheet2!$C$525)^2+(D462-Sheet2!$D$525)^2+(E462-Sheet2!$E$525)^2+(F462-Sheet2!$F$525)^2+(G462-Sheet2!$G$525)^2+(H462-Sheet2!$H$525)^2+(I462-Sheet2!$I$525)^2+(J462-Sheet2!$J$525)^2+(K462-Sheet2!$K$525)^2+(L462-Sheet2!$L$525)^2)</f>
        <v>5.1356619183636294</v>
      </c>
      <c r="O462" s="8">
        <f>SQRT((C462-Sheet2!$C$526)^2+(D462-Sheet2!$D$526)^2+(E462-Sheet2!$E$526)^2+(F462-Sheet2!$F$526)^2+(G462-Sheet2!$G$526)^2+(H462-Sheet2!$H$526)^2+(I462-Sheet2!$I$526)^2+(J462-Sheet2!$J$526)^2+(K462-Sheet2!$K$526)^2+(L462-Sheet2!$L$526)^2)</f>
        <v>2.0880978958921226</v>
      </c>
      <c r="P462" s="12">
        <f t="shared" si="7"/>
        <v>1</v>
      </c>
      <c r="Q462" s="11">
        <f>IF(P462=Sheet1!$M462, 1, 0)</f>
        <v>0</v>
      </c>
    </row>
    <row r="463" spans="1:17" x14ac:dyDescent="0.35">
      <c r="A463" s="6" t="s">
        <v>493</v>
      </c>
      <c r="B463" s="6" t="s">
        <v>504</v>
      </c>
      <c r="C463" s="6">
        <v>1.4744589435627002</v>
      </c>
      <c r="D463" s="6">
        <v>1.2848729588180696</v>
      </c>
      <c r="E463" s="6">
        <v>-1.0756265216998495</v>
      </c>
      <c r="F463" s="6">
        <v>-0.27219987239974702</v>
      </c>
      <c r="G463" s="6">
        <v>-1.1546700424521024</v>
      </c>
      <c r="H463" s="6">
        <v>0.32683057046906688</v>
      </c>
      <c r="I463" s="6">
        <v>0.70464871150298214</v>
      </c>
      <c r="J463" s="6">
        <v>1.3857049336639855</v>
      </c>
      <c r="K463" s="6">
        <v>-1.3856347272573599</v>
      </c>
      <c r="L463" s="6">
        <v>-0.42654992946905262</v>
      </c>
      <c r="N463" s="8">
        <f>SQRT((C463-Sheet2!$C$525)^2+(D463-Sheet2!$D$525)^2+(E463-Sheet2!$E$525)^2+(F463-Sheet2!$F$525)^2+(G463-Sheet2!$G$525)^2+(H463-Sheet2!$H$525)^2+(I463-Sheet2!$I$525)^2+(J463-Sheet2!$J$525)^2+(K463-Sheet2!$K$525)^2+(L463-Sheet2!$L$525)^2)</f>
        <v>3.4405480152143681</v>
      </c>
      <c r="O463" s="8">
        <f>SQRT((C463-Sheet2!$C$526)^2+(D463-Sheet2!$D$526)^2+(E463-Sheet2!$E$526)^2+(F463-Sheet2!$F$526)^2+(G463-Sheet2!$G$526)^2+(H463-Sheet2!$H$526)^2+(I463-Sheet2!$I$526)^2+(J463-Sheet2!$J$526)^2+(K463-Sheet2!$K$526)^2+(L463-Sheet2!$L$526)^2)</f>
        <v>4.555851639032789</v>
      </c>
      <c r="P463" s="12">
        <f t="shared" si="7"/>
        <v>0</v>
      </c>
      <c r="Q463" s="11">
        <f>IF(P463=Sheet1!$M463, 1, 0)</f>
        <v>0</v>
      </c>
    </row>
    <row r="464" spans="1:17" x14ac:dyDescent="0.35">
      <c r="A464" s="6" t="s">
        <v>505</v>
      </c>
      <c r="B464" s="6" t="s">
        <v>506</v>
      </c>
      <c r="C464" s="6">
        <v>-0.44597419651005643</v>
      </c>
      <c r="D464" s="6">
        <v>-4.0886663670939613E-2</v>
      </c>
      <c r="E464" s="6">
        <v>-1.0527862176204592</v>
      </c>
      <c r="F464" s="6">
        <v>-0.67277238426494923</v>
      </c>
      <c r="G464" s="6">
        <v>-0.96303846971451312</v>
      </c>
      <c r="H464" s="6">
        <v>-0.20911065959154834</v>
      </c>
      <c r="I464" s="6">
        <v>0.6115743185567758</v>
      </c>
      <c r="J464" s="6">
        <v>-0.68307463458140549</v>
      </c>
      <c r="K464" s="6">
        <v>-0.71742193308926616</v>
      </c>
      <c r="L464" s="6">
        <v>-0.42646710161692369</v>
      </c>
      <c r="N464" s="8">
        <f>SQRT((C464-Sheet2!$C$525)^2+(D464-Sheet2!$D$525)^2+(E464-Sheet2!$E$525)^2+(F464-Sheet2!$F$525)^2+(G464-Sheet2!$G$525)^2+(H464-Sheet2!$H$525)^2+(I464-Sheet2!$I$525)^2+(J464-Sheet2!$J$525)^2+(K464-Sheet2!$K$525)^2+(L464-Sheet2!$L$525)^2)</f>
        <v>1.8051406775374768</v>
      </c>
      <c r="O464" s="8">
        <f>SQRT((C464-Sheet2!$C$526)^2+(D464-Sheet2!$D$526)^2+(E464-Sheet2!$E$526)^2+(F464-Sheet2!$F$526)^2+(G464-Sheet2!$G$526)^2+(H464-Sheet2!$H$526)^2+(I464-Sheet2!$I$526)^2+(J464-Sheet2!$J$526)^2+(K464-Sheet2!$K$526)^2+(L464-Sheet2!$L$526)^2)</f>
        <v>4.7010631500856146</v>
      </c>
      <c r="P464" s="12">
        <f t="shared" si="7"/>
        <v>0</v>
      </c>
      <c r="Q464" s="11">
        <f>IF(P464=Sheet1!$M464, 1, 0)</f>
        <v>1</v>
      </c>
    </row>
    <row r="465" spans="1:17" x14ac:dyDescent="0.35">
      <c r="A465" s="6" t="s">
        <v>505</v>
      </c>
      <c r="B465" s="6" t="s">
        <v>507</v>
      </c>
      <c r="C465" s="6">
        <v>0.16732974829305308</v>
      </c>
      <c r="D465" s="6">
        <v>0.35193100225173013</v>
      </c>
      <c r="E465" s="6">
        <v>-0.86895860898149446</v>
      </c>
      <c r="F465" s="6">
        <v>-0.63271513307843041</v>
      </c>
      <c r="G465" s="6">
        <v>-1.5989068701619711</v>
      </c>
      <c r="H465" s="6">
        <v>0.18840152913682801</v>
      </c>
      <c r="I465" s="6">
        <v>-9.0946099434456626E-2</v>
      </c>
      <c r="J465" s="6">
        <v>-0.3148698306918587</v>
      </c>
      <c r="K465" s="6">
        <v>-1.0084935483474982</v>
      </c>
      <c r="L465" s="6">
        <v>-0.34974560960555695</v>
      </c>
      <c r="N465" s="8">
        <f>SQRT((C465-Sheet2!$C$525)^2+(D465-Sheet2!$D$525)^2+(E465-Sheet2!$E$525)^2+(F465-Sheet2!$F$525)^2+(G465-Sheet2!$G$525)^2+(H465-Sheet2!$H$525)^2+(I465-Sheet2!$I$525)^2+(J465-Sheet2!$J$525)^2+(K465-Sheet2!$K$525)^2+(L465-Sheet2!$L$525)^2)</f>
        <v>2.0583159075569357</v>
      </c>
      <c r="O465" s="8">
        <f>SQRT((C465-Sheet2!$C$526)^2+(D465-Sheet2!$D$526)^2+(E465-Sheet2!$E$526)^2+(F465-Sheet2!$F$526)^2+(G465-Sheet2!$G$526)^2+(H465-Sheet2!$H$526)^2+(I465-Sheet2!$I$526)^2+(J465-Sheet2!$J$526)^2+(K465-Sheet2!$K$526)^2+(L465-Sheet2!$L$526)^2)</f>
        <v>4.7462030833797364</v>
      </c>
      <c r="P465" s="12">
        <f t="shared" si="7"/>
        <v>0</v>
      </c>
      <c r="Q465" s="11">
        <f>IF(P465=Sheet1!$M465, 1, 0)</f>
        <v>1</v>
      </c>
    </row>
    <row r="466" spans="1:17" x14ac:dyDescent="0.35">
      <c r="A466" s="6" t="s">
        <v>505</v>
      </c>
      <c r="B466" s="6" t="s">
        <v>508</v>
      </c>
      <c r="C466" s="6">
        <v>-0.54259976330616977</v>
      </c>
      <c r="D466" s="6">
        <v>0.34579322622168857</v>
      </c>
      <c r="E466" s="6">
        <v>-1.2100896021672285</v>
      </c>
      <c r="F466" s="6">
        <v>-0.94392916152754913</v>
      </c>
      <c r="G466" s="6">
        <v>-1.8195735296779858</v>
      </c>
      <c r="H466" s="6">
        <v>0.22125822766315714</v>
      </c>
      <c r="I466" s="6">
        <v>-3.8671440382477024E-2</v>
      </c>
      <c r="J466" s="6">
        <v>-0.86527907361953171</v>
      </c>
      <c r="K466" s="6">
        <v>-0.89269086270712661</v>
      </c>
      <c r="L466" s="6">
        <v>-0.42418398655871886</v>
      </c>
      <c r="N466" s="8">
        <f>SQRT((C466-Sheet2!$C$525)^2+(D466-Sheet2!$D$525)^2+(E466-Sheet2!$E$525)^2+(F466-Sheet2!$F$525)^2+(G466-Sheet2!$G$525)^2+(H466-Sheet2!$H$525)^2+(I466-Sheet2!$I$525)^2+(J466-Sheet2!$J$525)^2+(K466-Sheet2!$K$525)^2+(L466-Sheet2!$L$525)^2)</f>
        <v>2.5200886321092333</v>
      </c>
      <c r="O466" s="8">
        <f>SQRT((C466-Sheet2!$C$526)^2+(D466-Sheet2!$D$526)^2+(E466-Sheet2!$E$526)^2+(F466-Sheet2!$F$526)^2+(G466-Sheet2!$G$526)^2+(H466-Sheet2!$H$526)^2+(I466-Sheet2!$I$526)^2+(J466-Sheet2!$J$526)^2+(K466-Sheet2!$K$526)^2+(L466-Sheet2!$L$526)^2)</f>
        <v>5.2787048320967047</v>
      </c>
      <c r="P466" s="12">
        <f t="shared" si="7"/>
        <v>0</v>
      </c>
      <c r="Q466" s="11">
        <f>IF(P466=Sheet1!$M466, 1, 0)</f>
        <v>1</v>
      </c>
    </row>
    <row r="467" spans="1:17" x14ac:dyDescent="0.35">
      <c r="A467" s="6" t="s">
        <v>505</v>
      </c>
      <c r="B467" s="6" t="s">
        <v>509</v>
      </c>
      <c r="C467" s="6">
        <v>-0.95057437866753802</v>
      </c>
      <c r="D467" s="6">
        <v>-0.20660661648206549</v>
      </c>
      <c r="E467" s="6">
        <v>-1.1725136180366185</v>
      </c>
      <c r="F467" s="6">
        <v>-0.88384328474776852</v>
      </c>
      <c r="G467" s="6">
        <v>-1.0820823255060454</v>
      </c>
      <c r="H467" s="6">
        <v>-1.0359144667704869</v>
      </c>
      <c r="I467" s="6">
        <v>0.34063858566542055</v>
      </c>
      <c r="J467" s="6">
        <v>-1.1841368419362523</v>
      </c>
      <c r="K467" s="6">
        <v>-9.3026371325635418E-2</v>
      </c>
      <c r="L467" s="6">
        <v>-0.32245308010840712</v>
      </c>
      <c r="N467" s="8">
        <f>SQRT((C467-Sheet2!$C$525)^2+(D467-Sheet2!$D$525)^2+(E467-Sheet2!$E$525)^2+(F467-Sheet2!$F$525)^2+(G467-Sheet2!$G$525)^2+(H467-Sheet2!$H$525)^2+(I467-Sheet2!$I$525)^2+(J467-Sheet2!$J$525)^2+(K467-Sheet2!$K$525)^2+(L467-Sheet2!$L$525)^2)</f>
        <v>2.2299830288729177</v>
      </c>
      <c r="O467" s="8">
        <f>SQRT((C467-Sheet2!$C$526)^2+(D467-Sheet2!$D$526)^2+(E467-Sheet2!$E$526)^2+(F467-Sheet2!$F$526)^2+(G467-Sheet2!$G$526)^2+(H467-Sheet2!$H$526)^2+(I467-Sheet2!$I$526)^2+(J467-Sheet2!$J$526)^2+(K467-Sheet2!$K$526)^2+(L467-Sheet2!$L$526)^2)</f>
        <v>5.4024537446870813</v>
      </c>
      <c r="P467" s="12">
        <f t="shared" si="7"/>
        <v>0</v>
      </c>
      <c r="Q467" s="11">
        <f>IF(P467=Sheet1!$M467, 1, 0)</f>
        <v>1</v>
      </c>
    </row>
    <row r="468" spans="1:17" x14ac:dyDescent="0.35">
      <c r="A468" s="6" t="s">
        <v>505</v>
      </c>
      <c r="B468" s="6" t="s">
        <v>510</v>
      </c>
      <c r="C468" s="6">
        <v>-0.94654831338436674</v>
      </c>
      <c r="D468" s="6">
        <v>0.11255773708010311</v>
      </c>
      <c r="E468" s="6">
        <v>-1.0336298335538736</v>
      </c>
      <c r="F468" s="6">
        <v>-0.32458243164365874</v>
      </c>
      <c r="G468" s="6">
        <v>-1.3591132060089755E-2</v>
      </c>
      <c r="H468" s="6">
        <v>-0.44287799009034873</v>
      </c>
      <c r="I468" s="6">
        <v>0.1245274951944336</v>
      </c>
      <c r="J468" s="6">
        <v>1.1199901267333845</v>
      </c>
      <c r="K468" s="6">
        <v>-0.79410208979707941</v>
      </c>
      <c r="L468" s="6">
        <v>-0.37807532601592014</v>
      </c>
      <c r="N468" s="8">
        <f>SQRT((C468-Sheet2!$C$525)^2+(D468-Sheet2!$D$525)^2+(E468-Sheet2!$E$525)^2+(F468-Sheet2!$F$525)^2+(G468-Sheet2!$G$525)^2+(H468-Sheet2!$H$525)^2+(I468-Sheet2!$I$525)^2+(J468-Sheet2!$J$525)^2+(K468-Sheet2!$K$525)^2+(L468-Sheet2!$L$525)^2)</f>
        <v>2.2282760076924415</v>
      </c>
      <c r="O468" s="8">
        <f>SQRT((C468-Sheet2!$C$526)^2+(D468-Sheet2!$D$526)^2+(E468-Sheet2!$E$526)^2+(F468-Sheet2!$F$526)^2+(G468-Sheet2!$G$526)^2+(H468-Sheet2!$H$526)^2+(I468-Sheet2!$I$526)^2+(J468-Sheet2!$J$526)^2+(K468-Sheet2!$K$526)^2+(L468-Sheet2!$L$526)^2)</f>
        <v>3.8542391486553522</v>
      </c>
      <c r="P468" s="12">
        <f t="shared" si="7"/>
        <v>0</v>
      </c>
      <c r="Q468" s="11">
        <f>IF(P468=Sheet1!$M468, 1, 0)</f>
        <v>1</v>
      </c>
    </row>
    <row r="469" spans="1:17" x14ac:dyDescent="0.35">
      <c r="A469" s="6" t="s">
        <v>505</v>
      </c>
      <c r="B469" s="6" t="s">
        <v>511</v>
      </c>
      <c r="C469" s="6">
        <v>0.37131705597373715</v>
      </c>
      <c r="D469" s="6">
        <v>-0.10226442397135649</v>
      </c>
      <c r="E469" s="6">
        <v>-0.86637986497253106</v>
      </c>
      <c r="F469" s="6">
        <v>-0.45091683923191406</v>
      </c>
      <c r="G469" s="6">
        <v>-0.16747709198573077</v>
      </c>
      <c r="H469" s="6">
        <v>-0.3825509370584006</v>
      </c>
      <c r="I469" s="6">
        <v>-1.2511885320515537</v>
      </c>
      <c r="J469" s="6">
        <v>0.65309125169818638</v>
      </c>
      <c r="K469" s="6">
        <v>-0.72994114234768448</v>
      </c>
      <c r="L469" s="6">
        <v>-0.40688205479667994</v>
      </c>
      <c r="N469" s="8">
        <f>SQRT((C469-Sheet2!$C$525)^2+(D469-Sheet2!$D$525)^2+(E469-Sheet2!$E$525)^2+(F469-Sheet2!$F$525)^2+(G469-Sheet2!$G$525)^2+(H469-Sheet2!$H$525)^2+(I469-Sheet2!$I$525)^2+(J469-Sheet2!$J$525)^2+(K469-Sheet2!$K$525)^2+(L469-Sheet2!$L$525)^2)</f>
        <v>1.8034551295725259</v>
      </c>
      <c r="O469" s="8">
        <f>SQRT((C469-Sheet2!$C$526)^2+(D469-Sheet2!$D$526)^2+(E469-Sheet2!$E$526)^2+(F469-Sheet2!$F$526)^2+(G469-Sheet2!$G$526)^2+(H469-Sheet2!$H$526)^2+(I469-Sheet2!$I$526)^2+(J469-Sheet2!$J$526)^2+(K469-Sheet2!$K$526)^2+(L469-Sheet2!$L$526)^2)</f>
        <v>4.5263864342484776</v>
      </c>
      <c r="P469" s="12">
        <f t="shared" si="7"/>
        <v>0</v>
      </c>
      <c r="Q469" s="11">
        <f>IF(P469=Sheet1!$M469, 1, 0)</f>
        <v>1</v>
      </c>
    </row>
    <row r="470" spans="1:17" x14ac:dyDescent="0.35">
      <c r="A470" s="6" t="s">
        <v>505</v>
      </c>
      <c r="B470" s="6" t="s">
        <v>512</v>
      </c>
      <c r="C470" s="6">
        <v>-0.77208548444693947</v>
      </c>
      <c r="D470" s="6">
        <v>-0.63625093858498472</v>
      </c>
      <c r="E470" s="6">
        <v>-1.4539651070149129</v>
      </c>
      <c r="F470" s="6">
        <v>-1.0825888771731962</v>
      </c>
      <c r="G470" s="6">
        <v>-0.66978409325244581</v>
      </c>
      <c r="H470" s="6">
        <v>-0.30714212076846453</v>
      </c>
      <c r="I470" s="6">
        <v>-0.39439412027277393</v>
      </c>
      <c r="J470" s="6">
        <v>0.45949903522017715</v>
      </c>
      <c r="K470" s="6">
        <v>-0.27455490557270729</v>
      </c>
      <c r="L470" s="6">
        <v>-0.43629440478483278</v>
      </c>
      <c r="N470" s="8">
        <f>SQRT((C470-Sheet2!$C$525)^2+(D470-Sheet2!$D$525)^2+(E470-Sheet2!$E$525)^2+(F470-Sheet2!$F$525)^2+(G470-Sheet2!$G$525)^2+(H470-Sheet2!$H$525)^2+(I470-Sheet2!$I$525)^2+(J470-Sheet2!$J$525)^2+(K470-Sheet2!$K$525)^2+(L470-Sheet2!$L$525)^2)</f>
        <v>1.9738028116994395</v>
      </c>
      <c r="O470" s="8">
        <f>SQRT((C470-Sheet2!$C$526)^2+(D470-Sheet2!$D$526)^2+(E470-Sheet2!$E$526)^2+(F470-Sheet2!$F$526)^2+(G470-Sheet2!$G$526)^2+(H470-Sheet2!$H$526)^2+(I470-Sheet2!$I$526)^2+(J470-Sheet2!$J$526)^2+(K470-Sheet2!$K$526)^2+(L470-Sheet2!$L$526)^2)</f>
        <v>5.0735052800869562</v>
      </c>
      <c r="P470" s="12">
        <f t="shared" si="7"/>
        <v>0</v>
      </c>
      <c r="Q470" s="11">
        <f>IF(P470=Sheet1!$M470, 1, 0)</f>
        <v>1</v>
      </c>
    </row>
    <row r="471" spans="1:17" x14ac:dyDescent="0.35">
      <c r="A471" s="6" t="s">
        <v>505</v>
      </c>
      <c r="B471" s="6" t="s">
        <v>513</v>
      </c>
      <c r="C471" s="6">
        <v>-0.64190937362439759</v>
      </c>
      <c r="D471" s="6">
        <v>-0.47053098577385882</v>
      </c>
      <c r="E471" s="6">
        <v>-1.4211782189009494</v>
      </c>
      <c r="F471" s="6">
        <v>-1.4169128582299235</v>
      </c>
      <c r="G471" s="6">
        <v>-2.1592840449855326</v>
      </c>
      <c r="H471" s="6">
        <v>-0.63732500923796886</v>
      </c>
      <c r="I471" s="6">
        <v>-1.0695022170538218</v>
      </c>
      <c r="J471" s="6">
        <v>0.39496829639417413</v>
      </c>
      <c r="K471" s="6">
        <v>-3.6689929662751655E-2</v>
      </c>
      <c r="L471" s="6">
        <v>-0.43535183051401094</v>
      </c>
      <c r="N471" s="8">
        <f>SQRT((C471-Sheet2!$C$525)^2+(D471-Sheet2!$D$525)^2+(E471-Sheet2!$E$525)^2+(F471-Sheet2!$F$525)^2+(G471-Sheet2!$G$525)^2+(H471-Sheet2!$H$525)^2+(I471-Sheet2!$I$525)^2+(J471-Sheet2!$J$525)^2+(K471-Sheet2!$K$525)^2+(L471-Sheet2!$L$525)^2)</f>
        <v>2.9008589529526807</v>
      </c>
      <c r="O471" s="8">
        <f>SQRT((C471-Sheet2!$C$526)^2+(D471-Sheet2!$D$526)^2+(E471-Sheet2!$E$526)^2+(F471-Sheet2!$F$526)^2+(G471-Sheet2!$G$526)^2+(H471-Sheet2!$H$526)^2+(I471-Sheet2!$I$526)^2+(J471-Sheet2!$J$526)^2+(K471-Sheet2!$K$526)^2+(L471-Sheet2!$L$526)^2)</f>
        <v>6.0796659433316149</v>
      </c>
      <c r="P471" s="12">
        <f t="shared" si="7"/>
        <v>0</v>
      </c>
      <c r="Q471" s="11">
        <f>IF(P471=Sheet1!$M471, 1, 0)</f>
        <v>1</v>
      </c>
    </row>
    <row r="472" spans="1:17" x14ac:dyDescent="0.35">
      <c r="A472" s="6" t="s">
        <v>505</v>
      </c>
      <c r="B472" s="6" t="s">
        <v>514</v>
      </c>
      <c r="C472" s="6">
        <v>-1.1706659474809076</v>
      </c>
      <c r="D472" s="6">
        <v>2.0705082906634091</v>
      </c>
      <c r="E472" s="6">
        <v>1.0923604058358354</v>
      </c>
      <c r="F472" s="6">
        <v>1.5735150091945358</v>
      </c>
      <c r="G472" s="6">
        <v>0.40741762622704125</v>
      </c>
      <c r="H472" s="6">
        <v>1.1859524417722642</v>
      </c>
      <c r="I472" s="6">
        <v>0.94753462734205607</v>
      </c>
      <c r="J472" s="6">
        <v>0.24313126386240255</v>
      </c>
      <c r="K472" s="6">
        <v>-1.5468195464595</v>
      </c>
      <c r="L472" s="6">
        <v>-0.30442189131630942</v>
      </c>
      <c r="N472" s="8">
        <f>SQRT((C472-Sheet2!$C$525)^2+(D472-Sheet2!$D$525)^2+(E472-Sheet2!$E$525)^2+(F472-Sheet2!$F$525)^2+(G472-Sheet2!$G$525)^2+(H472-Sheet2!$H$525)^2+(I472-Sheet2!$I$525)^2+(J472-Sheet2!$J$525)^2+(K472-Sheet2!$K$525)^2+(L472-Sheet2!$L$525)^2)</f>
        <v>4.4362740908548624</v>
      </c>
      <c r="O472" s="8">
        <f>SQRT((C472-Sheet2!$C$526)^2+(D472-Sheet2!$D$526)^2+(E472-Sheet2!$E$526)^2+(F472-Sheet2!$F$526)^2+(G472-Sheet2!$G$526)^2+(H472-Sheet2!$H$526)^2+(I472-Sheet2!$I$526)^2+(J472-Sheet2!$J$526)^2+(K472-Sheet2!$K$526)^2+(L472-Sheet2!$L$526)^2)</f>
        <v>2.0402070302929034</v>
      </c>
      <c r="P472" s="12">
        <f t="shared" si="7"/>
        <v>1</v>
      </c>
      <c r="Q472" s="11">
        <f>IF(P472=Sheet1!$M472, 1, 0)</f>
        <v>0</v>
      </c>
    </row>
    <row r="473" spans="1:17" x14ac:dyDescent="0.35">
      <c r="A473" s="6" t="s">
        <v>505</v>
      </c>
      <c r="B473" s="6" t="s">
        <v>515</v>
      </c>
      <c r="C473" s="6">
        <v>-0.76403335388059668</v>
      </c>
      <c r="D473" s="6">
        <v>0.92888194907565047</v>
      </c>
      <c r="E473" s="6">
        <v>-0.74002140853332288</v>
      </c>
      <c r="F473" s="6">
        <v>0.16380790013045457</v>
      </c>
      <c r="G473" s="6">
        <v>-6.5854288261248589E-2</v>
      </c>
      <c r="H473" s="6">
        <v>0.71895641517673314</v>
      </c>
      <c r="I473" s="6">
        <v>0.83342287160663786</v>
      </c>
      <c r="J473" s="6">
        <v>-0.85389129617964865</v>
      </c>
      <c r="K473" s="6">
        <v>-0.51085498032535759</v>
      </c>
      <c r="L473" s="6">
        <v>-0.41583651036948732</v>
      </c>
      <c r="N473" s="8">
        <f>SQRT((C473-Sheet2!$C$525)^2+(D473-Sheet2!$D$525)^2+(E473-Sheet2!$E$525)^2+(F473-Sheet2!$F$525)^2+(G473-Sheet2!$G$525)^2+(H473-Sheet2!$H$525)^2+(I473-Sheet2!$I$525)^2+(J473-Sheet2!$J$525)^2+(K473-Sheet2!$K$525)^2+(L473-Sheet2!$L$525)^2)</f>
        <v>2.3433785072886346</v>
      </c>
      <c r="O473" s="8">
        <f>SQRT((C473-Sheet2!$C$526)^2+(D473-Sheet2!$D$526)^2+(E473-Sheet2!$E$526)^2+(F473-Sheet2!$F$526)^2+(G473-Sheet2!$G$526)^2+(H473-Sheet2!$H$526)^2+(I473-Sheet2!$I$526)^2+(J473-Sheet2!$J$526)^2+(K473-Sheet2!$K$526)^2+(L473-Sheet2!$L$526)^2)</f>
        <v>3.5993150291633822</v>
      </c>
      <c r="P473" s="12">
        <f t="shared" si="7"/>
        <v>0</v>
      </c>
      <c r="Q473" s="11">
        <f>IF(P473=Sheet1!$M473, 1, 0)</f>
        <v>1</v>
      </c>
    </row>
    <row r="474" spans="1:17" x14ac:dyDescent="0.35">
      <c r="A474" s="6" t="s">
        <v>516</v>
      </c>
      <c r="B474" s="6" t="s">
        <v>517</v>
      </c>
      <c r="C474" s="6">
        <v>1.4207780731204147</v>
      </c>
      <c r="D474" s="6">
        <v>0.32737989813156382</v>
      </c>
      <c r="E474" s="6">
        <v>-1.0605224496473493</v>
      </c>
      <c r="F474" s="6">
        <v>-0.21673598614148823</v>
      </c>
      <c r="G474" s="6">
        <v>-0.33588059530058234</v>
      </c>
      <c r="H474" s="6">
        <v>-0.61093192353649162</v>
      </c>
      <c r="I474" s="6">
        <v>0.82003545892259477</v>
      </c>
      <c r="J474" s="6">
        <v>1.0782349427871476</v>
      </c>
      <c r="K474" s="6">
        <v>0.3232373365167836</v>
      </c>
      <c r="L474" s="6">
        <v>-0.38635027559699342</v>
      </c>
      <c r="N474" s="8">
        <f>SQRT((C474-Sheet2!$C$525)^2+(D474-Sheet2!$D$525)^2+(E474-Sheet2!$E$525)^2+(F474-Sheet2!$F$525)^2+(G474-Sheet2!$G$525)^2+(H474-Sheet2!$H$525)^2+(I474-Sheet2!$I$525)^2+(J474-Sheet2!$J$525)^2+(K474-Sheet2!$K$525)^2+(L474-Sheet2!$L$525)^2)</f>
        <v>2.3661483695325574</v>
      </c>
      <c r="O474" s="8">
        <f>SQRT((C474-Sheet2!$C$526)^2+(D474-Sheet2!$D$526)^2+(E474-Sheet2!$E$526)^2+(F474-Sheet2!$F$526)^2+(G474-Sheet2!$G$526)^2+(H474-Sheet2!$H$526)^2+(I474-Sheet2!$I$526)^2+(J474-Sheet2!$J$526)^2+(K474-Sheet2!$K$526)^2+(L474-Sheet2!$L$526)^2)</f>
        <v>4.5220304705868513</v>
      </c>
      <c r="P474" s="12">
        <f t="shared" si="7"/>
        <v>0</v>
      </c>
      <c r="Q474" s="11">
        <f>IF(P474=Sheet1!$M474, 1, 0)</f>
        <v>0</v>
      </c>
    </row>
    <row r="475" spans="1:17" x14ac:dyDescent="0.35">
      <c r="A475" s="6" t="s">
        <v>516</v>
      </c>
      <c r="B475" s="6" t="s">
        <v>518</v>
      </c>
      <c r="C475" s="6">
        <v>0.50551923207945038</v>
      </c>
      <c r="D475" s="6">
        <v>8.8006632959936798E-2</v>
      </c>
      <c r="E475" s="6">
        <v>-0.80080608874460379</v>
      </c>
      <c r="F475" s="6">
        <v>-0.71128897194429574</v>
      </c>
      <c r="G475" s="6">
        <v>-1.3724331932902731</v>
      </c>
      <c r="H475" s="6">
        <v>-0.1417813593326771</v>
      </c>
      <c r="I475" s="6">
        <v>-8.6483628539775009E-2</v>
      </c>
      <c r="J475" s="6">
        <v>-0.69446241202128833</v>
      </c>
      <c r="K475" s="6">
        <v>0.9679766133253439</v>
      </c>
      <c r="L475" s="6">
        <v>-0.42308137734353385</v>
      </c>
      <c r="N475" s="8">
        <f>SQRT((C475-Sheet2!$C$525)^2+(D475-Sheet2!$D$525)^2+(E475-Sheet2!$E$525)^2+(F475-Sheet2!$F$525)^2+(G475-Sheet2!$G$525)^2+(H475-Sheet2!$H$525)^2+(I475-Sheet2!$I$525)^2+(J475-Sheet2!$J$525)^2+(K475-Sheet2!$K$525)^2+(L475-Sheet2!$L$525)^2)</f>
        <v>1.7117648715653178</v>
      </c>
      <c r="O475" s="8">
        <f>SQRT((C475-Sheet2!$C$526)^2+(D475-Sheet2!$D$526)^2+(E475-Sheet2!$E$526)^2+(F475-Sheet2!$F$526)^2+(G475-Sheet2!$G$526)^2+(H475-Sheet2!$H$526)^2+(I475-Sheet2!$I$526)^2+(J475-Sheet2!$J$526)^2+(K475-Sheet2!$K$526)^2+(L475-Sheet2!$L$526)^2)</f>
        <v>5.2024391359398408</v>
      </c>
      <c r="P475" s="12">
        <f t="shared" si="7"/>
        <v>0</v>
      </c>
      <c r="Q475" s="11">
        <f>IF(P475=Sheet1!$M475, 1, 0)</f>
        <v>1</v>
      </c>
    </row>
    <row r="476" spans="1:17" x14ac:dyDescent="0.35">
      <c r="A476" s="6" t="s">
        <v>516</v>
      </c>
      <c r="B476" s="6" t="s">
        <v>519</v>
      </c>
      <c r="C476" s="6">
        <v>2.5950471140454052</v>
      </c>
      <c r="D476" s="6">
        <v>-0.83265977154631954</v>
      </c>
      <c r="E476" s="6">
        <v>-0.84390795289442122</v>
      </c>
      <c r="F476" s="6">
        <v>-1.4785393985168778</v>
      </c>
      <c r="G476" s="6">
        <v>-2.7341787631983023</v>
      </c>
      <c r="H476" s="6">
        <v>-0.86732189892227318</v>
      </c>
      <c r="I476" s="6">
        <v>-4.1664570179625366</v>
      </c>
      <c r="J476" s="6">
        <v>-0.81972796386000013</v>
      </c>
      <c r="K476" s="6">
        <v>0.86156333462878443</v>
      </c>
      <c r="L476" s="6">
        <v>-0.43825176650936182</v>
      </c>
      <c r="N476" s="8">
        <f>SQRT((C476-Sheet2!$C$525)^2+(D476-Sheet2!$D$525)^2+(E476-Sheet2!$E$525)^2+(F476-Sheet2!$F$525)^2+(G476-Sheet2!$G$525)^2+(H476-Sheet2!$H$525)^2+(I476-Sheet2!$I$525)^2+(J476-Sheet2!$J$525)^2+(K476-Sheet2!$K$525)^2+(L476-Sheet2!$L$525)^2)</f>
        <v>5.6039696490159114</v>
      </c>
      <c r="O476" s="8">
        <f>SQRT((C476-Sheet2!$C$526)^2+(D476-Sheet2!$D$526)^2+(E476-Sheet2!$E$526)^2+(F476-Sheet2!$F$526)^2+(G476-Sheet2!$G$526)^2+(H476-Sheet2!$H$526)^2+(I476-Sheet2!$I$526)^2+(J476-Sheet2!$J$526)^2+(K476-Sheet2!$K$526)^2+(L476-Sheet2!$L$526)^2)</f>
        <v>8.8237999638108384</v>
      </c>
      <c r="P476" s="12">
        <f t="shared" si="7"/>
        <v>0</v>
      </c>
      <c r="Q476" s="11">
        <f>IF(P476=Sheet1!$M476, 1, 0)</f>
        <v>0</v>
      </c>
    </row>
    <row r="477" spans="1:17" x14ac:dyDescent="0.35">
      <c r="A477" s="6" t="s">
        <v>516</v>
      </c>
      <c r="B477" s="6" t="s">
        <v>520</v>
      </c>
      <c r="C477" s="6">
        <v>2.3507991535330071</v>
      </c>
      <c r="D477" s="6">
        <v>-0.13295330412156439</v>
      </c>
      <c r="E477" s="6">
        <v>-0.22721974275088053</v>
      </c>
      <c r="F477" s="6">
        <v>-0.81297276341776981</v>
      </c>
      <c r="G477" s="6">
        <v>-2.5164156123601318</v>
      </c>
      <c r="H477" s="6">
        <v>1.3345348463762764E-2</v>
      </c>
      <c r="I477" s="6">
        <v>0.3336261314023502</v>
      </c>
      <c r="J477" s="6">
        <v>-0.12127761421384972</v>
      </c>
      <c r="K477" s="6">
        <v>-0.33089134723559105</v>
      </c>
      <c r="L477" s="6">
        <v>6.4727448954961561E-2</v>
      </c>
      <c r="N477" s="8">
        <f>SQRT((C477-Sheet2!$C$525)^2+(D477-Sheet2!$D$525)^2+(E477-Sheet2!$E$525)^2+(F477-Sheet2!$F$525)^2+(G477-Sheet2!$G$525)^2+(H477-Sheet2!$H$525)^2+(I477-Sheet2!$I$525)^2+(J477-Sheet2!$J$525)^2+(K477-Sheet2!$K$525)^2+(L477-Sheet2!$L$525)^2)</f>
        <v>3.303955217664174</v>
      </c>
      <c r="O477" s="8">
        <f>SQRT((C477-Sheet2!$C$526)^2+(D477-Sheet2!$D$526)^2+(E477-Sheet2!$E$526)^2+(F477-Sheet2!$F$526)^2+(G477-Sheet2!$G$526)^2+(H477-Sheet2!$H$526)^2+(I477-Sheet2!$I$526)^2+(J477-Sheet2!$J$526)^2+(K477-Sheet2!$K$526)^2+(L477-Sheet2!$L$526)^2)</f>
        <v>5.8850364192070668</v>
      </c>
      <c r="P477" s="12">
        <f t="shared" si="7"/>
        <v>0</v>
      </c>
      <c r="Q477" s="11">
        <f>IF(P477=Sheet1!$M477, 1, 0)</f>
        <v>0</v>
      </c>
    </row>
    <row r="478" spans="1:17" x14ac:dyDescent="0.35">
      <c r="A478" s="6" t="s">
        <v>516</v>
      </c>
      <c r="B478" s="6" t="s">
        <v>521</v>
      </c>
      <c r="C478" s="6">
        <v>1.1121130680772742</v>
      </c>
      <c r="D478" s="6">
        <v>-5.9299991761064347E-2</v>
      </c>
      <c r="E478" s="6">
        <v>0.60866170815455178</v>
      </c>
      <c r="F478" s="6">
        <v>0.32249624136936217</v>
      </c>
      <c r="G478" s="6">
        <v>-0.24296831760963145</v>
      </c>
      <c r="H478" s="6">
        <v>0.52235485842082952</v>
      </c>
      <c r="I478" s="6">
        <v>6.7790365247773279E-2</v>
      </c>
      <c r="J478" s="6">
        <v>0.75178532284383803</v>
      </c>
      <c r="K478" s="6">
        <v>0.31697773188757328</v>
      </c>
      <c r="L478" s="6">
        <v>-0.32117223638801018</v>
      </c>
      <c r="N478" s="8">
        <f>SQRT((C478-Sheet2!$C$525)^2+(D478-Sheet2!$D$525)^2+(E478-Sheet2!$E$525)^2+(F478-Sheet2!$F$525)^2+(G478-Sheet2!$G$525)^2+(H478-Sheet2!$H$525)^2+(I478-Sheet2!$I$525)^2+(J478-Sheet2!$J$525)^2+(K478-Sheet2!$K$525)^2+(L478-Sheet2!$L$525)^2)</f>
        <v>1.9674246006961449</v>
      </c>
      <c r="O478" s="8">
        <f>SQRT((C478-Sheet2!$C$526)^2+(D478-Sheet2!$D$526)^2+(E478-Sheet2!$E$526)^2+(F478-Sheet2!$F$526)^2+(G478-Sheet2!$G$526)^2+(H478-Sheet2!$H$526)^2+(I478-Sheet2!$I$526)^2+(J478-Sheet2!$J$526)^2+(K478-Sheet2!$K$526)^2+(L478-Sheet2!$L$526)^2)</f>
        <v>3.3993305564714267</v>
      </c>
      <c r="P478" s="12">
        <f t="shared" si="7"/>
        <v>0</v>
      </c>
      <c r="Q478" s="11">
        <f>IF(P478=Sheet1!$M478, 1, 0)</f>
        <v>0</v>
      </c>
    </row>
    <row r="479" spans="1:17" x14ac:dyDescent="0.35">
      <c r="A479" s="6" t="s">
        <v>516</v>
      </c>
      <c r="B479" s="6" t="s">
        <v>522</v>
      </c>
      <c r="C479" s="6">
        <v>0.84236669410479081</v>
      </c>
      <c r="D479" s="6">
        <v>-0.58101095431460936</v>
      </c>
      <c r="E479" s="6">
        <v>-1.5239595872582061</v>
      </c>
      <c r="F479" s="6">
        <v>-1.1503780714888456</v>
      </c>
      <c r="G479" s="6">
        <v>-0.9485209263253026</v>
      </c>
      <c r="H479" s="6">
        <v>-1.9499770470849229</v>
      </c>
      <c r="I479" s="6">
        <v>-2.151970156935048</v>
      </c>
      <c r="J479" s="6">
        <v>-0.572992785995871</v>
      </c>
      <c r="K479" s="6">
        <v>1.6596629248529713</v>
      </c>
      <c r="L479" s="6">
        <v>-0.43176507527055735</v>
      </c>
      <c r="N479" s="8">
        <f>SQRT((C479-Sheet2!$C$525)^2+(D479-Sheet2!$D$525)^2+(E479-Sheet2!$E$525)^2+(F479-Sheet2!$F$525)^2+(G479-Sheet2!$G$525)^2+(H479-Sheet2!$H$525)^2+(I479-Sheet2!$I$525)^2+(J479-Sheet2!$J$525)^2+(K479-Sheet2!$K$525)^2+(L479-Sheet2!$L$525)^2)</f>
        <v>3.564547302185181</v>
      </c>
      <c r="O479" s="8">
        <f>SQRT((C479-Sheet2!$C$526)^2+(D479-Sheet2!$D$526)^2+(E479-Sheet2!$E$526)^2+(F479-Sheet2!$F$526)^2+(G479-Sheet2!$G$526)^2+(H479-Sheet2!$H$526)^2+(I479-Sheet2!$I$526)^2+(J479-Sheet2!$J$526)^2+(K479-Sheet2!$K$526)^2+(L479-Sheet2!$L$526)^2)</f>
        <v>7.1348344637498604</v>
      </c>
      <c r="P479" s="12">
        <f t="shared" si="7"/>
        <v>0</v>
      </c>
      <c r="Q479" s="11">
        <f>IF(P479=Sheet1!$M479, 1, 0)</f>
        <v>0</v>
      </c>
    </row>
    <row r="480" spans="1:17" x14ac:dyDescent="0.35">
      <c r="A480" s="6" t="s">
        <v>516</v>
      </c>
      <c r="B480" s="6" t="s">
        <v>523</v>
      </c>
      <c r="C480" s="6">
        <v>2.0810527795605238</v>
      </c>
      <c r="D480" s="6">
        <v>-6.5437767791105925E-2</v>
      </c>
      <c r="E480" s="6">
        <v>-1.0958880817702765</v>
      </c>
      <c r="F480" s="6">
        <v>-0.64041845061429925</v>
      </c>
      <c r="G480" s="6">
        <v>-0.99788057384862183</v>
      </c>
      <c r="H480" s="6">
        <v>0.3801553762740934</v>
      </c>
      <c r="I480" s="6">
        <v>4.0407810380426222E-3</v>
      </c>
      <c r="J480" s="6">
        <v>-0.64511537644846251</v>
      </c>
      <c r="K480" s="6">
        <v>-8.989656901103138E-2</v>
      </c>
      <c r="L480" s="6">
        <v>-0.28089598137924437</v>
      </c>
      <c r="N480" s="8">
        <f>SQRT((C480-Sheet2!$C$525)^2+(D480-Sheet2!$D$525)^2+(E480-Sheet2!$E$525)^2+(F480-Sheet2!$F$525)^2+(G480-Sheet2!$G$525)^2+(H480-Sheet2!$H$525)^2+(I480-Sheet2!$I$525)^2+(J480-Sheet2!$J$525)^2+(K480-Sheet2!$K$525)^2+(L480-Sheet2!$L$525)^2)</f>
        <v>2.3613384922871385</v>
      </c>
      <c r="O480" s="8">
        <f>SQRT((C480-Sheet2!$C$526)^2+(D480-Sheet2!$D$526)^2+(E480-Sheet2!$E$526)^2+(F480-Sheet2!$F$526)^2+(G480-Sheet2!$G$526)^2+(H480-Sheet2!$H$526)^2+(I480-Sheet2!$I$526)^2+(J480-Sheet2!$J$526)^2+(K480-Sheet2!$K$526)^2+(L480-Sheet2!$L$526)^2)</f>
        <v>5.4626528367726026</v>
      </c>
      <c r="P480" s="12">
        <f t="shared" si="7"/>
        <v>0</v>
      </c>
      <c r="Q480" s="11">
        <f>IF(P480=Sheet1!$M480, 1, 0)</f>
        <v>1</v>
      </c>
    </row>
    <row r="481" spans="1:17" x14ac:dyDescent="0.35">
      <c r="A481" s="6" t="s">
        <v>516</v>
      </c>
      <c r="B481" s="6" t="s">
        <v>524</v>
      </c>
      <c r="C481" s="6">
        <v>0.70145440919379176</v>
      </c>
      <c r="D481" s="6">
        <v>-0.2557088247223992</v>
      </c>
      <c r="E481" s="6">
        <v>-0.89990353708905568</v>
      </c>
      <c r="F481" s="6">
        <v>-0.92544119944146208</v>
      </c>
      <c r="G481" s="6">
        <v>-1.4014682800686984</v>
      </c>
      <c r="H481" s="6">
        <v>-1.1899639057627842</v>
      </c>
      <c r="I481" s="6">
        <v>-0.74501683342629255</v>
      </c>
      <c r="J481" s="6">
        <v>-0.47429871485021918</v>
      </c>
      <c r="K481" s="6">
        <v>-0.47486225370740337</v>
      </c>
      <c r="L481" s="6">
        <v>-0.40481309277996602</v>
      </c>
      <c r="N481" s="8">
        <f>SQRT((C481-Sheet2!$C$525)^2+(D481-Sheet2!$D$525)^2+(E481-Sheet2!$E$525)^2+(F481-Sheet2!$F$525)^2+(G481-Sheet2!$G$525)^2+(H481-Sheet2!$H$525)^2+(I481-Sheet2!$I$525)^2+(J481-Sheet2!$J$525)^2+(K481-Sheet2!$K$525)^2+(L481-Sheet2!$L$525)^2)</f>
        <v>2.0504485447064273</v>
      </c>
      <c r="O481" s="8">
        <f>SQRT((C481-Sheet2!$C$526)^2+(D481-Sheet2!$D$526)^2+(E481-Sheet2!$E$526)^2+(F481-Sheet2!$F$526)^2+(G481-Sheet2!$G$526)^2+(H481-Sheet2!$H$526)^2+(I481-Sheet2!$I$526)^2+(J481-Sheet2!$J$526)^2+(K481-Sheet2!$K$526)^2+(L481-Sheet2!$L$526)^2)</f>
        <v>5.6100493507448927</v>
      </c>
      <c r="P481" s="12">
        <f t="shared" si="7"/>
        <v>0</v>
      </c>
      <c r="Q481" s="11">
        <f>IF(P481=Sheet1!$M481, 1, 0)</f>
        <v>0</v>
      </c>
    </row>
    <row r="482" spans="1:17" x14ac:dyDescent="0.35">
      <c r="A482" s="6" t="s">
        <v>516</v>
      </c>
      <c r="B482" s="6" t="s">
        <v>525</v>
      </c>
      <c r="C482" s="6">
        <v>2.8970020102832601</v>
      </c>
      <c r="D482" s="6">
        <v>-1.8699439206233688</v>
      </c>
      <c r="E482" s="6">
        <v>-1.9973433089036361</v>
      </c>
      <c r="F482" s="6">
        <v>-2.4984586402659716</v>
      </c>
      <c r="G482" s="6">
        <v>-2.7457927979096715</v>
      </c>
      <c r="H482" s="6">
        <v>-0.40140314113088427</v>
      </c>
      <c r="I482" s="6">
        <v>-3.0655016986604888</v>
      </c>
      <c r="J482" s="6">
        <v>-1.3549535035344955</v>
      </c>
      <c r="K482" s="6">
        <v>0.96171700869613352</v>
      </c>
      <c r="L482" s="6">
        <v>-0.45585809689648016</v>
      </c>
      <c r="N482" s="8">
        <f>SQRT((C482-Sheet2!$C$525)^2+(D482-Sheet2!$D$525)^2+(E482-Sheet2!$E$525)^2+(F482-Sheet2!$F$525)^2+(G482-Sheet2!$G$525)^2+(H482-Sheet2!$H$525)^2+(I482-Sheet2!$I$525)^2+(J482-Sheet2!$J$525)^2+(K482-Sheet2!$K$525)^2+(L482-Sheet2!$L$525)^2)</f>
        <v>5.845237180004645</v>
      </c>
      <c r="O482" s="8">
        <f>SQRT((C482-Sheet2!$C$526)^2+(D482-Sheet2!$D$526)^2+(E482-Sheet2!$E$526)^2+(F482-Sheet2!$F$526)^2+(G482-Sheet2!$G$526)^2+(H482-Sheet2!$H$526)^2+(I482-Sheet2!$I$526)^2+(J482-Sheet2!$J$526)^2+(K482-Sheet2!$K$526)^2+(L482-Sheet2!$L$526)^2)</f>
        <v>9.5358214137526733</v>
      </c>
      <c r="P482" s="12">
        <f t="shared" si="7"/>
        <v>0</v>
      </c>
      <c r="Q482" s="11">
        <f>IF(P482=Sheet1!$M482, 1, 0)</f>
        <v>0</v>
      </c>
    </row>
    <row r="483" spans="1:17" x14ac:dyDescent="0.35">
      <c r="A483" s="6" t="s">
        <v>516</v>
      </c>
      <c r="B483" s="6" t="s">
        <v>526</v>
      </c>
      <c r="C483" s="6">
        <v>2.5655226353021487</v>
      </c>
      <c r="D483" s="6">
        <v>-0.90631308390682019</v>
      </c>
      <c r="E483" s="6">
        <v>-1.8713532444657084</v>
      </c>
      <c r="F483" s="6">
        <v>-1.5756011994688301</v>
      </c>
      <c r="G483" s="6">
        <v>-1.2795209155993224</v>
      </c>
      <c r="H483" s="6">
        <v>-0.36154419537763277</v>
      </c>
      <c r="I483" s="6">
        <v>-2.8245282703477068</v>
      </c>
      <c r="J483" s="6">
        <v>-1.203116471002724</v>
      </c>
      <c r="K483" s="6">
        <v>1.8850086915045086</v>
      </c>
      <c r="L483" s="6">
        <v>-0.4491674075950281</v>
      </c>
      <c r="N483" s="8">
        <f>SQRT((C483-Sheet2!$C$525)^2+(D483-Sheet2!$D$525)^2+(E483-Sheet2!$E$525)^2+(F483-Sheet2!$F$525)^2+(G483-Sheet2!$G$525)^2+(H483-Sheet2!$H$525)^2+(I483-Sheet2!$I$525)^2+(J483-Sheet2!$J$525)^2+(K483-Sheet2!$K$525)^2+(L483-Sheet2!$L$525)^2)</f>
        <v>4.7177298021433831</v>
      </c>
      <c r="O483" s="8">
        <f>SQRT((C483-Sheet2!$C$526)^2+(D483-Sheet2!$D$526)^2+(E483-Sheet2!$E$526)^2+(F483-Sheet2!$F$526)^2+(G483-Sheet2!$G$526)^2+(H483-Sheet2!$H$526)^2+(I483-Sheet2!$I$526)^2+(J483-Sheet2!$J$526)^2+(K483-Sheet2!$K$526)^2+(L483-Sheet2!$L$526)^2)</f>
        <v>8.2775532653762447</v>
      </c>
      <c r="P483" s="12">
        <f t="shared" si="7"/>
        <v>0</v>
      </c>
      <c r="Q483" s="11">
        <f>IF(P483=Sheet1!$M483, 1, 0)</f>
        <v>0</v>
      </c>
    </row>
    <row r="484" spans="1:17" x14ac:dyDescent="0.35">
      <c r="A484" s="6" t="s">
        <v>516</v>
      </c>
      <c r="B484" s="6" t="s">
        <v>527</v>
      </c>
      <c r="C484" s="6">
        <v>2.285040087241208</v>
      </c>
      <c r="D484" s="6">
        <v>-1.1088596928981966</v>
      </c>
      <c r="E484" s="6">
        <v>-1.7755713241327811</v>
      </c>
      <c r="F484" s="6">
        <v>-1.5524912468612224</v>
      </c>
      <c r="G484" s="6">
        <v>-0.59719637630638889</v>
      </c>
      <c r="H484" s="6">
        <v>0.77228122098175955</v>
      </c>
      <c r="I484" s="6">
        <v>-0.27836987701106458</v>
      </c>
      <c r="J484" s="6">
        <v>-0.81972796386000013</v>
      </c>
      <c r="K484" s="6">
        <v>2.3701280502682298</v>
      </c>
      <c r="L484" s="6">
        <v>-0.44667799602217417</v>
      </c>
      <c r="N484" s="8">
        <f>SQRT((C484-Sheet2!$C$525)^2+(D484-Sheet2!$D$525)^2+(E484-Sheet2!$E$525)^2+(F484-Sheet2!$F$525)^2+(G484-Sheet2!$G$525)^2+(H484-Sheet2!$H$525)^2+(I484-Sheet2!$I$525)^2+(J484-Sheet2!$J$525)^2+(K484-Sheet2!$K$525)^2+(L484-Sheet2!$L$525)^2)</f>
        <v>3.8950507097022049</v>
      </c>
      <c r="O484" s="8">
        <f>SQRT((C484-Sheet2!$C$526)^2+(D484-Sheet2!$D$526)^2+(E484-Sheet2!$E$526)^2+(F484-Sheet2!$F$526)^2+(G484-Sheet2!$G$526)^2+(H484-Sheet2!$H$526)^2+(I484-Sheet2!$I$526)^2+(J484-Sheet2!$J$526)^2+(K484-Sheet2!$K$526)^2+(L484-Sheet2!$L$526)^2)</f>
        <v>7.220902654675494</v>
      </c>
      <c r="P484" s="12">
        <f t="shared" si="7"/>
        <v>0</v>
      </c>
      <c r="Q484" s="11">
        <f>IF(P484=Sheet1!$M484, 1, 0)</f>
        <v>0</v>
      </c>
    </row>
    <row r="485" spans="1:17" x14ac:dyDescent="0.35">
      <c r="A485" s="6" t="s">
        <v>516</v>
      </c>
      <c r="B485" s="6" t="s">
        <v>528</v>
      </c>
      <c r="C485" s="6">
        <v>3.0097318382120597</v>
      </c>
      <c r="D485" s="6">
        <v>-2.0356638734344945</v>
      </c>
      <c r="E485" s="6">
        <v>-1.9582937567679042</v>
      </c>
      <c r="F485" s="6">
        <v>-2.1256180715298973</v>
      </c>
      <c r="G485" s="6">
        <v>-0.69591567135302324</v>
      </c>
      <c r="H485" s="6">
        <v>-1.7232119638130445</v>
      </c>
      <c r="I485" s="6">
        <v>-0.16999558385452232</v>
      </c>
      <c r="J485" s="6">
        <v>-1.6548316427847449</v>
      </c>
      <c r="K485" s="6">
        <v>3.9506782191435814</v>
      </c>
      <c r="L485" s="6">
        <v>-0.45564831091379226</v>
      </c>
      <c r="N485" s="8">
        <f>SQRT((C485-Sheet2!$C$525)^2+(D485-Sheet2!$D$525)^2+(E485-Sheet2!$E$525)^2+(F485-Sheet2!$F$525)^2+(G485-Sheet2!$G$525)^2+(H485-Sheet2!$H$525)^2+(I485-Sheet2!$I$525)^2+(J485-Sheet2!$J$525)^2+(K485-Sheet2!$K$525)^2+(L485-Sheet2!$L$525)^2)</f>
        <v>6.0108367251121662</v>
      </c>
      <c r="O485" s="8">
        <f>SQRT((C485-Sheet2!$C$526)^2+(D485-Sheet2!$D$526)^2+(E485-Sheet2!$E$526)^2+(F485-Sheet2!$F$526)^2+(G485-Sheet2!$G$526)^2+(H485-Sheet2!$H$526)^2+(I485-Sheet2!$I$526)^2+(J485-Sheet2!$J$526)^2+(K485-Sheet2!$K$526)^2+(L485-Sheet2!$L$526)^2)</f>
        <v>9.4801398064573092</v>
      </c>
      <c r="P485" s="12">
        <f t="shared" si="7"/>
        <v>0</v>
      </c>
      <c r="Q485" s="11">
        <f>IF(P485=Sheet1!$M485, 1, 0)</f>
        <v>1</v>
      </c>
    </row>
    <row r="486" spans="1:17" x14ac:dyDescent="0.35">
      <c r="A486" s="6" t="s">
        <v>516</v>
      </c>
      <c r="B486" s="6" t="s">
        <v>529</v>
      </c>
      <c r="C486" s="6">
        <v>0.41291973056650833</v>
      </c>
      <c r="D486" s="6">
        <v>1.6899661768008225</v>
      </c>
      <c r="E486" s="6">
        <v>1.259610374417178</v>
      </c>
      <c r="F486" s="6">
        <v>1.3193055305108483</v>
      </c>
      <c r="G486" s="6">
        <v>0.36967201341509293</v>
      </c>
      <c r="H486" s="6">
        <v>0.72865183441401093</v>
      </c>
      <c r="I486" s="6">
        <v>0.44901287882196284</v>
      </c>
      <c r="J486" s="6">
        <v>1.8563997345124774</v>
      </c>
      <c r="K486" s="6">
        <v>-1.2620075358304761</v>
      </c>
      <c r="L486" s="6">
        <v>-0.25026139819673437</v>
      </c>
      <c r="N486" s="8">
        <f>SQRT((C486-Sheet2!$C$525)^2+(D486-Sheet2!$D$525)^2+(E486-Sheet2!$E$525)^2+(F486-Sheet2!$F$525)^2+(G486-Sheet2!$G$525)^2+(H486-Sheet2!$H$525)^2+(I486-Sheet2!$I$525)^2+(J486-Sheet2!$J$525)^2+(K486-Sheet2!$K$525)^2+(L486-Sheet2!$L$525)^2)</f>
        <v>4.1562504728501253</v>
      </c>
      <c r="O486" s="8">
        <f>SQRT((C486-Sheet2!$C$526)^2+(D486-Sheet2!$D$526)^2+(E486-Sheet2!$E$526)^2+(F486-Sheet2!$F$526)^2+(G486-Sheet2!$G$526)^2+(H486-Sheet2!$H$526)^2+(I486-Sheet2!$I$526)^2+(J486-Sheet2!$J$526)^2+(K486-Sheet2!$K$526)^2+(L486-Sheet2!$L$526)^2)</f>
        <v>1.965096662959557</v>
      </c>
      <c r="P486" s="12">
        <f t="shared" si="7"/>
        <v>1</v>
      </c>
      <c r="Q486" s="11">
        <f>IF(P486=Sheet1!$M486, 1, 0)</f>
        <v>0</v>
      </c>
    </row>
    <row r="487" spans="1:17" x14ac:dyDescent="0.35">
      <c r="A487" s="6" t="s">
        <v>530</v>
      </c>
      <c r="B487" s="6" t="s">
        <v>531</v>
      </c>
      <c r="C487" s="6">
        <v>-0.28358956342214331</v>
      </c>
      <c r="D487" s="6">
        <v>0.18007327341056265</v>
      </c>
      <c r="E487" s="6">
        <v>-4.5602486119598835E-2</v>
      </c>
      <c r="F487" s="6">
        <v>8.6774724771761666E-2</v>
      </c>
      <c r="G487" s="6">
        <v>-0.75108233623202991</v>
      </c>
      <c r="H487" s="6">
        <v>0.26381034542676335</v>
      </c>
      <c r="I487" s="6">
        <v>-0.87889096026672742</v>
      </c>
      <c r="J487" s="6">
        <v>-1.0892386966038949</v>
      </c>
      <c r="K487" s="6">
        <v>0.19178563930338741</v>
      </c>
      <c r="L487" s="6">
        <v>-0.24111775912918038</v>
      </c>
      <c r="N487" s="8">
        <f>SQRT((C487-Sheet2!$C$525)^2+(D487-Sheet2!$D$525)^2+(E487-Sheet2!$E$525)^2+(F487-Sheet2!$F$525)^2+(G487-Sheet2!$G$525)^2+(H487-Sheet2!$H$525)^2+(I487-Sheet2!$I$525)^2+(J487-Sheet2!$J$525)^2+(K487-Sheet2!$K$525)^2+(L487-Sheet2!$L$525)^2)</f>
        <v>1.5328788664654307</v>
      </c>
      <c r="O487" s="8">
        <f>SQRT((C487-Sheet2!$C$526)^2+(D487-Sheet2!$D$526)^2+(E487-Sheet2!$E$526)^2+(F487-Sheet2!$F$526)^2+(G487-Sheet2!$G$526)^2+(H487-Sheet2!$H$526)^2+(I487-Sheet2!$I$526)^2+(J487-Sheet2!$J$526)^2+(K487-Sheet2!$K$526)^2+(L487-Sheet2!$L$526)^2)</f>
        <v>4.2672552581219243</v>
      </c>
      <c r="P487" s="12">
        <f t="shared" si="7"/>
        <v>0</v>
      </c>
      <c r="Q487" s="11">
        <f>IF(P487=Sheet1!$M487, 1, 0)</f>
        <v>0</v>
      </c>
    </row>
    <row r="488" spans="1:17" x14ac:dyDescent="0.35">
      <c r="A488" s="6" t="s">
        <v>530</v>
      </c>
      <c r="B488" s="6" t="s">
        <v>532</v>
      </c>
      <c r="C488" s="6">
        <v>3.3304750391047144</v>
      </c>
      <c r="D488" s="6">
        <v>-1.7410506239924928</v>
      </c>
      <c r="E488" s="6">
        <v>-1.0240516415205809</v>
      </c>
      <c r="F488" s="6">
        <v>-1.7342895407077377</v>
      </c>
      <c r="G488" s="6">
        <v>-2.832898058244941</v>
      </c>
      <c r="H488" s="6">
        <v>-2.8818145626677008</v>
      </c>
      <c r="I488" s="6">
        <v>-2.6555918721919207</v>
      </c>
      <c r="J488" s="6">
        <v>-1.3056064679616697</v>
      </c>
      <c r="K488" s="6">
        <v>2.2965776958750204</v>
      </c>
      <c r="L488" s="6">
        <v>-0.36156945265711266</v>
      </c>
      <c r="N488" s="8">
        <f>SQRT((C488-Sheet2!$C$525)^2+(D488-Sheet2!$D$525)^2+(E488-Sheet2!$E$525)^2+(F488-Sheet2!$F$525)^2+(G488-Sheet2!$G$525)^2+(H488-Sheet2!$H$525)^2+(I488-Sheet2!$I$525)^2+(J488-Sheet2!$J$525)^2+(K488-Sheet2!$K$525)^2+(L488-Sheet2!$L$525)^2)</f>
        <v>6.3709698457432991</v>
      </c>
      <c r="O488" s="8">
        <f>SQRT((C488-Sheet2!$C$526)^2+(D488-Sheet2!$D$526)^2+(E488-Sheet2!$E$526)^2+(F488-Sheet2!$F$526)^2+(G488-Sheet2!$G$526)^2+(H488-Sheet2!$H$526)^2+(I488-Sheet2!$I$526)^2+(J488-Sheet2!$J$526)^2+(K488-Sheet2!$K$526)^2+(L488-Sheet2!$L$526)^2)</f>
        <v>9.8837750519972936</v>
      </c>
      <c r="P488" s="12">
        <f t="shared" si="7"/>
        <v>0</v>
      </c>
      <c r="Q488" s="11">
        <f>IF(P488=Sheet1!$M488, 1, 0)</f>
        <v>1</v>
      </c>
    </row>
    <row r="489" spans="1:17" x14ac:dyDescent="0.35">
      <c r="A489" s="6" t="s">
        <v>530</v>
      </c>
      <c r="B489" s="6" t="s">
        <v>533</v>
      </c>
      <c r="C489" s="6">
        <v>-1.9211276493888138E-2</v>
      </c>
      <c r="D489" s="6">
        <v>0.99025970937606844</v>
      </c>
      <c r="E489" s="6">
        <v>-0.12370159039106277</v>
      </c>
      <c r="F489" s="6">
        <v>0.3240369048765368</v>
      </c>
      <c r="G489" s="6">
        <v>-0.72495075813144838</v>
      </c>
      <c r="H489" s="6">
        <v>-0.32114661522231003</v>
      </c>
      <c r="I489" s="6">
        <v>-0.65449242384847495</v>
      </c>
      <c r="J489" s="6">
        <v>1.0668471653472644</v>
      </c>
      <c r="K489" s="6">
        <v>-0.23386747548284592</v>
      </c>
      <c r="L489" s="6">
        <v>-0.24431388200745963</v>
      </c>
      <c r="N489" s="8">
        <f>SQRT((C489-Sheet2!$C$525)^2+(D489-Sheet2!$D$525)^2+(E489-Sheet2!$E$525)^2+(F489-Sheet2!$F$525)^2+(G489-Sheet2!$G$525)^2+(H489-Sheet2!$H$525)^2+(I489-Sheet2!$I$525)^2+(J489-Sheet2!$J$525)^2+(K489-Sheet2!$K$525)^2+(L489-Sheet2!$L$525)^2)</f>
        <v>2.1454751635403806</v>
      </c>
      <c r="O489" s="8">
        <f>SQRT((C489-Sheet2!$C$526)^2+(D489-Sheet2!$D$526)^2+(E489-Sheet2!$E$526)^2+(F489-Sheet2!$F$526)^2+(G489-Sheet2!$G$526)^2+(H489-Sheet2!$H$526)^2+(I489-Sheet2!$I$526)^2+(J489-Sheet2!$J$526)^2+(K489-Sheet2!$K$526)^2+(L489-Sheet2!$L$526)^2)</f>
        <v>3.3944313255969552</v>
      </c>
      <c r="P489" s="12">
        <f t="shared" si="7"/>
        <v>0</v>
      </c>
      <c r="Q489" s="11">
        <f>IF(P489=Sheet1!$M489, 1, 0)</f>
        <v>0</v>
      </c>
    </row>
    <row r="490" spans="1:17" x14ac:dyDescent="0.35">
      <c r="A490" s="6" t="s">
        <v>530</v>
      </c>
      <c r="B490" s="6" t="s">
        <v>534</v>
      </c>
      <c r="C490" s="6">
        <v>1.5509541839429564</v>
      </c>
      <c r="D490" s="6">
        <v>0.96570860525590108</v>
      </c>
      <c r="E490" s="6">
        <v>-0.54108972784185816</v>
      </c>
      <c r="F490" s="6">
        <v>-0.11967418518953367</v>
      </c>
      <c r="G490" s="6">
        <v>-0.43750339902506036</v>
      </c>
      <c r="H490" s="6">
        <v>0.45933463337852593</v>
      </c>
      <c r="I490" s="6">
        <v>0.13090245361540628</v>
      </c>
      <c r="J490" s="6">
        <v>-0.76278907666058571</v>
      </c>
      <c r="K490" s="6">
        <v>0.5673619170559473</v>
      </c>
      <c r="L490" s="6">
        <v>-0.29818874022829528</v>
      </c>
      <c r="N490" s="8">
        <f>SQRT((C490-Sheet2!$C$525)^2+(D490-Sheet2!$D$525)^2+(E490-Sheet2!$E$525)^2+(F490-Sheet2!$F$525)^2+(G490-Sheet2!$G$525)^2+(H490-Sheet2!$H$525)^2+(I490-Sheet2!$I$525)^2+(J490-Sheet2!$J$525)^2+(K490-Sheet2!$K$525)^2+(L490-Sheet2!$L$525)^2)</f>
        <v>2.148712670511344</v>
      </c>
      <c r="O490" s="8">
        <f>SQRT((C490-Sheet2!$C$526)^2+(D490-Sheet2!$D$526)^2+(E490-Sheet2!$E$526)^2+(F490-Sheet2!$F$526)^2+(G490-Sheet2!$G$526)^2+(H490-Sheet2!$H$526)^2+(I490-Sheet2!$I$526)^2+(J490-Sheet2!$J$526)^2+(K490-Sheet2!$K$526)^2+(L490-Sheet2!$L$526)^2)</f>
        <v>4.5132142973808218</v>
      </c>
      <c r="P490" s="12">
        <f t="shared" si="7"/>
        <v>0</v>
      </c>
      <c r="Q490" s="11">
        <f>IF(P490=Sheet1!$M490, 1, 0)</f>
        <v>0</v>
      </c>
    </row>
    <row r="491" spans="1:17" x14ac:dyDescent="0.35">
      <c r="A491" s="6" t="s">
        <v>530</v>
      </c>
      <c r="B491" s="6" t="s">
        <v>535</v>
      </c>
      <c r="C491" s="6">
        <v>1.8542511019418684</v>
      </c>
      <c r="D491" s="6">
        <v>0.63426869963364929</v>
      </c>
      <c r="E491" s="6">
        <v>-1.0439448095897275</v>
      </c>
      <c r="F491" s="6">
        <v>-0.33998906671539642</v>
      </c>
      <c r="G491" s="6">
        <v>-0.14134551388514929</v>
      </c>
      <c r="H491" s="6">
        <v>-0.47627332301874908</v>
      </c>
      <c r="I491" s="6">
        <v>-0.27071992690589664</v>
      </c>
      <c r="J491" s="6">
        <v>-0.98295277383165469</v>
      </c>
      <c r="K491" s="6">
        <v>-0.86452264187568473</v>
      </c>
      <c r="L491" s="6">
        <v>-0.39831664356766405</v>
      </c>
      <c r="N491" s="8">
        <f>SQRT((C491-Sheet2!$C$525)^2+(D491-Sheet2!$D$525)^2+(E491-Sheet2!$E$525)^2+(F491-Sheet2!$F$525)^2+(G491-Sheet2!$G$525)^2+(H491-Sheet2!$H$525)^2+(I491-Sheet2!$I$525)^2+(J491-Sheet2!$J$525)^2+(K491-Sheet2!$K$525)^2+(L491-Sheet2!$L$525)^2)</f>
        <v>2.4331752682989767</v>
      </c>
      <c r="O491" s="8">
        <f>SQRT((C491-Sheet2!$C$526)^2+(D491-Sheet2!$D$526)^2+(E491-Sheet2!$E$526)^2+(F491-Sheet2!$F$526)^2+(G491-Sheet2!$G$526)^2+(H491-Sheet2!$H$526)^2+(I491-Sheet2!$I$526)^2+(J491-Sheet2!$J$526)^2+(K491-Sheet2!$K$526)^2+(L491-Sheet2!$L$526)^2)</f>
        <v>5.1401068090710957</v>
      </c>
      <c r="P491" s="12">
        <f t="shared" si="7"/>
        <v>0</v>
      </c>
      <c r="Q491" s="11">
        <f>IF(P491=Sheet1!$M491, 1, 0)</f>
        <v>0</v>
      </c>
    </row>
    <row r="492" spans="1:17" x14ac:dyDescent="0.35">
      <c r="A492" s="6" t="s">
        <v>530</v>
      </c>
      <c r="B492" s="6" t="s">
        <v>536</v>
      </c>
      <c r="C492" s="6">
        <v>1.6341595331284986</v>
      </c>
      <c r="D492" s="6">
        <v>1.1682552142472775</v>
      </c>
      <c r="E492" s="6">
        <v>-0.26442733488021003</v>
      </c>
      <c r="F492" s="6">
        <v>0.3702568100917521</v>
      </c>
      <c r="G492" s="6">
        <v>-0.39685427753526831</v>
      </c>
      <c r="H492" s="6">
        <v>0.32952374247942162</v>
      </c>
      <c r="I492" s="6">
        <v>0.79899809613338379</v>
      </c>
      <c r="J492" s="6">
        <v>1.6817871471009402</v>
      </c>
      <c r="K492" s="6">
        <v>8.6769811250344078E-4</v>
      </c>
      <c r="L492" s="6">
        <v>-0.3894164523571117</v>
      </c>
      <c r="N492" s="8">
        <f>SQRT((C492-Sheet2!$C$525)^2+(D492-Sheet2!$D$525)^2+(E492-Sheet2!$E$525)^2+(F492-Sheet2!$F$525)^2+(G492-Sheet2!$G$525)^2+(H492-Sheet2!$H$525)^2+(I492-Sheet2!$I$525)^2+(J492-Sheet2!$J$525)^2+(K492-Sheet2!$K$525)^2+(L492-Sheet2!$L$525)^2)</f>
        <v>3.1470293883571538</v>
      </c>
      <c r="O492" s="8">
        <f>SQRT((C492-Sheet2!$C$526)^2+(D492-Sheet2!$D$526)^2+(E492-Sheet2!$E$526)^2+(F492-Sheet2!$F$526)^2+(G492-Sheet2!$G$526)^2+(H492-Sheet2!$H$526)^2+(I492-Sheet2!$I$526)^2+(J492-Sheet2!$J$526)^2+(K492-Sheet2!$K$526)^2+(L492-Sheet2!$L$526)^2)</f>
        <v>3.6958056753962762</v>
      </c>
      <c r="P492" s="12">
        <f t="shared" si="7"/>
        <v>0</v>
      </c>
      <c r="Q492" s="11">
        <f>IF(P492=Sheet1!$M492, 1, 0)</f>
        <v>0</v>
      </c>
    </row>
    <row r="493" spans="1:17" x14ac:dyDescent="0.35">
      <c r="A493" s="6" t="s">
        <v>530</v>
      </c>
      <c r="B493" s="6" t="s">
        <v>537</v>
      </c>
      <c r="C493" s="6">
        <v>3.2633739510518578</v>
      </c>
      <c r="D493" s="6">
        <v>-2.2504860344859545</v>
      </c>
      <c r="E493" s="6">
        <v>-1.4543334990161936</v>
      </c>
      <c r="F493" s="6">
        <v>-2.0378002516209874</v>
      </c>
      <c r="G493" s="6">
        <v>-0.88174022673492913</v>
      </c>
      <c r="H493" s="6">
        <v>-4.1443736011220542</v>
      </c>
      <c r="I493" s="6">
        <v>-0.19422042585421967</v>
      </c>
      <c r="J493" s="6">
        <v>-1.6396479395315677</v>
      </c>
      <c r="K493" s="6">
        <v>3.0978070884138136</v>
      </c>
      <c r="L493" s="6">
        <v>-0.39448198982833305</v>
      </c>
      <c r="N493" s="8">
        <f>SQRT((C493-Sheet2!$C$525)^2+(D493-Sheet2!$D$525)^2+(E493-Sheet2!$E$525)^2+(F493-Sheet2!$F$525)^2+(G493-Sheet2!$G$525)^2+(H493-Sheet2!$H$525)^2+(I493-Sheet2!$I$525)^2+(J493-Sheet2!$J$525)^2+(K493-Sheet2!$K$525)^2+(L493-Sheet2!$L$525)^2)</f>
        <v>6.6641054984973129</v>
      </c>
      <c r="O493" s="8">
        <f>SQRT((C493-Sheet2!$C$526)^2+(D493-Sheet2!$D$526)^2+(E493-Sheet2!$E$526)^2+(F493-Sheet2!$F$526)^2+(G493-Sheet2!$G$526)^2+(H493-Sheet2!$H$526)^2+(I493-Sheet2!$I$526)^2+(J493-Sheet2!$J$526)^2+(K493-Sheet2!$K$526)^2+(L493-Sheet2!$L$526)^2)</f>
        <v>10.053918073741965</v>
      </c>
      <c r="P493" s="12">
        <f t="shared" si="7"/>
        <v>0</v>
      </c>
      <c r="Q493" s="11">
        <f>IF(P493=Sheet1!$M493, 1, 0)</f>
        <v>0</v>
      </c>
    </row>
    <row r="494" spans="1:17" x14ac:dyDescent="0.35">
      <c r="A494" s="6" t="s">
        <v>530</v>
      </c>
      <c r="B494" s="6" t="s">
        <v>538</v>
      </c>
      <c r="C494" s="6">
        <v>3.1841946671494865</v>
      </c>
      <c r="D494" s="6">
        <v>-2.8826769655802504</v>
      </c>
      <c r="E494" s="6">
        <v>-1.8551439964093668</v>
      </c>
      <c r="F494" s="6">
        <v>-3.2256518156520322</v>
      </c>
      <c r="G494" s="6">
        <v>-1.2562928461765845</v>
      </c>
      <c r="H494" s="6">
        <v>-3.3078743747058383</v>
      </c>
      <c r="I494" s="6">
        <v>-0.14449575017062968</v>
      </c>
      <c r="J494" s="6">
        <v>-1.2600553582021381</v>
      </c>
      <c r="K494" s="6">
        <v>3.431131034919209</v>
      </c>
      <c r="L494" s="6">
        <v>-0.4383993898129166</v>
      </c>
      <c r="N494" s="8">
        <f>SQRT((C494-Sheet2!$C$525)^2+(D494-Sheet2!$D$525)^2+(E494-Sheet2!$E$525)^2+(F494-Sheet2!$F$525)^2+(G494-Sheet2!$G$525)^2+(H494-Sheet2!$H$525)^2+(I494-Sheet2!$I$525)^2+(J494-Sheet2!$J$525)^2+(K494-Sheet2!$K$525)^2+(L494-Sheet2!$L$525)^2)</f>
        <v>7.0185363615604626</v>
      </c>
      <c r="O494" s="8">
        <f>SQRT((C494-Sheet2!$C$526)^2+(D494-Sheet2!$D$526)^2+(E494-Sheet2!$E$526)^2+(F494-Sheet2!$F$526)^2+(G494-Sheet2!$G$526)^2+(H494-Sheet2!$H$526)^2+(I494-Sheet2!$I$526)^2+(J494-Sheet2!$J$526)^2+(K494-Sheet2!$K$526)^2+(L494-Sheet2!$L$526)^2)</f>
        <v>10.584104168795699</v>
      </c>
      <c r="P494" s="12">
        <f t="shared" si="7"/>
        <v>0</v>
      </c>
      <c r="Q494" s="11">
        <f>IF(P494=Sheet1!$M494, 1, 0)</f>
        <v>0</v>
      </c>
    </row>
    <row r="495" spans="1:17" x14ac:dyDescent="0.35">
      <c r="A495" s="6" t="s">
        <v>530</v>
      </c>
      <c r="B495" s="6" t="s">
        <v>539</v>
      </c>
      <c r="C495" s="6">
        <v>0.25456116276176671</v>
      </c>
      <c r="D495" s="6">
        <v>1.0700507977666101</v>
      </c>
      <c r="E495" s="6">
        <v>0.39609952341570898</v>
      </c>
      <c r="F495" s="6">
        <v>0.70149946413413244</v>
      </c>
      <c r="G495" s="6">
        <v>0.78487375434653639</v>
      </c>
      <c r="H495" s="6">
        <v>0.3462214089436218</v>
      </c>
      <c r="I495" s="6">
        <v>0.3903632613490105</v>
      </c>
      <c r="J495" s="6">
        <v>0.11786571202369081</v>
      </c>
      <c r="K495" s="6">
        <v>-0.73463584581959163</v>
      </c>
      <c r="L495" s="6">
        <v>0.99575701327331334</v>
      </c>
      <c r="N495" s="8">
        <f>SQRT((C495-Sheet2!$C$525)^2+(D495-Sheet2!$D$525)^2+(E495-Sheet2!$E$525)^2+(F495-Sheet2!$F$525)^2+(G495-Sheet2!$G$525)^2+(H495-Sheet2!$H$525)^2+(I495-Sheet2!$I$525)^2+(J495-Sheet2!$J$525)^2+(K495-Sheet2!$K$525)^2+(L495-Sheet2!$L$525)^2)</f>
        <v>2.7096109166819193</v>
      </c>
      <c r="O495" s="8">
        <f>SQRT((C495-Sheet2!$C$526)^2+(D495-Sheet2!$D$526)^2+(E495-Sheet2!$E$526)^2+(F495-Sheet2!$F$526)^2+(G495-Sheet2!$G$526)^2+(H495-Sheet2!$H$526)^2+(I495-Sheet2!$I$526)^2+(J495-Sheet2!$J$526)^2+(K495-Sheet2!$K$526)^2+(L495-Sheet2!$L$526)^2)</f>
        <v>2.051939153565784</v>
      </c>
      <c r="P495" s="12">
        <f t="shared" si="7"/>
        <v>1</v>
      </c>
      <c r="Q495" s="11">
        <f>IF(P495=Sheet1!$M495, 1, 0)</f>
        <v>0</v>
      </c>
    </row>
    <row r="496" spans="1:17" x14ac:dyDescent="0.35">
      <c r="A496" s="6" t="s">
        <v>530</v>
      </c>
      <c r="B496" s="6" t="s">
        <v>540</v>
      </c>
      <c r="C496" s="6">
        <v>1.0235396318475034</v>
      </c>
      <c r="D496" s="6">
        <v>0.21689992959081214</v>
      </c>
      <c r="E496" s="6">
        <v>-0.90653459311210449</v>
      </c>
      <c r="F496" s="6">
        <v>-1.2797938060914502</v>
      </c>
      <c r="G496" s="6">
        <v>-2.710950693775565</v>
      </c>
      <c r="H496" s="6">
        <v>-0.83446520039594407</v>
      </c>
      <c r="I496" s="6">
        <v>-1.3155756121033821</v>
      </c>
      <c r="J496" s="6">
        <v>0.63411162263171506</v>
      </c>
      <c r="K496" s="6">
        <v>1.6048913843473906</v>
      </c>
      <c r="L496" s="6">
        <v>-0.39158928350927796</v>
      </c>
      <c r="N496" s="8">
        <f>SQRT((C496-Sheet2!$C$525)^2+(D496-Sheet2!$D$525)^2+(E496-Sheet2!$E$525)^2+(F496-Sheet2!$F$525)^2+(G496-Sheet2!$G$525)^2+(H496-Sheet2!$H$525)^2+(I496-Sheet2!$I$525)^2+(J496-Sheet2!$J$525)^2+(K496-Sheet2!$K$525)^2+(L496-Sheet2!$L$525)^2)</f>
        <v>3.6359836663517791</v>
      </c>
      <c r="O496" s="8">
        <f>SQRT((C496-Sheet2!$C$526)^2+(D496-Sheet2!$D$526)^2+(E496-Sheet2!$E$526)^2+(F496-Sheet2!$F$526)^2+(G496-Sheet2!$G$526)^2+(H496-Sheet2!$H$526)^2+(I496-Sheet2!$I$526)^2+(J496-Sheet2!$J$526)^2+(K496-Sheet2!$K$526)^2+(L496-Sheet2!$L$526)^2)</f>
        <v>6.6428611065391134</v>
      </c>
      <c r="P496" s="12">
        <f t="shared" si="7"/>
        <v>0</v>
      </c>
      <c r="Q496" s="11">
        <f>IF(P496=Sheet1!$M496, 1, 0)</f>
        <v>1</v>
      </c>
    </row>
    <row r="497" spans="1:17" x14ac:dyDescent="0.35">
      <c r="A497" s="6" t="s">
        <v>530</v>
      </c>
      <c r="B497" s="6" t="s">
        <v>541</v>
      </c>
      <c r="C497" s="6">
        <v>1.8488830148976401</v>
      </c>
      <c r="D497" s="6">
        <v>-1.1825130052586972</v>
      </c>
      <c r="E497" s="6">
        <v>-1.472753099080218</v>
      </c>
      <c r="F497" s="6">
        <v>-1.729667550186216</v>
      </c>
      <c r="G497" s="6">
        <v>-1.262099863532268</v>
      </c>
      <c r="H497" s="6">
        <v>-2.2575372906674467</v>
      </c>
      <c r="I497" s="6">
        <v>-2.3253690259855158</v>
      </c>
      <c r="J497" s="6">
        <v>-0.36042094045139028</v>
      </c>
      <c r="K497" s="6">
        <v>-1.2307095126844292</v>
      </c>
      <c r="L497" s="6">
        <v>-0.41957828575293704</v>
      </c>
      <c r="N497" s="8">
        <f>SQRT((C497-Sheet2!$C$525)^2+(D497-Sheet2!$D$525)^2+(E497-Sheet2!$E$525)^2+(F497-Sheet2!$F$525)^2+(G497-Sheet2!$G$525)^2+(H497-Sheet2!$H$525)^2+(I497-Sheet2!$I$525)^2+(J497-Sheet2!$J$525)^2+(K497-Sheet2!$K$525)^2+(L497-Sheet2!$L$525)^2)</f>
        <v>4.3434840899776974</v>
      </c>
      <c r="O497" s="8">
        <f>SQRT((C497-Sheet2!$C$526)^2+(D497-Sheet2!$D$526)^2+(E497-Sheet2!$E$526)^2+(F497-Sheet2!$F$526)^2+(G497-Sheet2!$G$526)^2+(H497-Sheet2!$H$526)^2+(I497-Sheet2!$I$526)^2+(J497-Sheet2!$J$526)^2+(K497-Sheet2!$K$526)^2+(L497-Sheet2!$L$526)^2)</f>
        <v>7.7100156338768819</v>
      </c>
      <c r="P497" s="12">
        <f t="shared" si="7"/>
        <v>0</v>
      </c>
      <c r="Q497" s="11">
        <f>IF(P497=Sheet1!$M497, 1, 0)</f>
        <v>0</v>
      </c>
    </row>
    <row r="498" spans="1:17" x14ac:dyDescent="0.35">
      <c r="A498" s="6" t="s">
        <v>530</v>
      </c>
      <c r="B498" s="6" t="s">
        <v>542</v>
      </c>
      <c r="C498" s="6">
        <v>1.6851563600486694</v>
      </c>
      <c r="D498" s="6">
        <v>-2.0602149775546614</v>
      </c>
      <c r="E498" s="6">
        <v>-1.6904727718369876</v>
      </c>
      <c r="F498" s="6">
        <v>-2.8712992090020455</v>
      </c>
      <c r="G498" s="6">
        <v>-3.213257695042278</v>
      </c>
      <c r="H498" s="6">
        <v>-2.4702978794854795</v>
      </c>
      <c r="I498" s="6">
        <v>0.86274768034311444</v>
      </c>
      <c r="J498" s="6">
        <v>-1.7497297881171021</v>
      </c>
      <c r="K498" s="6">
        <v>1.8302371509989257</v>
      </c>
      <c r="L498" s="6">
        <v>-0.42626847357395242</v>
      </c>
      <c r="N498" s="8">
        <f>SQRT((C498-Sheet2!$C$525)^2+(D498-Sheet2!$D$525)^2+(E498-Sheet2!$E$525)^2+(F498-Sheet2!$F$525)^2+(G498-Sheet2!$G$525)^2+(H498-Sheet2!$H$525)^2+(I498-Sheet2!$I$525)^2+(J498-Sheet2!$J$525)^2+(K498-Sheet2!$K$525)^2+(L498-Sheet2!$L$525)^2)</f>
        <v>5.8451654593389968</v>
      </c>
      <c r="O498" s="8">
        <f>SQRT((C498-Sheet2!$C$526)^2+(D498-Sheet2!$D$526)^2+(E498-Sheet2!$E$526)^2+(F498-Sheet2!$F$526)^2+(G498-Sheet2!$G$526)^2+(H498-Sheet2!$H$526)^2+(I498-Sheet2!$I$526)^2+(J498-Sheet2!$J$526)^2+(K498-Sheet2!$K$526)^2+(L498-Sheet2!$L$526)^2)</f>
        <v>9.4687300624056725</v>
      </c>
      <c r="P498" s="12">
        <f t="shared" si="7"/>
        <v>0</v>
      </c>
      <c r="Q498" s="11">
        <f>IF(P498=Sheet1!$M498, 1, 0)</f>
        <v>0</v>
      </c>
    </row>
    <row r="499" spans="1:17" x14ac:dyDescent="0.35">
      <c r="A499" s="6" t="s">
        <v>530</v>
      </c>
      <c r="B499" s="6" t="s">
        <v>543</v>
      </c>
      <c r="C499" s="6">
        <v>3.4042862359628563</v>
      </c>
      <c r="D499" s="6">
        <v>-2.5573748359880404</v>
      </c>
      <c r="E499" s="6">
        <v>-2.0002904449138801</v>
      </c>
      <c r="F499" s="6">
        <v>-3.150159303800514</v>
      </c>
      <c r="G499" s="6">
        <v>-1.0472402213719409</v>
      </c>
      <c r="H499" s="6">
        <v>-3.4533056632649997</v>
      </c>
      <c r="I499" s="6">
        <v>-2.656866863876115</v>
      </c>
      <c r="J499" s="6">
        <v>-1.0664631417241293</v>
      </c>
      <c r="K499" s="6">
        <v>2.50470954979623</v>
      </c>
      <c r="L499" s="6">
        <v>-0.42642232359292964</v>
      </c>
      <c r="N499" s="8">
        <f>SQRT((C499-Sheet2!$C$525)^2+(D499-Sheet2!$D$525)^2+(E499-Sheet2!$E$525)^2+(F499-Sheet2!$F$525)^2+(G499-Sheet2!$G$525)^2+(H499-Sheet2!$H$525)^2+(I499-Sheet2!$I$525)^2+(J499-Sheet2!$J$525)^2+(K499-Sheet2!$K$525)^2+(L499-Sheet2!$L$525)^2)</f>
        <v>7.0853457994044851</v>
      </c>
      <c r="O499" s="8">
        <f>SQRT((C499-Sheet2!$C$526)^2+(D499-Sheet2!$D$526)^2+(E499-Sheet2!$E$526)^2+(F499-Sheet2!$F$526)^2+(G499-Sheet2!$G$526)^2+(H499-Sheet2!$H$526)^2+(I499-Sheet2!$I$526)^2+(J499-Sheet2!$J$526)^2+(K499-Sheet2!$K$526)^2+(L499-Sheet2!$L$526)^2)</f>
        <v>10.728934832706456</v>
      </c>
      <c r="P499" s="12">
        <f t="shared" si="7"/>
        <v>0</v>
      </c>
      <c r="Q499" s="11">
        <f>IF(P499=Sheet1!$M499, 1, 0)</f>
        <v>0</v>
      </c>
    </row>
    <row r="500" spans="1:17" x14ac:dyDescent="0.35">
      <c r="A500" s="6" t="s">
        <v>530</v>
      </c>
      <c r="B500" s="6" t="s">
        <v>544</v>
      </c>
      <c r="C500" s="6">
        <v>2.4407146115238354</v>
      </c>
      <c r="D500" s="6">
        <v>-3.31232128768317</v>
      </c>
      <c r="E500" s="6">
        <v>-1.8035691162300982</v>
      </c>
      <c r="F500" s="6">
        <v>-3.643171626096148</v>
      </c>
      <c r="G500" s="6">
        <v>-1.4856700317261222</v>
      </c>
      <c r="H500" s="6">
        <v>-2.4735296858979057</v>
      </c>
      <c r="I500" s="6">
        <v>-0.27135742274799424</v>
      </c>
      <c r="J500" s="6">
        <v>-0.23895131442597306</v>
      </c>
      <c r="K500" s="6">
        <v>2.8818507287060906</v>
      </c>
      <c r="L500" s="6">
        <v>-0.42874998682992832</v>
      </c>
      <c r="N500" s="8">
        <f>SQRT((C500-Sheet2!$C$525)^2+(D500-Sheet2!$D$525)^2+(E500-Sheet2!$E$525)^2+(F500-Sheet2!$F$525)^2+(G500-Sheet2!$G$525)^2+(H500-Sheet2!$H$525)^2+(I500-Sheet2!$I$525)^2+(J500-Sheet2!$J$525)^2+(K500-Sheet2!$K$525)^2+(L500-Sheet2!$L$525)^2)</f>
        <v>6.4717121630646082</v>
      </c>
      <c r="O500" s="8">
        <f>SQRT((C500-Sheet2!$C$526)^2+(D500-Sheet2!$D$526)^2+(E500-Sheet2!$E$526)^2+(F500-Sheet2!$F$526)^2+(G500-Sheet2!$G$526)^2+(H500-Sheet2!$H$526)^2+(I500-Sheet2!$I$526)^2+(J500-Sheet2!$J$526)^2+(K500-Sheet2!$K$526)^2+(L500-Sheet2!$L$526)^2)</f>
        <v>10.066274994589385</v>
      </c>
      <c r="P500" s="12">
        <f t="shared" si="7"/>
        <v>0</v>
      </c>
      <c r="Q500" s="11">
        <f>IF(P500=Sheet1!$M500, 1, 0)</f>
        <v>0</v>
      </c>
    </row>
    <row r="501" spans="1:17" x14ac:dyDescent="0.35">
      <c r="A501" s="6" t="s">
        <v>530</v>
      </c>
      <c r="B501" s="6" t="s">
        <v>545</v>
      </c>
      <c r="C501" s="6">
        <v>2.7279072683900618</v>
      </c>
      <c r="D501" s="6">
        <v>-2.9379169498506257</v>
      </c>
      <c r="E501" s="6">
        <v>-2.0201836129830264</v>
      </c>
      <c r="F501" s="6">
        <v>-3.1316713417144273</v>
      </c>
      <c r="G501" s="6">
        <v>-1.1111174122844707</v>
      </c>
      <c r="H501" s="6">
        <v>-3.9838605493049055</v>
      </c>
      <c r="I501" s="6">
        <v>-5.0066765378467872</v>
      </c>
      <c r="J501" s="6">
        <v>-1.4954027586263845</v>
      </c>
      <c r="K501" s="6">
        <v>3.3090687446496272</v>
      </c>
      <c r="L501" s="6">
        <v>-0.43661217622155762</v>
      </c>
      <c r="N501" s="8">
        <f>SQRT((C501-Sheet2!$C$525)^2+(D501-Sheet2!$D$525)^2+(E501-Sheet2!$E$525)^2+(F501-Sheet2!$F$525)^2+(G501-Sheet2!$G$525)^2+(H501-Sheet2!$H$525)^2+(I501-Sheet2!$I$525)^2+(J501-Sheet2!$J$525)^2+(K501-Sheet2!$K$525)^2+(L501-Sheet2!$L$525)^2)</f>
        <v>8.6302578734388433</v>
      </c>
      <c r="O501" s="8">
        <f>SQRT((C501-Sheet2!$C$526)^2+(D501-Sheet2!$D$526)^2+(E501-Sheet2!$E$526)^2+(F501-Sheet2!$F$526)^2+(G501-Sheet2!$G$526)^2+(H501-Sheet2!$H$526)^2+(I501-Sheet2!$I$526)^2+(J501-Sheet2!$J$526)^2+(K501-Sheet2!$K$526)^2+(L501-Sheet2!$L$526)^2)</f>
        <v>12.145996442334482</v>
      </c>
      <c r="P501" s="12">
        <f t="shared" si="7"/>
        <v>0</v>
      </c>
      <c r="Q501" s="11">
        <f>IF(P501=Sheet1!$M501, 1, 0)</f>
        <v>0</v>
      </c>
    </row>
    <row r="502" spans="1:17" x14ac:dyDescent="0.35">
      <c r="A502" s="6" t="s">
        <v>530</v>
      </c>
      <c r="B502" s="6" t="s">
        <v>546</v>
      </c>
      <c r="C502" s="6">
        <v>0.21027444464688136</v>
      </c>
      <c r="D502" s="6">
        <v>0.24145103371097953</v>
      </c>
      <c r="E502" s="6">
        <v>-1.3659194187088759</v>
      </c>
      <c r="F502" s="6">
        <v>-0.92235987242711504</v>
      </c>
      <c r="G502" s="6">
        <v>-0.92819636558040863</v>
      </c>
      <c r="H502" s="6">
        <v>-0.47627332301874908</v>
      </c>
      <c r="I502" s="6">
        <v>0.29856386008699759</v>
      </c>
      <c r="J502" s="6">
        <v>-0.59197241506234233</v>
      </c>
      <c r="K502" s="6">
        <v>-0.13997340604470707</v>
      </c>
      <c r="L502" s="6">
        <v>-0.42002082134331026</v>
      </c>
      <c r="N502" s="8">
        <f>SQRT((C502-Sheet2!$C$525)^2+(D502-Sheet2!$D$525)^2+(E502-Sheet2!$E$525)^2+(F502-Sheet2!$F$525)^2+(G502-Sheet2!$G$525)^2+(H502-Sheet2!$H$525)^2+(I502-Sheet2!$I$525)^2+(J502-Sheet2!$J$525)^2+(K502-Sheet2!$K$525)^2+(L502-Sheet2!$L$525)^2)</f>
        <v>1.6794114028645537</v>
      </c>
      <c r="O502" s="8">
        <f>SQRT((C502-Sheet2!$C$526)^2+(D502-Sheet2!$D$526)^2+(E502-Sheet2!$E$526)^2+(F502-Sheet2!$F$526)^2+(G502-Sheet2!$G$526)^2+(H502-Sheet2!$H$526)^2+(I502-Sheet2!$I$526)^2+(J502-Sheet2!$J$526)^2+(K502-Sheet2!$K$526)^2+(L502-Sheet2!$L$526)^2)</f>
        <v>5.0507144648985225</v>
      </c>
      <c r="P502" s="12">
        <f t="shared" si="7"/>
        <v>0</v>
      </c>
      <c r="Q502" s="11">
        <f>IF(P502=Sheet1!$M502, 1, 0)</f>
        <v>1</v>
      </c>
    </row>
    <row r="503" spans="1:17" x14ac:dyDescent="0.35">
      <c r="A503" s="6" t="s">
        <v>530</v>
      </c>
      <c r="B503" s="6" t="s">
        <v>547</v>
      </c>
      <c r="C503" s="6">
        <v>0.50015114503522196</v>
      </c>
      <c r="D503" s="6">
        <v>-0.2557088247223992</v>
      </c>
      <c r="E503" s="6">
        <v>-0.51530228775222386</v>
      </c>
      <c r="F503" s="6">
        <v>-0.52949067809778161</v>
      </c>
      <c r="G503" s="6">
        <v>-0.83528408788945363</v>
      </c>
      <c r="H503" s="6">
        <v>-0.89533088782996373</v>
      </c>
      <c r="I503" s="6">
        <v>-0.60540524400698259</v>
      </c>
      <c r="J503" s="6">
        <v>-1.3853209100408499</v>
      </c>
      <c r="K503" s="6">
        <v>1.165154159145436</v>
      </c>
      <c r="L503" s="6">
        <v>-0.4161280585583762</v>
      </c>
      <c r="N503" s="8">
        <f>SQRT((C503-Sheet2!$C$525)^2+(D503-Sheet2!$D$525)^2+(E503-Sheet2!$E$525)^2+(F503-Sheet2!$F$525)^2+(G503-Sheet2!$G$525)^2+(H503-Sheet2!$H$525)^2+(I503-Sheet2!$I$525)^2+(J503-Sheet2!$J$525)^2+(K503-Sheet2!$K$525)^2+(L503-Sheet2!$L$525)^2)</f>
        <v>1.9066712290051504</v>
      </c>
      <c r="O503" s="8">
        <f>SQRT((C503-Sheet2!$C$526)^2+(D503-Sheet2!$D$526)^2+(E503-Sheet2!$E$526)^2+(F503-Sheet2!$F$526)^2+(G503-Sheet2!$G$526)^2+(H503-Sheet2!$H$526)^2+(I503-Sheet2!$I$526)^2+(J503-Sheet2!$J$526)^2+(K503-Sheet2!$K$526)^2+(L503-Sheet2!$L$526)^2)</f>
        <v>5.5458946048427089</v>
      </c>
      <c r="P503" s="12">
        <f t="shared" si="7"/>
        <v>0</v>
      </c>
      <c r="Q503" s="11">
        <f>IF(P503=Sheet1!$M503, 1, 0)</f>
        <v>1</v>
      </c>
    </row>
    <row r="504" spans="1:17" x14ac:dyDescent="0.35">
      <c r="A504" s="6" t="s">
        <v>530</v>
      </c>
      <c r="B504" s="6" t="s">
        <v>548</v>
      </c>
      <c r="C504" s="6">
        <v>2.3588512840993503</v>
      </c>
      <c r="D504" s="6">
        <v>0.47468652285256496</v>
      </c>
      <c r="E504" s="6">
        <v>-1.302924386489912</v>
      </c>
      <c r="F504" s="6">
        <v>-0.74364290559494794</v>
      </c>
      <c r="G504" s="6">
        <v>-0.93981040029177543</v>
      </c>
      <c r="H504" s="6">
        <v>0.40277802116107425</v>
      </c>
      <c r="I504" s="6">
        <v>-0.78071660058374182</v>
      </c>
      <c r="J504" s="6">
        <v>1.328766046464571</v>
      </c>
      <c r="K504" s="6">
        <v>-2.0460230156389425</v>
      </c>
      <c r="L504" s="6">
        <v>-0.42789772082774963</v>
      </c>
      <c r="N504" s="8">
        <f>SQRT((C504-Sheet2!$C$525)^2+(D504-Sheet2!$D$525)^2+(E504-Sheet2!$E$525)^2+(F504-Sheet2!$F$525)^2+(G504-Sheet2!$G$525)^2+(H504-Sheet2!$H$525)^2+(I504-Sheet2!$I$525)^2+(J504-Sheet2!$J$525)^2+(K504-Sheet2!$K$525)^2+(L504-Sheet2!$L$525)^2)</f>
        <v>3.8932745385426291</v>
      </c>
      <c r="O504" s="8">
        <f>SQRT((C504-Sheet2!$C$526)^2+(D504-Sheet2!$D$526)^2+(E504-Sheet2!$E$526)^2+(F504-Sheet2!$F$526)^2+(G504-Sheet2!$G$526)^2+(H504-Sheet2!$H$526)^2+(I504-Sheet2!$I$526)^2+(J504-Sheet2!$J$526)^2+(K504-Sheet2!$K$526)^2+(L504-Sheet2!$L$526)^2)</f>
        <v>5.6714512311076737</v>
      </c>
      <c r="P504" s="12">
        <f t="shared" si="7"/>
        <v>0</v>
      </c>
      <c r="Q504" s="11">
        <f>IF(P504=Sheet1!$M504, 1, 0)</f>
        <v>0</v>
      </c>
    </row>
    <row r="505" spans="1:17" x14ac:dyDescent="0.35">
      <c r="A505" s="6" t="s">
        <v>530</v>
      </c>
      <c r="B505" s="6" t="s">
        <v>549</v>
      </c>
      <c r="C505" s="6">
        <v>3.4405208235113984</v>
      </c>
      <c r="D505" s="6">
        <v>0.26600213783114585</v>
      </c>
      <c r="E505" s="6">
        <v>-1.7007877478728415</v>
      </c>
      <c r="F505" s="6">
        <v>-1.1103208203023256</v>
      </c>
      <c r="G505" s="6">
        <v>-1.0443367126940972</v>
      </c>
      <c r="H505" s="6">
        <v>0.16793342185813062</v>
      </c>
      <c r="I505" s="6">
        <v>-2.5229927370356804</v>
      </c>
      <c r="J505" s="6">
        <v>-0.91083018337906307</v>
      </c>
      <c r="K505" s="6">
        <v>-0.14153830720200797</v>
      </c>
      <c r="L505" s="6">
        <v>-0.44261702834076222</v>
      </c>
      <c r="N505" s="8">
        <f>SQRT((C505-Sheet2!$C$525)^2+(D505-Sheet2!$D$525)^2+(E505-Sheet2!$E$525)^2+(F505-Sheet2!$F$525)^2+(G505-Sheet2!$G$525)^2+(H505-Sheet2!$H$525)^2+(I505-Sheet2!$I$525)^2+(J505-Sheet2!$J$525)^2+(K505-Sheet2!$K$525)^2+(L505-Sheet2!$L$525)^2)</f>
        <v>4.5207677850860684</v>
      </c>
      <c r="O505" s="8">
        <f>SQRT((C505-Sheet2!$C$526)^2+(D505-Sheet2!$D$526)^2+(E505-Sheet2!$E$526)^2+(F505-Sheet2!$F$526)^2+(G505-Sheet2!$G$526)^2+(H505-Sheet2!$H$526)^2+(I505-Sheet2!$I$526)^2+(J505-Sheet2!$J$526)^2+(K505-Sheet2!$K$526)^2+(L505-Sheet2!$L$526)^2)</f>
        <v>7.4920286866852885</v>
      </c>
      <c r="P505" s="12">
        <f t="shared" si="7"/>
        <v>0</v>
      </c>
      <c r="Q505" s="11">
        <f>IF(P505=Sheet1!$M505, 1, 0)</f>
        <v>0</v>
      </c>
    </row>
    <row r="506" spans="1:17" x14ac:dyDescent="0.35">
      <c r="A506" s="6" t="s">
        <v>530</v>
      </c>
      <c r="B506" s="6" t="s">
        <v>550</v>
      </c>
      <c r="C506" s="6">
        <v>2.2152549556662371</v>
      </c>
      <c r="D506" s="6">
        <v>-1.5753306711813664</v>
      </c>
      <c r="E506" s="6">
        <v>-2.1078609092877834</v>
      </c>
      <c r="F506" s="6">
        <v>-2.7341801568635717</v>
      </c>
      <c r="G506" s="6">
        <v>-3.3845647070349729</v>
      </c>
      <c r="H506" s="6">
        <v>-0.64702042847524666</v>
      </c>
      <c r="I506" s="6">
        <v>-1.2135762773678134</v>
      </c>
      <c r="J506" s="6">
        <v>-1.1955246193761351</v>
      </c>
      <c r="K506" s="6">
        <v>-0.41070130625800838</v>
      </c>
      <c r="L506" s="6">
        <v>-0.43740301087024008</v>
      </c>
      <c r="N506" s="8">
        <f>SQRT((C506-Sheet2!$C$525)^2+(D506-Sheet2!$D$525)^2+(E506-Sheet2!$E$525)^2+(F506-Sheet2!$F$525)^2+(G506-Sheet2!$G$525)^2+(H506-Sheet2!$H$525)^2+(I506-Sheet2!$I$525)^2+(J506-Sheet2!$J$525)^2+(K506-Sheet2!$K$525)^2+(L506-Sheet2!$L$525)^2)</f>
        <v>5.2316205468948436</v>
      </c>
      <c r="O506" s="8">
        <f>SQRT((C506-Sheet2!$C$526)^2+(D506-Sheet2!$D$526)^2+(E506-Sheet2!$E$526)^2+(F506-Sheet2!$F$526)^2+(G506-Sheet2!$G$526)^2+(H506-Sheet2!$H$526)^2+(I506-Sheet2!$I$526)^2+(J506-Sheet2!$J$526)^2+(K506-Sheet2!$K$526)^2+(L506-Sheet2!$L$526)^2)</f>
        <v>8.8889284938848085</v>
      </c>
      <c r="P506" s="12">
        <f t="shared" si="7"/>
        <v>0</v>
      </c>
      <c r="Q506" s="11">
        <f>IF(P506=Sheet1!$M506, 1, 0)</f>
        <v>0</v>
      </c>
    </row>
    <row r="507" spans="1:17" x14ac:dyDescent="0.35">
      <c r="A507" s="6" t="s">
        <v>530</v>
      </c>
      <c r="B507" s="6" t="s">
        <v>551</v>
      </c>
      <c r="C507" s="6">
        <v>3.3425532349542282</v>
      </c>
      <c r="D507" s="6">
        <v>-4.3066410045499275</v>
      </c>
      <c r="E507" s="6">
        <v>-2.3388426940906504</v>
      </c>
      <c r="F507" s="6">
        <v>-5.7138233797378133</v>
      </c>
      <c r="G507" s="6">
        <v>-4.130766437240438</v>
      </c>
      <c r="H507" s="6">
        <v>-3.9240721306750279</v>
      </c>
      <c r="I507" s="6">
        <v>-4.5763668444311056</v>
      </c>
      <c r="J507" s="6">
        <v>-1.9205464497153455</v>
      </c>
      <c r="K507" s="6">
        <v>4.4545763917949328</v>
      </c>
      <c r="L507" s="6">
        <v>-0.44190511417580608</v>
      </c>
      <c r="N507" s="8">
        <f>SQRT((C507-Sheet2!$C$525)^2+(D507-Sheet2!$D$525)^2+(E507-Sheet2!$E$525)^2+(F507-Sheet2!$F$525)^2+(G507-Sheet2!$G$525)^2+(H507-Sheet2!$H$525)^2+(I507-Sheet2!$I$525)^2+(J507-Sheet2!$J$525)^2+(K507-Sheet2!$K$525)^2+(L507-Sheet2!$L$525)^2)</f>
        <v>11.373051671287843</v>
      </c>
      <c r="O507" s="8">
        <f>SQRT((C507-Sheet2!$C$526)^2+(D507-Sheet2!$D$526)^2+(E507-Sheet2!$E$526)^2+(F507-Sheet2!$F$526)^2+(G507-Sheet2!$G$526)^2+(H507-Sheet2!$H$526)^2+(I507-Sheet2!$I$526)^2+(J507-Sheet2!$J$526)^2+(K507-Sheet2!$K$526)^2+(L507-Sheet2!$L$526)^2)</f>
        <v>15.074665915790595</v>
      </c>
      <c r="P507" s="12">
        <f t="shared" si="7"/>
        <v>0</v>
      </c>
      <c r="Q507" s="11">
        <f>IF(P507=Sheet1!$M507, 1, 0)</f>
        <v>0</v>
      </c>
    </row>
    <row r="508" spans="1:17" x14ac:dyDescent="0.35">
      <c r="A508" s="6" t="s">
        <v>530</v>
      </c>
      <c r="B508" s="6" t="s">
        <v>552</v>
      </c>
      <c r="C508" s="6">
        <v>3.5505666079180833</v>
      </c>
      <c r="D508" s="6">
        <v>-3.0729480225115435</v>
      </c>
      <c r="E508" s="6">
        <v>-2.1852232295566862</v>
      </c>
      <c r="F508" s="6">
        <v>-3.2734123843744225</v>
      </c>
      <c r="G508" s="6">
        <v>-1.0298191693048866</v>
      </c>
      <c r="H508" s="6">
        <v>-4.0231808606560859</v>
      </c>
      <c r="I508" s="6">
        <v>-5.3719616553685432</v>
      </c>
      <c r="J508" s="6">
        <v>-1.9205464497153455</v>
      </c>
      <c r="K508" s="6">
        <v>4.099343829087303</v>
      </c>
      <c r="L508" s="6">
        <v>-0.4338209779008988</v>
      </c>
      <c r="N508" s="8">
        <f>SQRT((C508-Sheet2!$C$525)^2+(D508-Sheet2!$D$525)^2+(E508-Sheet2!$E$525)^2+(F508-Sheet2!$F$525)^2+(G508-Sheet2!$G$525)^2+(H508-Sheet2!$H$525)^2+(I508-Sheet2!$I$525)^2+(J508-Sheet2!$J$525)^2+(K508-Sheet2!$K$525)^2+(L508-Sheet2!$L$525)^2)</f>
        <v>9.6012706855722136</v>
      </c>
      <c r="O508" s="8">
        <f>SQRT((C508-Sheet2!$C$526)^2+(D508-Sheet2!$D$526)^2+(E508-Sheet2!$E$526)^2+(F508-Sheet2!$F$526)^2+(G508-Sheet2!$G$526)^2+(H508-Sheet2!$H$526)^2+(I508-Sheet2!$I$526)^2+(J508-Sheet2!$J$526)^2+(K508-Sheet2!$K$526)^2+(L508-Sheet2!$L$526)^2)</f>
        <v>13.086061976404315</v>
      </c>
      <c r="P508" s="12">
        <f t="shared" si="7"/>
        <v>0</v>
      </c>
      <c r="Q508" s="11">
        <f>IF(P508=Sheet1!$M508, 1, 0)</f>
        <v>0</v>
      </c>
    </row>
    <row r="509" spans="1:17" x14ac:dyDescent="0.35">
      <c r="A509" s="6" t="s">
        <v>530</v>
      </c>
      <c r="B509" s="6" t="s">
        <v>553</v>
      </c>
      <c r="C509" s="6">
        <v>3.2861883209898282</v>
      </c>
      <c r="D509" s="6">
        <v>-3.1343257828119606</v>
      </c>
      <c r="E509" s="6">
        <v>-2.1505943814363202</v>
      </c>
      <c r="F509" s="6">
        <v>-3.3288762706326813</v>
      </c>
      <c r="G509" s="6">
        <v>-1.7150472172756639</v>
      </c>
      <c r="H509" s="6">
        <v>-4.0215649574498729</v>
      </c>
      <c r="I509" s="6">
        <v>-5.427423793631009</v>
      </c>
      <c r="J509" s="6">
        <v>-1.578913126518859</v>
      </c>
      <c r="K509" s="6">
        <v>4.1275120499187459</v>
      </c>
      <c r="L509" s="6">
        <v>-0.44286384029569342</v>
      </c>
      <c r="N509" s="8">
        <f>SQRT((C509-Sheet2!$C$525)^2+(D509-Sheet2!$D$525)^2+(E509-Sheet2!$E$525)^2+(F509-Sheet2!$F$525)^2+(G509-Sheet2!$G$525)^2+(H509-Sheet2!$H$525)^2+(I509-Sheet2!$I$525)^2+(J509-Sheet2!$J$525)^2+(K509-Sheet2!$K$525)^2+(L509-Sheet2!$L$525)^2)</f>
        <v>9.6113230534060214</v>
      </c>
      <c r="O509" s="8">
        <f>SQRT((C509-Sheet2!$C$526)^2+(D509-Sheet2!$D$526)^2+(E509-Sheet2!$E$526)^2+(F509-Sheet2!$F$526)^2+(G509-Sheet2!$G$526)^2+(H509-Sheet2!$H$526)^2+(I509-Sheet2!$I$526)^2+(J509-Sheet2!$J$526)^2+(K509-Sheet2!$K$526)^2+(L509-Sheet2!$L$526)^2)</f>
        <v>13.115602259907176</v>
      </c>
      <c r="P509" s="12">
        <f t="shared" si="7"/>
        <v>0</v>
      </c>
      <c r="Q509" s="11">
        <f>IF(P509=Sheet1!$M509, 1, 0)</f>
        <v>0</v>
      </c>
    </row>
    <row r="510" spans="1:17" x14ac:dyDescent="0.35">
      <c r="A510" s="6" t="s">
        <v>530</v>
      </c>
      <c r="B510" s="6" t="s">
        <v>554</v>
      </c>
      <c r="C510" s="6">
        <v>2.815138682858775</v>
      </c>
      <c r="D510" s="6">
        <v>-3.3307346157732955</v>
      </c>
      <c r="E510" s="6">
        <v>-2.0853889972096731</v>
      </c>
      <c r="F510" s="6">
        <v>-3.2225704886376851</v>
      </c>
      <c r="G510" s="6">
        <v>-1.2098367073311092</v>
      </c>
      <c r="H510" s="6">
        <v>-4.1325236442764925</v>
      </c>
      <c r="I510" s="6">
        <v>-1.6049987244155592</v>
      </c>
      <c r="J510" s="6">
        <v>-1.7649134913702793</v>
      </c>
      <c r="K510" s="6">
        <v>3.7894933999414433</v>
      </c>
      <c r="L510" s="6">
        <v>-0.44258696040957818</v>
      </c>
      <c r="N510" s="8">
        <f>SQRT((C510-Sheet2!$C$525)^2+(D510-Sheet2!$D$525)^2+(E510-Sheet2!$E$525)^2+(F510-Sheet2!$F$525)^2+(G510-Sheet2!$G$525)^2+(H510-Sheet2!$H$525)^2+(I510-Sheet2!$I$525)^2+(J510-Sheet2!$J$525)^2+(K510-Sheet2!$K$525)^2+(L510-Sheet2!$L$525)^2)</f>
        <v>7.8711170030729321</v>
      </c>
      <c r="O510" s="8">
        <f>SQRT((C510-Sheet2!$C$526)^2+(D510-Sheet2!$D$526)^2+(E510-Sheet2!$E$526)^2+(F510-Sheet2!$F$526)^2+(G510-Sheet2!$G$526)^2+(H510-Sheet2!$H$526)^2+(I510-Sheet2!$I$526)^2+(J510-Sheet2!$J$526)^2+(K510-Sheet2!$K$526)^2+(L510-Sheet2!$L$526)^2)</f>
        <v>11.515352674506424</v>
      </c>
      <c r="P510" s="12">
        <f t="shared" si="7"/>
        <v>0</v>
      </c>
      <c r="Q510" s="11">
        <f>IF(P510=Sheet1!$M510, 1, 0)</f>
        <v>0</v>
      </c>
    </row>
    <row r="511" spans="1:17" x14ac:dyDescent="0.35">
      <c r="A511" s="6" t="s">
        <v>530</v>
      </c>
      <c r="B511" s="6" t="s">
        <v>555</v>
      </c>
      <c r="C511" s="6">
        <v>3.2190872329369715</v>
      </c>
      <c r="D511" s="6">
        <v>-3.8524455783268405</v>
      </c>
      <c r="E511" s="6">
        <v>-1.8098317802518666</v>
      </c>
      <c r="F511" s="6">
        <v>-4.122317976827218</v>
      </c>
      <c r="G511" s="6">
        <v>-1.1024068862509435</v>
      </c>
      <c r="H511" s="6">
        <v>-3.5427189740087814</v>
      </c>
      <c r="I511" s="6">
        <v>-6.7966482776116973E-3</v>
      </c>
      <c r="J511" s="6">
        <v>-1.5637294232656818</v>
      </c>
      <c r="K511" s="6">
        <v>3.1244104080879533</v>
      </c>
      <c r="L511" s="6">
        <v>-0.4415745758829635</v>
      </c>
      <c r="N511" s="8">
        <f>SQRT((C511-Sheet2!$C$525)^2+(D511-Sheet2!$D$525)^2+(E511-Sheet2!$E$525)^2+(F511-Sheet2!$F$525)^2+(G511-Sheet2!$G$525)^2+(H511-Sheet2!$H$525)^2+(I511-Sheet2!$I$525)^2+(J511-Sheet2!$J$525)^2+(K511-Sheet2!$K$525)^2+(L511-Sheet2!$L$525)^2)</f>
        <v>7.830180958002555</v>
      </c>
      <c r="O511" s="8">
        <f>SQRT((C511-Sheet2!$C$526)^2+(D511-Sheet2!$D$526)^2+(E511-Sheet2!$E$526)^2+(F511-Sheet2!$F$526)^2+(G511-Sheet2!$G$526)^2+(H511-Sheet2!$H$526)^2+(I511-Sheet2!$I$526)^2+(J511-Sheet2!$J$526)^2+(K511-Sheet2!$K$526)^2+(L511-Sheet2!$L$526)^2)</f>
        <v>11.426689492615738</v>
      </c>
      <c r="P511" s="12">
        <f t="shared" si="7"/>
        <v>0</v>
      </c>
      <c r="Q511" s="11">
        <f>IF(P511=Sheet1!$M511, 1, 0)</f>
        <v>0</v>
      </c>
    </row>
    <row r="512" spans="1:17" x14ac:dyDescent="0.35">
      <c r="A512" s="6" t="s">
        <v>530</v>
      </c>
      <c r="B512" s="6" t="s">
        <v>556</v>
      </c>
      <c r="C512" s="6">
        <v>2.219281020949408</v>
      </c>
      <c r="D512" s="6">
        <v>-2.146143841975245</v>
      </c>
      <c r="E512" s="6">
        <v>-1.808726604248025</v>
      </c>
      <c r="F512" s="6">
        <v>-2.2997130478405441</v>
      </c>
      <c r="G512" s="6">
        <v>-1.1053103949287875</v>
      </c>
      <c r="H512" s="6">
        <v>-3.5060918346679553</v>
      </c>
      <c r="I512" s="6">
        <v>-0.88590341452979782</v>
      </c>
      <c r="J512" s="6">
        <v>0.23553941223581379</v>
      </c>
      <c r="K512" s="6">
        <v>1.3670264084374373</v>
      </c>
      <c r="L512" s="6">
        <v>-0.43999002307308754</v>
      </c>
      <c r="N512" s="8">
        <f>SQRT((C512-Sheet2!$C$525)^2+(D512-Sheet2!$D$525)^2+(E512-Sheet2!$E$525)^2+(F512-Sheet2!$F$525)^2+(G512-Sheet2!$G$525)^2+(H512-Sheet2!$H$525)^2+(I512-Sheet2!$I$525)^2+(J512-Sheet2!$J$525)^2+(K512-Sheet2!$K$525)^2+(L512-Sheet2!$L$525)^2)</f>
        <v>5.2806445254370225</v>
      </c>
      <c r="O512" s="8">
        <f>SQRT((C512-Sheet2!$C$526)^2+(D512-Sheet2!$D$526)^2+(E512-Sheet2!$E$526)^2+(F512-Sheet2!$F$526)^2+(G512-Sheet2!$G$526)^2+(H512-Sheet2!$H$526)^2+(I512-Sheet2!$I$526)^2+(J512-Sheet2!$J$526)^2+(K512-Sheet2!$K$526)^2+(L512-Sheet2!$L$526)^2)</f>
        <v>8.7800566588942885</v>
      </c>
      <c r="P512" s="12">
        <f t="shared" si="7"/>
        <v>0</v>
      </c>
      <c r="Q512" s="11">
        <f>IF(P512=Sheet1!$M512, 1, 0)</f>
        <v>0</v>
      </c>
    </row>
    <row r="513" spans="1:17" x14ac:dyDescent="0.35">
      <c r="A513" s="6" t="s">
        <v>530</v>
      </c>
      <c r="B513" s="6" t="s">
        <v>557</v>
      </c>
      <c r="C513" s="6">
        <v>3.9437789839078228</v>
      </c>
      <c r="D513" s="6">
        <v>-3.2816324075329617</v>
      </c>
      <c r="E513" s="6">
        <v>-1.8407767083594277</v>
      </c>
      <c r="F513" s="6">
        <v>-3.3257949436183329</v>
      </c>
      <c r="G513" s="6">
        <v>-1.1517665337742629</v>
      </c>
      <c r="H513" s="6">
        <v>-4.1389872571013449</v>
      </c>
      <c r="I513" s="6">
        <v>-3.1955508504483392</v>
      </c>
      <c r="J513" s="6">
        <v>-1.3777290584142614</v>
      </c>
      <c r="K513" s="6">
        <v>0.98362562489836625</v>
      </c>
      <c r="L513" s="6">
        <v>-0.44291120930194378</v>
      </c>
      <c r="N513" s="8">
        <f>SQRT((C513-Sheet2!$C$525)^2+(D513-Sheet2!$D$525)^2+(E513-Sheet2!$E$525)^2+(F513-Sheet2!$F$525)^2+(G513-Sheet2!$G$525)^2+(H513-Sheet2!$H$525)^2+(I513-Sheet2!$I$525)^2+(J513-Sheet2!$J$525)^2+(K513-Sheet2!$K$525)^2+(L513-Sheet2!$L$525)^2)</f>
        <v>7.8806760868222465</v>
      </c>
      <c r="O513" s="8">
        <f>SQRT((C513-Sheet2!$C$526)^2+(D513-Sheet2!$D$526)^2+(E513-Sheet2!$E$526)^2+(F513-Sheet2!$F$526)^2+(G513-Sheet2!$G$526)^2+(H513-Sheet2!$H$526)^2+(I513-Sheet2!$I$526)^2+(J513-Sheet2!$J$526)^2+(K513-Sheet2!$K$526)^2+(L513-Sheet2!$L$526)^2)</f>
        <v>11.477499797010616</v>
      </c>
      <c r="P513" s="12">
        <f t="shared" si="7"/>
        <v>0</v>
      </c>
      <c r="Q513" s="11">
        <f>IF(P513=Sheet1!$M513, 1, 0)</f>
        <v>0</v>
      </c>
    </row>
    <row r="514" spans="1:17" x14ac:dyDescent="0.35">
      <c r="A514" s="6" t="s">
        <v>530</v>
      </c>
      <c r="B514" s="6" t="s">
        <v>558</v>
      </c>
      <c r="C514" s="6">
        <v>3.8001826554747109</v>
      </c>
      <c r="D514" s="6">
        <v>-3.1834279910522945</v>
      </c>
      <c r="E514" s="6">
        <v>-2.0820734691981486</v>
      </c>
      <c r="F514" s="6">
        <v>-3.0762074554561685</v>
      </c>
      <c r="G514" s="6">
        <v>-1.2475823201430574</v>
      </c>
      <c r="H514" s="6">
        <v>-4.1583780955759</v>
      </c>
      <c r="I514" s="6">
        <v>5.953268564334614E-3</v>
      </c>
      <c r="J514" s="6">
        <v>-1.6206683104650963</v>
      </c>
      <c r="K514" s="6">
        <v>2.4327240965603236</v>
      </c>
      <c r="L514" s="6">
        <v>-0.4413609034268911</v>
      </c>
      <c r="N514" s="8">
        <f>SQRT((C514-Sheet2!$C$525)^2+(D514-Sheet2!$D$525)^2+(E514-Sheet2!$E$525)^2+(F514-Sheet2!$F$525)^2+(G514-Sheet2!$G$525)^2+(H514-Sheet2!$H$525)^2+(I514-Sheet2!$I$525)^2+(J514-Sheet2!$J$525)^2+(K514-Sheet2!$K$525)^2+(L514-Sheet2!$L$525)^2)</f>
        <v>7.4978468502311335</v>
      </c>
      <c r="O514" s="8">
        <f>SQRT((C514-Sheet2!$C$526)^2+(D514-Sheet2!$D$526)^2+(E514-Sheet2!$E$526)^2+(F514-Sheet2!$F$526)^2+(G514-Sheet2!$G$526)^2+(H514-Sheet2!$H$526)^2+(I514-Sheet2!$I$526)^2+(J514-Sheet2!$J$526)^2+(K514-Sheet2!$K$526)^2+(L514-Sheet2!$L$526)^2)</f>
        <v>11.059286733190707</v>
      </c>
      <c r="P514" s="12">
        <f t="shared" si="7"/>
        <v>0</v>
      </c>
      <c r="Q514" s="11">
        <f>IF(P514=Sheet1!$M514, 1, 0)</f>
        <v>0</v>
      </c>
    </row>
    <row r="515" spans="1:17" x14ac:dyDescent="0.35">
      <c r="A515" s="6" t="s">
        <v>530</v>
      </c>
      <c r="B515" s="6" t="s">
        <v>559</v>
      </c>
      <c r="C515" s="6">
        <v>-0.11852088681211596</v>
      </c>
      <c r="D515" s="6">
        <v>1.923201665942408</v>
      </c>
      <c r="E515" s="6">
        <v>1.6991020319448029</v>
      </c>
      <c r="F515" s="6">
        <v>1.5688930186730139</v>
      </c>
      <c r="G515" s="6">
        <v>0.25062815762355645</v>
      </c>
      <c r="H515" s="6">
        <v>0.43671198849154513</v>
      </c>
      <c r="I515" s="6">
        <v>0.76266083313383681</v>
      </c>
      <c r="J515" s="6">
        <v>2.5092989743990963</v>
      </c>
      <c r="K515" s="6">
        <v>-0.89425576386442862</v>
      </c>
      <c r="L515" s="6">
        <v>1.855737795368476E-2</v>
      </c>
      <c r="N515" s="8">
        <f>SQRT((C515-Sheet2!$C$525)^2+(D515-Sheet2!$D$525)^2+(E515-Sheet2!$E$525)^2+(F515-Sheet2!$F$525)^2+(G515-Sheet2!$G$525)^2+(H515-Sheet2!$H$525)^2+(I515-Sheet2!$I$525)^2+(J515-Sheet2!$J$525)^2+(K515-Sheet2!$K$525)^2+(L515-Sheet2!$L$525)^2)</f>
        <v>4.7958085372001635</v>
      </c>
      <c r="O515" s="8">
        <f>SQRT((C515-Sheet2!$C$526)^2+(D515-Sheet2!$D$526)^2+(E515-Sheet2!$E$526)^2+(F515-Sheet2!$F$526)^2+(G515-Sheet2!$G$526)^2+(H515-Sheet2!$H$526)^2+(I515-Sheet2!$I$526)^2+(J515-Sheet2!$J$526)^2+(K515-Sheet2!$K$526)^2+(L515-Sheet2!$L$526)^2)</f>
        <v>1.9669738188314567</v>
      </c>
      <c r="P515" s="12">
        <f t="shared" ref="P515" si="8">IF(N515&lt;=O515, 0, 1)</f>
        <v>1</v>
      </c>
      <c r="Q515" s="11">
        <f>IF(P515=Sheet1!$M515, 1, 0)</f>
        <v>0</v>
      </c>
    </row>
    <row r="516" spans="1:17" x14ac:dyDescent="0.35">
      <c r="P516" s="15" t="s">
        <v>570</v>
      </c>
      <c r="Q516" s="15">
        <f>(SUM(Q2:Q515)/514)*100</f>
        <v>64.785992217898837</v>
      </c>
    </row>
    <row r="519" spans="1:17" x14ac:dyDescent="0.35">
      <c r="C519" s="1" t="s">
        <v>564</v>
      </c>
    </row>
    <row r="520" spans="1:17" x14ac:dyDescent="0.35">
      <c r="C520" s="9">
        <v>0.90007362983024741</v>
      </c>
      <c r="D520" s="9">
        <v>0.6404064756636908</v>
      </c>
      <c r="E520" s="9">
        <v>-1.1703032660289354</v>
      </c>
      <c r="F520" s="9">
        <v>-0.54181598615517224</v>
      </c>
      <c r="G520" s="9">
        <v>-1.2708103895657952</v>
      </c>
      <c r="H520" s="9">
        <v>-0.30391031435603855</v>
      </c>
      <c r="I520" s="9">
        <v>0.14747734550993657</v>
      </c>
      <c r="J520" s="9">
        <v>0.24692718967569677</v>
      </c>
      <c r="K520" s="9">
        <v>0.26377109253929582</v>
      </c>
      <c r="L520" s="9">
        <v>-0.42450280274635355</v>
      </c>
    </row>
    <row r="521" spans="1:17" x14ac:dyDescent="0.35">
      <c r="C521" s="9">
        <v>-0.625805112491712</v>
      </c>
      <c r="D521" s="9">
        <v>2.6965614457276632</v>
      </c>
      <c r="E521" s="9">
        <v>2.418940002446881</v>
      </c>
      <c r="F521" s="9">
        <v>2.4316645826903738</v>
      </c>
      <c r="G521" s="9">
        <v>0.5409790254077842</v>
      </c>
      <c r="H521" s="9">
        <v>1.2215023123089479</v>
      </c>
      <c r="I521" s="9">
        <v>0.90737238928992603</v>
      </c>
      <c r="J521" s="9">
        <v>1.4730112273697538</v>
      </c>
      <c r="K521" s="9">
        <v>-1.0116233506621033</v>
      </c>
      <c r="L521" s="9">
        <v>-0.13602043540229192</v>
      </c>
    </row>
    <row r="524" spans="1:17" x14ac:dyDescent="0.35">
      <c r="C524" s="1" t="s">
        <v>565</v>
      </c>
    </row>
    <row r="525" spans="1:17" x14ac:dyDescent="0.35">
      <c r="C525" s="9">
        <f>AVERAGEIF($P$2:$P$515, 0, C$2:C$515)</f>
        <v>0.20846356465031574</v>
      </c>
      <c r="D525" s="9">
        <f t="shared" ref="D525:L525" si="9">AVERAGEIF($P$2:$P$515, 0, D$2:D$515)</f>
        <v>-0.34964010599227802</v>
      </c>
      <c r="E525" s="9">
        <f t="shared" si="9"/>
        <v>-0.36674518216243795</v>
      </c>
      <c r="F525" s="9">
        <f t="shared" si="9"/>
        <v>-0.36825146614066651</v>
      </c>
      <c r="G525" s="9">
        <f t="shared" si="9"/>
        <v>-0.27358379518738402</v>
      </c>
      <c r="H525" s="9">
        <f t="shared" si="9"/>
        <v>-0.21017020118752047</v>
      </c>
      <c r="I525" s="9">
        <f t="shared" si="9"/>
        <v>-0.21714929529390711</v>
      </c>
      <c r="J525" s="9">
        <f t="shared" si="9"/>
        <v>-0.33714566875569735</v>
      </c>
      <c r="K525" s="9">
        <f t="shared" si="9"/>
        <v>0.1764773403873974</v>
      </c>
      <c r="L525" s="9">
        <f t="shared" si="9"/>
        <v>-0.22182687517873539</v>
      </c>
    </row>
    <row r="526" spans="1:17" x14ac:dyDescent="0.35">
      <c r="C526" s="9">
        <f>AVERAGEIF($P$2:$P$515, 1, C$2:C$515)</f>
        <v>-0.69195889106617536</v>
      </c>
      <c r="D526" s="9">
        <f t="shared" ref="D526:L526" si="10">AVERAGEIF($P$2:$P$515, 1, D$2:D$515)</f>
        <v>1.1605700997222674</v>
      </c>
      <c r="E526" s="9">
        <f t="shared" si="10"/>
        <v>1.2173474533963273</v>
      </c>
      <c r="F526" s="9">
        <f t="shared" si="10"/>
        <v>1.2223473035761849</v>
      </c>
      <c r="G526" s="9">
        <f t="shared" si="10"/>
        <v>0.9081142781430187</v>
      </c>
      <c r="H526" s="9">
        <f t="shared" si="10"/>
        <v>0.69762377705101486</v>
      </c>
      <c r="I526" s="9">
        <f t="shared" si="10"/>
        <v>0.72078967765625257</v>
      </c>
      <c r="J526" s="9">
        <f t="shared" si="10"/>
        <v>1.1190969677184914</v>
      </c>
      <c r="K526" s="9">
        <f t="shared" si="10"/>
        <v>-0.58578612985736378</v>
      </c>
      <c r="L526" s="9">
        <f t="shared" si="10"/>
        <v>0.73631609828235722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98CD-2E52-46BD-AEAF-E1C30905A081}">
  <dimension ref="A1:Q526"/>
  <sheetViews>
    <sheetView tabSelected="1" topLeftCell="A514" workbookViewId="0">
      <selection activeCell="H528" sqref="H528"/>
    </sheetView>
  </sheetViews>
  <sheetFormatPr defaultRowHeight="14.5" x14ac:dyDescent="0.35"/>
  <sheetData>
    <row r="1" spans="1:17" x14ac:dyDescent="0.35">
      <c r="A1" s="5" t="s">
        <v>560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N1" s="13" t="s">
        <v>566</v>
      </c>
      <c r="O1" s="13" t="s">
        <v>567</v>
      </c>
      <c r="P1" s="14" t="s">
        <v>569</v>
      </c>
      <c r="Q1" s="15" t="s">
        <v>568</v>
      </c>
    </row>
    <row r="2" spans="1:17" x14ac:dyDescent="0.35">
      <c r="A2" s="6" t="s">
        <v>12</v>
      </c>
      <c r="B2" s="6" t="s">
        <v>13</v>
      </c>
      <c r="C2" s="6">
        <v>0.90007362983024741</v>
      </c>
      <c r="D2" s="6">
        <v>0.6404064756636908</v>
      </c>
      <c r="E2" s="6">
        <v>-1.1703032660289354</v>
      </c>
      <c r="F2" s="6">
        <v>-0.54181598615517224</v>
      </c>
      <c r="G2" s="6">
        <v>-1.2708103895657952</v>
      </c>
      <c r="H2" s="6">
        <v>-0.30391031435603855</v>
      </c>
      <c r="I2" s="6">
        <v>0.14747734550993657</v>
      </c>
      <c r="J2" s="6">
        <v>0.24692718967569677</v>
      </c>
      <c r="K2" s="6">
        <v>0.26377109253929582</v>
      </c>
      <c r="L2" s="6">
        <v>-0.42450280274635355</v>
      </c>
      <c r="N2" s="8">
        <f>SQRT((C2-Sheet3!$C$525)^2+(D2-Sheet3!$D$525)^2+(E2-Sheet3!$E$525)^2+(F2-Sheet3!$F$525)^2+(G2-Sheet3!$G$525)^2+(H2-Sheet3!$H$525)^2+(I2-Sheet3!$I$525)^2+(J2-Sheet3!$J$525)^2+(K2-Sheet3!$K$525)^2+(L2-Sheet3!$L$525)^2)</f>
        <v>1.9132136483243574</v>
      </c>
      <c r="O2" s="8">
        <f>SQRT((C2-Sheet3!$C$526)^2+(D2-Sheet3!$D$526)^2+(E2-Sheet3!$E$526)^2+(F2-Sheet3!$F$526)^2+(G2-Sheet3!$G$526)^2+(H2-Sheet3!$H$526)^2+(I2-Sheet3!$I$526)^2+(J2-Sheet3!$J$526)^2+(K2-Sheet3!$K$526)^2+(L2-Sheet3!$L$526)^2)</f>
        <v>4.5307487466232246</v>
      </c>
      <c r="P2" s="12">
        <f>IF(N2&lt;=O2, 0, 1)</f>
        <v>0</v>
      </c>
      <c r="Q2" s="11">
        <f>IF(P2=Sheet1!M2, 1, 0)</f>
        <v>1</v>
      </c>
    </row>
    <row r="3" spans="1:17" x14ac:dyDescent="0.35">
      <c r="A3" s="6" t="s">
        <v>12</v>
      </c>
      <c r="B3" s="6" t="s">
        <v>14</v>
      </c>
      <c r="C3" s="6">
        <v>1.0852726328561315</v>
      </c>
      <c r="D3" s="6">
        <v>0.14938439326035369</v>
      </c>
      <c r="E3" s="6">
        <v>-0.57056108794429738</v>
      </c>
      <c r="F3" s="6">
        <v>-0.1088895406393177</v>
      </c>
      <c r="G3" s="6">
        <v>-0.64655602382970401</v>
      </c>
      <c r="H3" s="6">
        <v>-0.41163719477023253</v>
      </c>
      <c r="I3" s="6">
        <v>-0.41798146643037459</v>
      </c>
      <c r="J3" s="6">
        <v>1.2528475301986848</v>
      </c>
      <c r="K3" s="6">
        <v>-1.0350968680216379</v>
      </c>
      <c r="L3" s="6">
        <v>-0.42173791125360344</v>
      </c>
      <c r="N3" s="8">
        <f>SQRT((C3-Sheet3!$C$525)^2+(D3-Sheet3!$D$525)^2+(E3-Sheet3!$E$525)^2+(F3-Sheet3!$F$525)^2+(G3-Sheet3!$G$525)^2+(H3-Sheet3!$H$525)^2+(I3-Sheet3!$I$525)^2+(J3-Sheet3!$J$525)^2+(K3-Sheet3!$K$525)^2+(L3-Sheet3!$L$525)^2)</f>
        <v>2.3200462875004235</v>
      </c>
      <c r="O3" s="8">
        <f>SQRT((C3-Sheet3!$C$526)^2+(D3-Sheet3!$D$526)^2+(E3-Sheet3!$E$526)^2+(F3-Sheet3!$F$526)^2+(G3-Sheet3!$G$526)^2+(H3-Sheet3!$H$526)^2+(I3-Sheet3!$I$526)^2+(J3-Sheet3!$J$526)^2+(K3-Sheet3!$K$526)^2+(L3-Sheet3!$L$526)^2)</f>
        <v>3.956636794250092</v>
      </c>
      <c r="P3" s="12">
        <f t="shared" ref="P3:P66" si="0">IF(N3&lt;=O3, 0, 1)</f>
        <v>0</v>
      </c>
      <c r="Q3" s="11">
        <f>IF(P3=Sheet1!M3, 1, 0)</f>
        <v>0</v>
      </c>
    </row>
    <row r="4" spans="1:17" x14ac:dyDescent="0.35">
      <c r="A4" s="6" t="s">
        <v>12</v>
      </c>
      <c r="B4" s="6" t="s">
        <v>15</v>
      </c>
      <c r="C4" s="6">
        <v>0.12170100841711061</v>
      </c>
      <c r="D4" s="6">
        <v>0.27213991386118852</v>
      </c>
      <c r="E4" s="6">
        <v>-0.79012272070746958</v>
      </c>
      <c r="F4" s="6">
        <v>-0.38312764491626466</v>
      </c>
      <c r="G4" s="6">
        <v>-1.5263191532159142</v>
      </c>
      <c r="H4" s="6">
        <v>-0.78921991062198271</v>
      </c>
      <c r="I4" s="6">
        <v>-0.34976941132596229</v>
      </c>
      <c r="J4" s="6">
        <v>0.53162162567276894</v>
      </c>
      <c r="K4" s="6">
        <v>-1.3480770994821039</v>
      </c>
      <c r="L4" s="6">
        <v>-0.36813456289920671</v>
      </c>
      <c r="N4" s="8">
        <f>SQRT((C4-Sheet3!$C$525)^2+(D4-Sheet3!$D$525)^2+(E4-Sheet3!$E$525)^2+(F4-Sheet3!$F$525)^2+(G4-Sheet3!$G$525)^2+(H4-Sheet3!$H$525)^2+(I4-Sheet3!$I$525)^2+(J4-Sheet3!$J$525)^2+(K4-Sheet3!$K$525)^2+(L4-Sheet3!$L$525)^2)</f>
        <v>2.3656435287253967</v>
      </c>
      <c r="O4" s="8">
        <f>SQRT((C4-Sheet3!$C$526)^2+(D4-Sheet3!$D$526)^2+(E4-Sheet3!$E$526)^2+(F4-Sheet3!$F$526)^2+(G4-Sheet3!$G$526)^2+(H4-Sheet3!$H$526)^2+(I4-Sheet3!$I$526)^2+(J4-Sheet3!$J$526)^2+(K4-Sheet3!$K$526)^2+(L4-Sheet3!$L$526)^2)</f>
        <v>4.4145362209965517</v>
      </c>
      <c r="P4" s="12">
        <f t="shared" si="0"/>
        <v>0</v>
      </c>
      <c r="Q4" s="11">
        <f>IF(P4=Sheet1!M4, 1, 0)</f>
        <v>1</v>
      </c>
    </row>
    <row r="5" spans="1:17" x14ac:dyDescent="0.35">
      <c r="A5" s="6" t="s">
        <v>12</v>
      </c>
      <c r="B5" s="6" t="s">
        <v>16</v>
      </c>
      <c r="C5" s="6">
        <v>0.1525675089214247</v>
      </c>
      <c r="D5" s="6">
        <v>0.75702422023448301</v>
      </c>
      <c r="E5" s="6">
        <v>-0.8453815208995431</v>
      </c>
      <c r="F5" s="6">
        <v>-7.4994943481493007E-2</v>
      </c>
      <c r="G5" s="6">
        <v>-0.41717883828016644</v>
      </c>
      <c r="H5" s="6">
        <v>-0.78060176018884708</v>
      </c>
      <c r="I5" s="6">
        <v>0.10030265319473533</v>
      </c>
      <c r="J5" s="6">
        <v>0.52023384823288588</v>
      </c>
      <c r="K5" s="6">
        <v>2.4341215472039265E-2</v>
      </c>
      <c r="L5" s="6">
        <v>-0.38607558968778871</v>
      </c>
      <c r="N5" s="8">
        <f>SQRT((C5-Sheet3!$C$525)^2+(D5-Sheet3!$D$525)^2+(E5-Sheet3!$E$525)^2+(F5-Sheet3!$F$525)^2+(G5-Sheet3!$G$525)^2+(H5-Sheet3!$H$525)^2+(I5-Sheet3!$I$525)^2+(J5-Sheet3!$J$525)^2+(K5-Sheet3!$K$525)^2+(L5-Sheet3!$L$525)^2)</f>
        <v>1.665812879410302</v>
      </c>
      <c r="O5" s="8">
        <f>SQRT((C5-Sheet3!$C$526)^2+(D5-Sheet3!$D$526)^2+(E5-Sheet3!$E$526)^2+(F5-Sheet3!$F$526)^2+(G5-Sheet3!$G$526)^2+(H5-Sheet3!$H$526)^2+(I5-Sheet3!$I$526)^2+(J5-Sheet3!$J$526)^2+(K5-Sheet3!$K$526)^2+(L5-Sheet3!$L$526)^2)</f>
        <v>3.6237044705746935</v>
      </c>
      <c r="P5" s="12">
        <f t="shared" si="0"/>
        <v>0</v>
      </c>
      <c r="Q5" s="11">
        <f>IF(P5=Sheet1!M5, 1, 0)</f>
        <v>1</v>
      </c>
    </row>
    <row r="6" spans="1:17" x14ac:dyDescent="0.35">
      <c r="A6" s="6" t="s">
        <v>12</v>
      </c>
      <c r="B6" s="6" t="s">
        <v>17</v>
      </c>
      <c r="C6" s="6">
        <v>0.29213777207136638</v>
      </c>
      <c r="D6" s="6">
        <v>-0.13909108015160596</v>
      </c>
      <c r="E6" s="6">
        <v>-0.64387109619911498</v>
      </c>
      <c r="F6" s="6">
        <v>-0.32304176813648411</v>
      </c>
      <c r="G6" s="6">
        <v>-0.2661963870323692</v>
      </c>
      <c r="H6" s="6">
        <v>-0.56299346175217524</v>
      </c>
      <c r="I6" s="6">
        <v>-0.12600837074980831</v>
      </c>
      <c r="J6" s="6">
        <v>0.78594865516348666</v>
      </c>
      <c r="K6" s="6">
        <v>-1.5624685580325237</v>
      </c>
      <c r="L6" s="6">
        <v>-0.2827211194286291</v>
      </c>
      <c r="N6" s="8">
        <f>SQRT((C6-Sheet3!$C$525)^2+(D6-Sheet3!$D$525)^2+(E6-Sheet3!$E$525)^2+(F6-Sheet3!$F$525)^2+(G6-Sheet3!$G$525)^2+(H6-Sheet3!$H$525)^2+(I6-Sheet3!$I$525)^2+(J6-Sheet3!$J$525)^2+(K6-Sheet3!$K$525)^2+(L6-Sheet3!$L$525)^2)</f>
        <v>2.1335421852987784</v>
      </c>
      <c r="O6" s="8">
        <f>SQRT((C6-Sheet3!$C$526)^2+(D6-Sheet3!$D$526)^2+(E6-Sheet3!$E$526)^2+(F6-Sheet3!$F$526)^2+(G6-Sheet3!$G$526)^2+(H6-Sheet3!$H$526)^2+(I6-Sheet3!$I$526)^2+(J6-Sheet3!$J$526)^2+(K6-Sheet3!$K$526)^2+(L6-Sheet3!$L$526)^2)</f>
        <v>3.7813342629074693</v>
      </c>
      <c r="P6" s="12">
        <f t="shared" si="0"/>
        <v>0</v>
      </c>
      <c r="Q6" s="11">
        <f>IF(P6=Sheet1!M6, 1, 0)</f>
        <v>1</v>
      </c>
    </row>
    <row r="7" spans="1:17" x14ac:dyDescent="0.35">
      <c r="A7" s="6" t="s">
        <v>12</v>
      </c>
      <c r="B7" s="6" t="s">
        <v>18</v>
      </c>
      <c r="C7" s="6">
        <v>0.40084153471699413</v>
      </c>
      <c r="D7" s="6">
        <v>0.87364196480527523</v>
      </c>
      <c r="E7" s="6">
        <v>0.167696482621805</v>
      </c>
      <c r="F7" s="6">
        <v>0.5304858148378343</v>
      </c>
      <c r="G7" s="6">
        <v>-0.23135428289826052</v>
      </c>
      <c r="H7" s="6">
        <v>0.72057231838294611</v>
      </c>
      <c r="I7" s="6">
        <v>0.31641374366572228</v>
      </c>
      <c r="J7" s="6">
        <v>-0.92980981244553462</v>
      </c>
      <c r="K7" s="6">
        <v>1.0696951885499939</v>
      </c>
      <c r="L7" s="6">
        <v>-0.33454928972214776</v>
      </c>
      <c r="N7" s="8">
        <f>SQRT((C7-Sheet3!$C$525)^2+(D7-Sheet3!$D$525)^2+(E7-Sheet3!$E$525)^2+(F7-Sheet3!$F$525)^2+(G7-Sheet3!$G$525)^2+(H7-Sheet3!$H$525)^2+(I7-Sheet3!$I$525)^2+(J7-Sheet3!$J$525)^2+(K7-Sheet3!$K$525)^2+(L7-Sheet3!$L$525)^2)</f>
        <v>2.2229112986352884</v>
      </c>
      <c r="O7" s="8">
        <f>SQRT((C7-Sheet3!$C$526)^2+(D7-Sheet3!$D$526)^2+(E7-Sheet3!$E$526)^2+(F7-Sheet3!$F$526)^2+(G7-Sheet3!$G$526)^2+(H7-Sheet3!$H$526)^2+(I7-Sheet3!$I$526)^2+(J7-Sheet3!$J$526)^2+(K7-Sheet3!$K$526)^2+(L7-Sheet3!$L$526)^2)</f>
        <v>3.5220455997915963</v>
      </c>
      <c r="P7" s="12">
        <f t="shared" si="0"/>
        <v>0</v>
      </c>
      <c r="Q7" s="11">
        <f>IF(P7=Sheet1!M7, 1, 0)</f>
        <v>1</v>
      </c>
    </row>
    <row r="8" spans="1:17" x14ac:dyDescent="0.35">
      <c r="A8" s="6" t="s">
        <v>12</v>
      </c>
      <c r="B8" s="6" t="s">
        <v>19</v>
      </c>
      <c r="C8" s="6">
        <v>0.87725925989227593</v>
      </c>
      <c r="D8" s="6">
        <v>0.68337090787398302</v>
      </c>
      <c r="E8" s="6">
        <v>-0.2695848228981369</v>
      </c>
      <c r="F8" s="6">
        <v>0.26857301861827798</v>
      </c>
      <c r="G8" s="6">
        <v>-0.48395953787053997</v>
      </c>
      <c r="H8" s="6">
        <v>0.66778614697999084</v>
      </c>
      <c r="I8" s="6">
        <v>0.57906203060981287</v>
      </c>
      <c r="J8" s="6">
        <v>0.77076495191030947</v>
      </c>
      <c r="K8" s="6">
        <v>-1.4732691920662908</v>
      </c>
      <c r="L8" s="6">
        <v>-0.30252259684734706</v>
      </c>
      <c r="N8" s="8">
        <f>SQRT((C8-Sheet3!$C$525)^2+(D8-Sheet3!$D$525)^2+(E8-Sheet3!$E$525)^2+(F8-Sheet3!$F$525)^2+(G8-Sheet3!$G$525)^2+(H8-Sheet3!$H$525)^2+(I8-Sheet3!$I$525)^2+(J8-Sheet3!$J$525)^2+(K8-Sheet3!$K$525)^2+(L8-Sheet3!$L$525)^2)</f>
        <v>2.7081440394967258</v>
      </c>
      <c r="O8" s="8">
        <f>SQRT((C8-Sheet3!$C$526)^2+(D8-Sheet3!$D$526)^2+(E8-Sheet3!$E$526)^2+(F8-Sheet3!$F$526)^2+(G8-Sheet3!$G$526)^2+(H8-Sheet3!$H$526)^2+(I8-Sheet3!$I$526)^2+(J8-Sheet3!$J$526)^2+(K8-Sheet3!$K$526)^2+(L8-Sheet3!$L$526)^2)</f>
        <v>3.123749571862469</v>
      </c>
      <c r="P8" s="12">
        <f t="shared" si="0"/>
        <v>0</v>
      </c>
      <c r="Q8" s="11">
        <f>IF(P8=Sheet1!M8, 1, 0)</f>
        <v>1</v>
      </c>
    </row>
    <row r="9" spans="1:17" x14ac:dyDescent="0.35">
      <c r="A9" s="6" t="s">
        <v>12</v>
      </c>
      <c r="B9" s="6" t="s">
        <v>20</v>
      </c>
      <c r="C9" s="6">
        <v>0.23845690162908126</v>
      </c>
      <c r="D9" s="6">
        <v>1.1621174382172359</v>
      </c>
      <c r="E9" s="6">
        <v>-0.25079683083283189</v>
      </c>
      <c r="F9" s="6">
        <v>0.56283974848848439</v>
      </c>
      <c r="G9" s="6">
        <v>3.8672024141073208E-2</v>
      </c>
      <c r="H9" s="6">
        <v>0.54928657852437801</v>
      </c>
      <c r="I9" s="6">
        <v>-0.17700803811759264</v>
      </c>
      <c r="J9" s="6">
        <v>1.0023164265212616</v>
      </c>
      <c r="K9" s="6">
        <v>-1.2197552045833129</v>
      </c>
      <c r="L9" s="6">
        <v>-0.2445237933602567</v>
      </c>
      <c r="N9" s="8">
        <f>SQRT((C9-Sheet3!$C$525)^2+(D9-Sheet3!$D$525)^2+(E9-Sheet3!$E$525)^2+(F9-Sheet3!$F$525)^2+(G9-Sheet3!$G$525)^2+(H9-Sheet3!$H$525)^2+(I9-Sheet3!$I$525)^2+(J9-Sheet3!$J$525)^2+(K9-Sheet3!$K$525)^2+(L9-Sheet3!$L$525)^2)</f>
        <v>2.7543990514756134</v>
      </c>
      <c r="O9" s="8">
        <f>SQRT((C9-Sheet3!$C$526)^2+(D9-Sheet3!$D$526)^2+(E9-Sheet3!$E$526)^2+(F9-Sheet3!$F$526)^2+(G9-Sheet3!$G$526)^2+(H9-Sheet3!$H$526)^2+(I9-Sheet3!$I$526)^2+(J9-Sheet3!$J$526)^2+(K9-Sheet3!$K$526)^2+(L9-Sheet3!$L$526)^2)</f>
        <v>2.5333080483024175</v>
      </c>
      <c r="P9" s="12">
        <f t="shared" si="0"/>
        <v>1</v>
      </c>
      <c r="Q9" s="11">
        <f>IF(P9=Sheet1!M9, 1, 0)</f>
        <v>0</v>
      </c>
    </row>
    <row r="10" spans="1:17" x14ac:dyDescent="0.35">
      <c r="A10" s="6" t="s">
        <v>12</v>
      </c>
      <c r="B10" s="6" t="s">
        <v>21</v>
      </c>
      <c r="C10" s="6">
        <v>0.9819369572547324</v>
      </c>
      <c r="D10" s="6">
        <v>0.34579322622168857</v>
      </c>
      <c r="E10" s="6">
        <v>-0.17122415855624601</v>
      </c>
      <c r="F10" s="6">
        <v>0.11912865842241392</v>
      </c>
      <c r="G10" s="6">
        <v>-0.7859244403661344</v>
      </c>
      <c r="H10" s="6">
        <v>-1.2443659803719522</v>
      </c>
      <c r="I10" s="6">
        <v>0.26158910124535395</v>
      </c>
      <c r="J10" s="6">
        <v>0.8428875423629012</v>
      </c>
      <c r="K10" s="6">
        <v>-1.4357115642910345</v>
      </c>
      <c r="L10" s="6">
        <v>-0.2922999599351695</v>
      </c>
      <c r="N10" s="8">
        <f>SQRT((C10-Sheet3!$C$525)^2+(D10-Sheet3!$D$525)^2+(E10-Sheet3!$E$525)^2+(F10-Sheet3!$F$525)^2+(G10-Sheet3!$G$525)^2+(H10-Sheet3!$H$525)^2+(I10-Sheet3!$I$525)^2+(J10-Sheet3!$J$525)^2+(K10-Sheet3!$K$525)^2+(L10-Sheet3!$L$525)^2)</f>
        <v>2.6297335726656037</v>
      </c>
      <c r="O10" s="8">
        <f>SQRT((C10-Sheet3!$C$526)^2+(D10-Sheet3!$D$526)^2+(E10-Sheet3!$E$526)^2+(F10-Sheet3!$F$526)^2+(G10-Sheet3!$G$526)^2+(H10-Sheet3!$H$526)^2+(I10-Sheet3!$I$526)^2+(J10-Sheet3!$J$526)^2+(K10-Sheet3!$K$526)^2+(L10-Sheet3!$L$526)^2)</f>
        <v>3.9140367420667221</v>
      </c>
      <c r="P10" s="12">
        <f t="shared" si="0"/>
        <v>0</v>
      </c>
      <c r="Q10" s="11">
        <f>IF(P10=Sheet1!M10, 1, 0)</f>
        <v>1</v>
      </c>
    </row>
    <row r="11" spans="1:17" x14ac:dyDescent="0.35">
      <c r="A11" s="6" t="s">
        <v>12</v>
      </c>
      <c r="B11" s="6" t="s">
        <v>22</v>
      </c>
      <c r="C11" s="6">
        <v>0.13109516074451058</v>
      </c>
      <c r="D11" s="6">
        <v>0.52378873109289759</v>
      </c>
      <c r="E11" s="6">
        <v>-0.53703741582777276</v>
      </c>
      <c r="F11" s="6">
        <v>0.3702568100917521</v>
      </c>
      <c r="G11" s="6">
        <v>0.4654877997838876</v>
      </c>
      <c r="H11" s="6">
        <v>0.25249902298327331</v>
      </c>
      <c r="I11" s="6">
        <v>0.53507481750509889</v>
      </c>
      <c r="J11" s="6">
        <v>-0.28070649837221007</v>
      </c>
      <c r="K11" s="6">
        <v>-0.55623711388712604</v>
      </c>
      <c r="L11" s="6">
        <v>-0.24216485028101861</v>
      </c>
      <c r="N11" s="8">
        <f>SQRT((C11-Sheet3!$C$525)^2+(D11-Sheet3!$D$525)^2+(E11-Sheet3!$E$525)^2+(F11-Sheet3!$F$525)^2+(G11-Sheet3!$G$525)^2+(H11-Sheet3!$H$525)^2+(I11-Sheet3!$I$525)^2+(J11-Sheet3!$J$525)^2+(K11-Sheet3!$K$525)^2+(L11-Sheet3!$L$525)^2)</f>
        <v>1.791607645757711</v>
      </c>
      <c r="O11" s="8">
        <f>SQRT((C11-Sheet3!$C$526)^2+(D11-Sheet3!$D$526)^2+(E11-Sheet3!$E$526)^2+(F11-Sheet3!$F$526)^2+(G11-Sheet3!$G$526)^2+(H11-Sheet3!$H$526)^2+(I11-Sheet3!$I$526)^2+(J11-Sheet3!$J$526)^2+(K11-Sheet3!$K$526)^2+(L11-Sheet3!$L$526)^2)</f>
        <v>2.8693422716922008</v>
      </c>
      <c r="P11" s="12">
        <f t="shared" si="0"/>
        <v>0</v>
      </c>
      <c r="Q11" s="11">
        <f>IF(P11=Sheet1!M11, 1, 0)</f>
        <v>1</v>
      </c>
    </row>
    <row r="12" spans="1:17" x14ac:dyDescent="0.35">
      <c r="A12" s="6" t="s">
        <v>12</v>
      </c>
      <c r="B12" s="6" t="s">
        <v>23</v>
      </c>
      <c r="C12" s="6">
        <v>0.69206025686639183</v>
      </c>
      <c r="D12" s="6">
        <v>0.12483328914018736</v>
      </c>
      <c r="E12" s="6">
        <v>-0.78238648868057925</v>
      </c>
      <c r="F12" s="6">
        <v>-7.1913616467145905E-2</v>
      </c>
      <c r="G12" s="6">
        <v>-0.24587182628747109</v>
      </c>
      <c r="H12" s="6">
        <v>0.14908121778564698</v>
      </c>
      <c r="I12" s="6">
        <v>0.37952583203335621</v>
      </c>
      <c r="J12" s="6">
        <v>1.2338679011322136</v>
      </c>
      <c r="K12" s="6">
        <v>-1.7205235749200585</v>
      </c>
      <c r="L12" s="6">
        <v>-0.10531035851903973</v>
      </c>
      <c r="N12" s="8">
        <f>SQRT((C12-Sheet3!$C$525)^2+(D12-Sheet3!$D$525)^2+(E12-Sheet3!$E$525)^2+(F12-Sheet3!$F$525)^2+(G12-Sheet3!$G$525)^2+(H12-Sheet3!$H$525)^2+(I12-Sheet3!$I$525)^2+(J12-Sheet3!$J$525)^2+(K12-Sheet3!$K$525)^2+(L12-Sheet3!$L$525)^2)</f>
        <v>2.6992012765211553</v>
      </c>
      <c r="O12" s="8">
        <f>SQRT((C12-Sheet3!$C$526)^2+(D12-Sheet3!$D$526)^2+(E12-Sheet3!$E$526)^2+(F12-Sheet3!$F$526)^2+(G12-Sheet3!$G$526)^2+(H12-Sheet3!$H$526)^2+(I12-Sheet3!$I$526)^2+(J12-Sheet3!$J$526)^2+(K12-Sheet3!$K$526)^2+(L12-Sheet3!$L$526)^2)</f>
        <v>3.524271175850421</v>
      </c>
      <c r="P12" s="12">
        <f t="shared" si="0"/>
        <v>0</v>
      </c>
      <c r="Q12" s="11">
        <f>IF(P12=Sheet1!M12, 1, 0)</f>
        <v>1</v>
      </c>
    </row>
    <row r="13" spans="1:17" x14ac:dyDescent="0.35">
      <c r="A13" s="6" t="s">
        <v>12</v>
      </c>
      <c r="B13" s="6" t="s">
        <v>24</v>
      </c>
      <c r="C13" s="6">
        <v>0.54577988491116447</v>
      </c>
      <c r="D13" s="6">
        <v>0.1432466172303121</v>
      </c>
      <c r="E13" s="6">
        <v>-0.69876150438990803</v>
      </c>
      <c r="F13" s="6">
        <v>-0.45245750273908869</v>
      </c>
      <c r="G13" s="6">
        <v>-1.3346875804783249</v>
      </c>
      <c r="H13" s="6">
        <v>-0.61901143956755644</v>
      </c>
      <c r="I13" s="6">
        <v>0.65046156492471141</v>
      </c>
      <c r="J13" s="6">
        <v>-0.38699242114445043</v>
      </c>
      <c r="K13" s="6">
        <v>-1.8081580397289894</v>
      </c>
      <c r="L13" s="6">
        <v>-0.39479616732192818</v>
      </c>
      <c r="N13" s="8">
        <f>SQRT((C13-Sheet3!$C$525)^2+(D13-Sheet3!$D$525)^2+(E13-Sheet3!$E$525)^2+(F13-Sheet3!$F$525)^2+(G13-Sheet3!$G$525)^2+(H13-Sheet3!$H$525)^2+(I13-Sheet3!$I$525)^2+(J13-Sheet3!$J$525)^2+(K13-Sheet3!$K$525)^2+(L13-Sheet3!$L$525)^2)</f>
        <v>2.5477572077328334</v>
      </c>
      <c r="O13" s="8">
        <f>SQRT((C13-Sheet3!$C$526)^2+(D13-Sheet3!$D$526)^2+(E13-Sheet3!$E$526)^2+(F13-Sheet3!$F$526)^2+(G13-Sheet3!$G$526)^2+(H13-Sheet3!$H$526)^2+(I13-Sheet3!$I$526)^2+(J13-Sheet3!$J$526)^2+(K13-Sheet3!$K$526)^2+(L13-Sheet3!$L$526)^2)</f>
        <v>4.5666110878591377</v>
      </c>
      <c r="P13" s="12">
        <f t="shared" si="0"/>
        <v>0</v>
      </c>
      <c r="Q13" s="11">
        <f>IF(P13=Sheet1!M13, 1, 0)</f>
        <v>1</v>
      </c>
    </row>
    <row r="14" spans="1:17" x14ac:dyDescent="0.35">
      <c r="A14" s="6" t="s">
        <v>12</v>
      </c>
      <c r="B14" s="6" t="s">
        <v>25</v>
      </c>
      <c r="C14" s="6">
        <v>0.98864706606001818</v>
      </c>
      <c r="D14" s="6">
        <v>-2.247333558081379E-2</v>
      </c>
      <c r="E14" s="6">
        <v>-0.54108972784185816</v>
      </c>
      <c r="F14" s="6">
        <v>-0.36463968283017767</v>
      </c>
      <c r="G14" s="6">
        <v>-1.1982226726197382</v>
      </c>
      <c r="H14" s="6">
        <v>-1.5928624385118697</v>
      </c>
      <c r="I14" s="6">
        <v>-2.9109002751017063E-2</v>
      </c>
      <c r="J14" s="6">
        <v>-1.2220961000691954</v>
      </c>
      <c r="K14" s="6">
        <v>1.49065359986432</v>
      </c>
      <c r="L14" s="6">
        <v>-0.4175284008878361</v>
      </c>
      <c r="N14" s="8">
        <f>SQRT((C14-Sheet3!$C$525)^2+(D14-Sheet3!$D$525)^2+(E14-Sheet3!$E$525)^2+(F14-Sheet3!$F$525)^2+(G14-Sheet3!$G$525)^2+(H14-Sheet3!$H$525)^2+(I14-Sheet3!$I$525)^2+(J14-Sheet3!$J$525)^2+(K14-Sheet3!$K$525)^2+(L14-Sheet3!$L$525)^2)</f>
        <v>2.4691664746581554</v>
      </c>
      <c r="O14" s="8">
        <f>SQRT((C14-Sheet3!$C$526)^2+(D14-Sheet3!$D$526)^2+(E14-Sheet3!$E$526)^2+(F14-Sheet3!$F$526)^2+(G14-Sheet3!$G$526)^2+(H14-Sheet3!$H$526)^2+(I14-Sheet3!$I$526)^2+(J14-Sheet3!$J$526)^2+(K14-Sheet3!$K$526)^2+(L14-Sheet3!$L$526)^2)</f>
        <v>5.5860658529168452</v>
      </c>
      <c r="P14" s="12">
        <f t="shared" si="0"/>
        <v>0</v>
      </c>
      <c r="Q14" s="11">
        <f>IF(P14=Sheet1!M14, 1, 0)</f>
        <v>1</v>
      </c>
    </row>
    <row r="15" spans="1:17" x14ac:dyDescent="0.35">
      <c r="A15" s="6" t="s">
        <v>12</v>
      </c>
      <c r="B15" s="6" t="s">
        <v>26</v>
      </c>
      <c r="C15" s="6">
        <v>0.14317335659402475</v>
      </c>
      <c r="D15" s="6">
        <v>0.29055324195131327</v>
      </c>
      <c r="E15" s="6">
        <v>-0.72123341646801797</v>
      </c>
      <c r="F15" s="6">
        <v>-6.8832289452796611E-2</v>
      </c>
      <c r="G15" s="6">
        <v>-7.7841147044063561E-3</v>
      </c>
      <c r="H15" s="6">
        <v>0.55197975053473269</v>
      </c>
      <c r="I15" s="6">
        <v>-0.12855835411819702</v>
      </c>
      <c r="J15" s="6">
        <v>0.30766200268840554</v>
      </c>
      <c r="K15" s="6">
        <v>-0.47486225370740337</v>
      </c>
      <c r="L15" s="6">
        <v>-0.33226333294146831</v>
      </c>
      <c r="N15" s="8">
        <f>SQRT((C15-Sheet3!$C$525)^2+(D15-Sheet3!$D$525)^2+(E15-Sheet3!$E$525)^2+(F15-Sheet3!$F$525)^2+(G15-Sheet3!$G$525)^2+(H15-Sheet3!$H$525)^2+(I15-Sheet3!$I$525)^2+(J15-Sheet3!$J$525)^2+(K15-Sheet3!$K$525)^2+(L15-Sheet3!$L$525)^2)</f>
        <v>1.4632193515512968</v>
      </c>
      <c r="O15" s="8">
        <f>SQRT((C15-Sheet3!$C$526)^2+(D15-Sheet3!$D$526)^2+(E15-Sheet3!$E$526)^2+(F15-Sheet3!$F$526)^2+(G15-Sheet3!$G$526)^2+(H15-Sheet3!$H$526)^2+(I15-Sheet3!$I$526)^2+(J15-Sheet3!$J$526)^2+(K15-Sheet3!$K$526)^2+(L15-Sheet3!$L$526)^2)</f>
        <v>3.2052585966679441</v>
      </c>
      <c r="P15" s="12">
        <f t="shared" si="0"/>
        <v>0</v>
      </c>
      <c r="Q15" s="11">
        <f>IF(P15=Sheet1!M15, 1, 0)</f>
        <v>1</v>
      </c>
    </row>
    <row r="16" spans="1:17" x14ac:dyDescent="0.35">
      <c r="A16" s="6" t="s">
        <v>12</v>
      </c>
      <c r="B16" s="6" t="s">
        <v>27</v>
      </c>
      <c r="C16" s="6">
        <v>0.79942199775096245</v>
      </c>
      <c r="D16" s="6">
        <v>0.15552216929039525</v>
      </c>
      <c r="E16" s="6">
        <v>-0.74886281656405473</v>
      </c>
      <c r="F16" s="6">
        <v>-9.5023569074752456E-2</v>
      </c>
      <c r="G16" s="6">
        <v>-0.12102095314025532</v>
      </c>
      <c r="H16" s="6">
        <v>-0.12616096167261864</v>
      </c>
      <c r="I16" s="6">
        <v>0.31832623119201425</v>
      </c>
      <c r="J16" s="6">
        <v>-2.6379468881492351E-2</v>
      </c>
      <c r="K16" s="6">
        <v>-0.70020802035894059</v>
      </c>
      <c r="L16" s="6">
        <v>-0.31036742247885551</v>
      </c>
      <c r="N16" s="8">
        <f>SQRT((C16-Sheet3!$C$525)^2+(D16-Sheet3!$D$525)^2+(E16-Sheet3!$E$525)^2+(F16-Sheet3!$F$525)^2+(G16-Sheet3!$G$525)^2+(H16-Sheet3!$H$525)^2+(I16-Sheet3!$I$525)^2+(J16-Sheet3!$J$525)^2+(K16-Sheet3!$K$525)^2+(L16-Sheet3!$L$525)^2)</f>
        <v>1.4195588956036407</v>
      </c>
      <c r="O16" s="8">
        <f>SQRT((C16-Sheet3!$C$526)^2+(D16-Sheet3!$D$526)^2+(E16-Sheet3!$E$526)^2+(F16-Sheet3!$F$526)^2+(G16-Sheet3!$G$526)^2+(H16-Sheet3!$H$526)^2+(I16-Sheet3!$I$526)^2+(J16-Sheet3!$J$526)^2+(K16-Sheet3!$K$526)^2+(L16-Sheet3!$L$526)^2)</f>
        <v>3.6271558574216671</v>
      </c>
      <c r="P16" s="12">
        <f t="shared" si="0"/>
        <v>0</v>
      </c>
      <c r="Q16" s="11">
        <f>IF(P16=Sheet1!M16, 1, 0)</f>
        <v>1</v>
      </c>
    </row>
    <row r="17" spans="1:17" x14ac:dyDescent="0.35">
      <c r="A17" s="6" t="s">
        <v>12</v>
      </c>
      <c r="B17" s="6" t="s">
        <v>28</v>
      </c>
      <c r="C17" s="6">
        <v>0.12841111722239637</v>
      </c>
      <c r="D17" s="6">
        <v>0.16779772135047949</v>
      </c>
      <c r="E17" s="6">
        <v>-0.24269220680466111</v>
      </c>
      <c r="F17" s="6">
        <v>-1.33684031945378E-2</v>
      </c>
      <c r="G17" s="6">
        <v>-0.71624023209792131</v>
      </c>
      <c r="H17" s="6">
        <v>0.23687862532321483</v>
      </c>
      <c r="I17" s="6">
        <v>7.7990298721329954E-2</v>
      </c>
      <c r="J17" s="6">
        <v>-0.60336019250222517</v>
      </c>
      <c r="K17" s="6">
        <v>0.48911685919083081</v>
      </c>
      <c r="L17" s="6">
        <v>-0.41644259126728067</v>
      </c>
      <c r="N17" s="8">
        <f>SQRT((C17-Sheet3!$C$525)^2+(D17-Sheet3!$D$525)^2+(E17-Sheet3!$E$525)^2+(F17-Sheet3!$F$525)^2+(G17-Sheet3!$G$525)^2+(H17-Sheet3!$H$525)^2+(I17-Sheet3!$I$525)^2+(J17-Sheet3!$J$525)^2+(K17-Sheet3!$K$525)^2+(L17-Sheet3!$L$525)^2)</f>
        <v>1.0511303921321387</v>
      </c>
      <c r="O17" s="8">
        <f>SQRT((C17-Sheet3!$C$526)^2+(D17-Sheet3!$D$526)^2+(E17-Sheet3!$E$526)^2+(F17-Sheet3!$F$526)^2+(G17-Sheet3!$G$526)^2+(H17-Sheet3!$H$526)^2+(I17-Sheet3!$I$526)^2+(J17-Sheet3!$J$526)^2+(K17-Sheet3!$K$526)^2+(L17-Sheet3!$L$526)^2)</f>
        <v>3.7459905866685634</v>
      </c>
      <c r="P17" s="12">
        <f t="shared" si="0"/>
        <v>0</v>
      </c>
      <c r="Q17" s="11">
        <f>IF(P17=Sheet1!M17, 1, 0)</f>
        <v>1</v>
      </c>
    </row>
    <row r="18" spans="1:17" x14ac:dyDescent="0.35">
      <c r="A18" s="6" t="s">
        <v>12</v>
      </c>
      <c r="B18" s="6" t="s">
        <v>29</v>
      </c>
      <c r="C18" s="6">
        <v>0.9242300215292758</v>
      </c>
      <c r="D18" s="6">
        <v>0.95957082922585946</v>
      </c>
      <c r="E18" s="6">
        <v>0.29221297905461069</v>
      </c>
      <c r="F18" s="6">
        <v>0.51507917976609441</v>
      </c>
      <c r="G18" s="6">
        <v>-0.1152139357845678</v>
      </c>
      <c r="H18" s="6">
        <v>0.51104353597733876</v>
      </c>
      <c r="I18" s="6">
        <v>0.2915514058239273</v>
      </c>
      <c r="J18" s="6">
        <v>-1.4498516488668529</v>
      </c>
      <c r="K18" s="6">
        <v>1.2621780308981809</v>
      </c>
      <c r="L18" s="6">
        <v>-0.38070686550254335</v>
      </c>
      <c r="N18" s="8">
        <f>SQRT((C18-Sheet3!$C$525)^2+(D18-Sheet3!$D$525)^2+(E18-Sheet3!$E$525)^2+(F18-Sheet3!$F$525)^2+(G18-Sheet3!$G$525)^2+(H18-Sheet3!$H$525)^2+(I18-Sheet3!$I$525)^2+(J18-Sheet3!$J$525)^2+(K18-Sheet3!$K$525)^2+(L18-Sheet3!$L$525)^2)</f>
        <v>2.5859164509234978</v>
      </c>
      <c r="O18" s="8">
        <f>SQRT((C18-Sheet3!$C$526)^2+(D18-Sheet3!$D$526)^2+(E18-Sheet3!$E$526)^2+(F18-Sheet3!$F$526)^2+(G18-Sheet3!$G$526)^2+(H18-Sheet3!$H$526)^2+(I18-Sheet3!$I$526)^2+(J18-Sheet3!$J$526)^2+(K18-Sheet3!$K$526)^2+(L18-Sheet3!$L$526)^2)</f>
        <v>4.0665755190344566</v>
      </c>
      <c r="P18" s="12">
        <f t="shared" si="0"/>
        <v>0</v>
      </c>
      <c r="Q18" s="11">
        <f>IF(P18=Sheet1!M18, 1, 0)</f>
        <v>1</v>
      </c>
    </row>
    <row r="19" spans="1:17" x14ac:dyDescent="0.35">
      <c r="A19" s="6" t="s">
        <v>12</v>
      </c>
      <c r="B19" s="6" t="s">
        <v>30</v>
      </c>
      <c r="C19" s="6">
        <v>0.97656887021050398</v>
      </c>
      <c r="D19" s="6">
        <v>0.55447761124310657</v>
      </c>
      <c r="E19" s="6">
        <v>-1.2815598005635205E-2</v>
      </c>
      <c r="F19" s="6">
        <v>0.56592107550283144</v>
      </c>
      <c r="G19" s="6">
        <v>0.15190886257692218</v>
      </c>
      <c r="H19" s="6">
        <v>-0.15632448818859307</v>
      </c>
      <c r="I19" s="6">
        <v>0.53061234661041723</v>
      </c>
      <c r="J19" s="6">
        <v>-0.5654009343692824</v>
      </c>
      <c r="K19" s="6">
        <v>-1.8300666559312209</v>
      </c>
      <c r="L19" s="6">
        <v>-0.40387062298423521</v>
      </c>
      <c r="N19" s="8">
        <f>SQRT((C19-Sheet3!$C$525)^2+(D19-Sheet3!$D$525)^2+(E19-Sheet3!$E$525)^2+(F19-Sheet3!$F$525)^2+(G19-Sheet3!$G$525)^2+(H19-Sheet3!$H$525)^2+(I19-Sheet3!$I$525)^2+(J19-Sheet3!$J$525)^2+(K19-Sheet3!$K$525)^2+(L19-Sheet3!$L$525)^2)</f>
        <v>2.69442185494988</v>
      </c>
      <c r="O19" s="8">
        <f>SQRT((C19-Sheet3!$C$526)^2+(D19-Sheet3!$D$526)^2+(E19-Sheet3!$E$526)^2+(F19-Sheet3!$F$526)^2+(G19-Sheet3!$G$526)^2+(H19-Sheet3!$H$526)^2+(I19-Sheet3!$I$526)^2+(J19-Sheet3!$J$526)^2+(K19-Sheet3!$K$526)^2+(L19-Sheet3!$L$526)^2)</f>
        <v>3.4811728163389679</v>
      </c>
      <c r="P19" s="12">
        <f t="shared" si="0"/>
        <v>0</v>
      </c>
      <c r="Q19" s="11">
        <f>IF(P19=Sheet1!M19, 1, 0)</f>
        <v>1</v>
      </c>
    </row>
    <row r="20" spans="1:17" x14ac:dyDescent="0.35">
      <c r="A20" s="6" t="s">
        <v>12</v>
      </c>
      <c r="B20" s="6" t="s">
        <v>31</v>
      </c>
      <c r="C20" s="6">
        <v>-0.625805112491712</v>
      </c>
      <c r="D20" s="6">
        <v>2.6965614457276632</v>
      </c>
      <c r="E20" s="6">
        <v>2.418940002446881</v>
      </c>
      <c r="F20" s="6">
        <v>2.4316645826903738</v>
      </c>
      <c r="G20" s="6">
        <v>0.5409790254077842</v>
      </c>
      <c r="H20" s="6">
        <v>1.2215023123089479</v>
      </c>
      <c r="I20" s="6">
        <v>0.90737238928992603</v>
      </c>
      <c r="J20" s="6">
        <v>1.4730112273697538</v>
      </c>
      <c r="K20" s="6">
        <v>-1.0116233506621033</v>
      </c>
      <c r="L20" s="6">
        <v>-0.13602043540229192</v>
      </c>
      <c r="N20" s="8">
        <f>SQRT((C20-Sheet3!$C$525)^2+(D20-Sheet3!$D$525)^2+(E20-Sheet3!$E$525)^2+(F20-Sheet3!$F$525)^2+(G20-Sheet3!$G$525)^2+(H20-Sheet3!$H$525)^2+(I20-Sheet3!$I$525)^2+(J20-Sheet3!$J$525)^2+(K20-Sheet3!$K$525)^2+(L20-Sheet3!$L$525)^2)</f>
        <v>5.8522031515559343</v>
      </c>
      <c r="O20" s="8">
        <f>SQRT((C20-Sheet3!$C$526)^2+(D20-Sheet3!$D$526)^2+(E20-Sheet3!$E$526)^2+(F20-Sheet3!$F$526)^2+(G20-Sheet3!$G$526)^2+(H20-Sheet3!$H$526)^2+(I20-Sheet3!$I$526)^2+(J20-Sheet3!$J$526)^2+(K20-Sheet3!$K$526)^2+(L20-Sheet3!$L$526)^2)</f>
        <v>2.6041375663575819</v>
      </c>
      <c r="P20" s="12">
        <f t="shared" si="0"/>
        <v>1</v>
      </c>
      <c r="Q20" s="11">
        <f>IF(P20=Sheet1!M20, 1, 0)</f>
        <v>0</v>
      </c>
    </row>
    <row r="21" spans="1:17" x14ac:dyDescent="0.35">
      <c r="A21" s="6" t="s">
        <v>12</v>
      </c>
      <c r="B21" s="6" t="s">
        <v>32</v>
      </c>
      <c r="C21" s="6">
        <v>0.40889366528333698</v>
      </c>
      <c r="D21" s="6">
        <v>1.6838284007707809</v>
      </c>
      <c r="E21" s="6">
        <v>0.38799489938753817</v>
      </c>
      <c r="F21" s="6">
        <v>0.95262761580347066</v>
      </c>
      <c r="G21" s="6">
        <v>0.2622421923349274</v>
      </c>
      <c r="H21" s="6">
        <v>0.81052426352879814</v>
      </c>
      <c r="I21" s="6">
        <v>0.70401121566088543</v>
      </c>
      <c r="J21" s="6">
        <v>-0.56919686018257654</v>
      </c>
      <c r="K21" s="6">
        <v>-0.90051536849363778</v>
      </c>
      <c r="L21" s="6">
        <v>-0.43485045455239779</v>
      </c>
      <c r="N21" s="8">
        <f>SQRT((C21-Sheet3!$C$525)^2+(D21-Sheet3!$D$525)^2+(E21-Sheet3!$E$525)^2+(F21-Sheet3!$F$525)^2+(G21-Sheet3!$G$525)^2+(H21-Sheet3!$H$525)^2+(I21-Sheet3!$I$525)^2+(J21-Sheet3!$J$525)^2+(K21-Sheet3!$K$525)^2+(L21-Sheet3!$L$525)^2)</f>
        <v>3.1505751847871521</v>
      </c>
      <c r="O21" s="8">
        <f>SQRT((C21-Sheet3!$C$526)^2+(D21-Sheet3!$D$526)^2+(E21-Sheet3!$E$526)^2+(F21-Sheet3!$F$526)^2+(G21-Sheet3!$G$526)^2+(H21-Sheet3!$H$526)^2+(I21-Sheet3!$I$526)^2+(J21-Sheet3!$J$526)^2+(K21-Sheet3!$K$526)^2+(L21-Sheet3!$L$526)^2)</f>
        <v>2.6452694370462044</v>
      </c>
      <c r="P21" s="12">
        <f t="shared" si="0"/>
        <v>1</v>
      </c>
      <c r="Q21" s="11">
        <f>IF(P21=Sheet1!M21, 1, 0)</f>
        <v>0</v>
      </c>
    </row>
    <row r="22" spans="1:17" x14ac:dyDescent="0.35">
      <c r="A22" s="6" t="s">
        <v>12</v>
      </c>
      <c r="B22" s="6" t="s">
        <v>33</v>
      </c>
      <c r="C22" s="6">
        <v>-0.1762278225375726</v>
      </c>
      <c r="D22" s="6">
        <v>1.6470017445905305</v>
      </c>
      <c r="E22" s="6">
        <v>0.64181698826979594</v>
      </c>
      <c r="F22" s="6">
        <v>1.1575358622575935</v>
      </c>
      <c r="G22" s="6">
        <v>-6.5854288261248589E-2</v>
      </c>
      <c r="H22" s="6">
        <v>0.78682434983767557</v>
      </c>
      <c r="I22" s="6">
        <v>0.76521081650222644</v>
      </c>
      <c r="J22" s="6">
        <v>0.81631606166984105</v>
      </c>
      <c r="K22" s="6">
        <v>-0.37940328311196136</v>
      </c>
      <c r="L22" s="6">
        <v>-0.37589016680301823</v>
      </c>
      <c r="N22" s="8">
        <f>SQRT((C22-Sheet3!$C$525)^2+(D22-Sheet3!$D$525)^2+(E22-Sheet3!$E$525)^2+(F22-Sheet3!$F$525)^2+(G22-Sheet3!$G$525)^2+(H22-Sheet3!$H$525)^2+(I22-Sheet3!$I$525)^2+(J22-Sheet3!$J$525)^2+(K22-Sheet3!$K$525)^2+(L22-Sheet3!$L$525)^2)</f>
        <v>3.3384404393424791</v>
      </c>
      <c r="O22" s="8">
        <f>SQRT((C22-Sheet3!$C$526)^2+(D22-Sheet3!$D$526)^2+(E22-Sheet3!$E$526)^2+(F22-Sheet3!$F$526)^2+(G22-Sheet3!$G$526)^2+(H22-Sheet3!$H$526)^2+(I22-Sheet3!$I$526)^2+(J22-Sheet3!$J$526)^2+(K22-Sheet3!$K$526)^2+(L22-Sheet3!$L$526)^2)</f>
        <v>1.7798448809063157</v>
      </c>
      <c r="P22" s="12">
        <f t="shared" si="0"/>
        <v>1</v>
      </c>
      <c r="Q22" s="11">
        <f>IF(P22=Sheet1!M22, 1, 0)</f>
        <v>0</v>
      </c>
    </row>
    <row r="23" spans="1:17" x14ac:dyDescent="0.35">
      <c r="A23" s="6" t="s">
        <v>12</v>
      </c>
      <c r="B23" s="6" t="s">
        <v>34</v>
      </c>
      <c r="C23" s="6">
        <v>-0.14938738731643006</v>
      </c>
      <c r="D23" s="6">
        <v>1.6408639685604889</v>
      </c>
      <c r="E23" s="6">
        <v>0.39241560340290405</v>
      </c>
      <c r="F23" s="6">
        <v>1.1775644878508531</v>
      </c>
      <c r="G23" s="6">
        <v>0.5758211295418928</v>
      </c>
      <c r="H23" s="6">
        <v>0.8563081877048303</v>
      </c>
      <c r="I23" s="6">
        <v>0.59308693913595356</v>
      </c>
      <c r="J23" s="6">
        <v>2.3157067579210877</v>
      </c>
      <c r="K23" s="6">
        <v>-0.86921734534759187</v>
      </c>
      <c r="L23" s="6">
        <v>-0.3073902167062158</v>
      </c>
      <c r="N23" s="8">
        <f>SQRT((C23-Sheet3!$C$525)^2+(D23-Sheet3!$D$525)^2+(E23-Sheet3!$E$525)^2+(F23-Sheet3!$F$525)^2+(G23-Sheet3!$G$525)^2+(H23-Sheet3!$H$525)^2+(I23-Sheet3!$I$525)^2+(J23-Sheet3!$J$525)^2+(K23-Sheet3!$K$525)^2+(L23-Sheet3!$L$525)^2)</f>
        <v>4.2083022623397763</v>
      </c>
      <c r="O23" s="8">
        <f>SQRT((C23-Sheet3!$C$526)^2+(D23-Sheet3!$D$526)^2+(E23-Sheet3!$E$526)^2+(F23-Sheet3!$F$526)^2+(G23-Sheet3!$G$526)^2+(H23-Sheet3!$H$526)^2+(I23-Sheet3!$I$526)^2+(J23-Sheet3!$J$526)^2+(K23-Sheet3!$K$526)^2+(L23-Sheet3!$L$526)^2)</f>
        <v>1.9902318153748035</v>
      </c>
      <c r="P23" s="12">
        <f t="shared" si="0"/>
        <v>1</v>
      </c>
      <c r="Q23" s="11">
        <f>IF(P23=Sheet1!M23, 1, 0)</f>
        <v>0</v>
      </c>
    </row>
    <row r="24" spans="1:17" x14ac:dyDescent="0.35">
      <c r="A24" s="6" t="s">
        <v>12</v>
      </c>
      <c r="B24" s="6" t="s">
        <v>35</v>
      </c>
      <c r="C24" s="6">
        <v>0.72158473560964864</v>
      </c>
      <c r="D24" s="6">
        <v>-0.24957104869235763</v>
      </c>
      <c r="E24" s="6">
        <v>-1.0829943617254594</v>
      </c>
      <c r="F24" s="6">
        <v>-0.71745162597299217</v>
      </c>
      <c r="G24" s="6">
        <v>-1.6221349395847131</v>
      </c>
      <c r="H24" s="6">
        <v>-0.40355767873916848</v>
      </c>
      <c r="I24" s="6">
        <v>-1.5469866027847046</v>
      </c>
      <c r="J24" s="6">
        <v>0.45570310940688291</v>
      </c>
      <c r="K24" s="6">
        <v>-0.88956106039252147</v>
      </c>
      <c r="L24" s="6">
        <v>-0.42887193015612018</v>
      </c>
      <c r="N24" s="8">
        <f>SQRT((C24-Sheet3!$C$525)^2+(D24-Sheet3!$D$525)^2+(E24-Sheet3!$E$525)^2+(F24-Sheet3!$F$525)^2+(G24-Sheet3!$G$525)^2+(H24-Sheet3!$H$525)^2+(I24-Sheet3!$I$525)^2+(J24-Sheet3!$J$525)^2+(K24-Sheet3!$K$525)^2+(L24-Sheet3!$L$525)^2)</f>
        <v>2.518061093947602</v>
      </c>
      <c r="O24" s="8">
        <f>SQRT((C24-Sheet3!$C$526)^2+(D24-Sheet3!$D$526)^2+(E24-Sheet3!$E$526)^2+(F24-Sheet3!$F$526)^2+(G24-Sheet3!$G$526)^2+(H24-Sheet3!$H$526)^2+(I24-Sheet3!$I$526)^2+(J24-Sheet3!$J$526)^2+(K24-Sheet3!$K$526)^2+(L24-Sheet3!$L$526)^2)</f>
        <v>5.2619958873271688</v>
      </c>
      <c r="P24" s="12">
        <f t="shared" si="0"/>
        <v>0</v>
      </c>
      <c r="Q24" s="11">
        <f>IF(P24=Sheet1!M24, 1, 0)</f>
        <v>1</v>
      </c>
    </row>
    <row r="25" spans="1:17" x14ac:dyDescent="0.35">
      <c r="A25" s="6" t="s">
        <v>36</v>
      </c>
      <c r="B25" s="6" t="s">
        <v>37</v>
      </c>
      <c r="C25" s="6">
        <v>0.61019692944190684</v>
      </c>
      <c r="D25" s="6">
        <v>-1.7164995198723259</v>
      </c>
      <c r="E25" s="6">
        <v>-1.2266672422248506</v>
      </c>
      <c r="F25" s="6">
        <v>-1.1072394932879774</v>
      </c>
      <c r="G25" s="6">
        <v>3.5768515463229449E-2</v>
      </c>
      <c r="H25" s="6">
        <v>-3.0848797322484565</v>
      </c>
      <c r="I25" s="6">
        <v>-2.3808311642479811</v>
      </c>
      <c r="J25" s="6">
        <v>-0.73621759596752556</v>
      </c>
      <c r="K25" s="6">
        <v>1.928825923908974</v>
      </c>
      <c r="L25" s="6">
        <v>-0.40321581490400876</v>
      </c>
      <c r="N25" s="8">
        <f>SQRT((C25-Sheet3!$C$525)^2+(D25-Sheet3!$D$525)^2+(E25-Sheet3!$E$525)^2+(F25-Sheet3!$F$525)^2+(G25-Sheet3!$G$525)^2+(H25-Sheet3!$H$525)^2+(I25-Sheet3!$I$525)^2+(J25-Sheet3!$J$525)^2+(K25-Sheet3!$K$525)^2+(L25-Sheet3!$L$525)^2)</f>
        <v>4.4293704390330335</v>
      </c>
      <c r="O25" s="8">
        <f>SQRT((C25-Sheet3!$C$526)^2+(D25-Sheet3!$D$526)^2+(E25-Sheet3!$E$526)^2+(F25-Sheet3!$F$526)^2+(G25-Sheet3!$G$526)^2+(H25-Sheet3!$H$526)^2+(I25-Sheet3!$I$526)^2+(J25-Sheet3!$J$526)^2+(K25-Sheet3!$K$526)^2+(L25-Sheet3!$L$526)^2)</f>
        <v>7.5581540418424167</v>
      </c>
      <c r="P25" s="12">
        <f t="shared" si="0"/>
        <v>0</v>
      </c>
      <c r="Q25" s="11">
        <f>IF(P25=Sheet1!M25, 1, 0)</f>
        <v>1</v>
      </c>
    </row>
    <row r="26" spans="1:17" x14ac:dyDescent="0.35">
      <c r="A26" s="6" t="s">
        <v>36</v>
      </c>
      <c r="B26" s="6" t="s">
        <v>38</v>
      </c>
      <c r="C26" s="6">
        <v>-0.37350502141297115</v>
      </c>
      <c r="D26" s="6">
        <v>0.11869551311014578</v>
      </c>
      <c r="E26" s="6">
        <v>-0.20401104667020964</v>
      </c>
      <c r="F26" s="6">
        <v>-0.42164423259561112</v>
      </c>
      <c r="G26" s="6">
        <v>-2.0344331718383146</v>
      </c>
      <c r="H26" s="6">
        <v>-2.2338373769763242</v>
      </c>
      <c r="I26" s="6">
        <v>-0.72397947063708157</v>
      </c>
      <c r="J26" s="6">
        <v>0.4025601480207629</v>
      </c>
      <c r="K26" s="6">
        <v>5.094453514617913E-2</v>
      </c>
      <c r="L26" s="6">
        <v>-0.25864226462504314</v>
      </c>
      <c r="N26" s="8">
        <f>SQRT((C26-Sheet3!$C$525)^2+(D26-Sheet3!$D$525)^2+(E26-Sheet3!$E$525)^2+(F26-Sheet3!$F$525)^2+(G26-Sheet3!$G$525)^2+(H26-Sheet3!$H$525)^2+(I26-Sheet3!$I$525)^2+(J26-Sheet3!$J$525)^2+(K26-Sheet3!$K$525)^2+(L26-Sheet3!$L$525)^2)</f>
        <v>2.9333144426346123</v>
      </c>
      <c r="O26" s="8">
        <f>SQRT((C26-Sheet3!$C$526)^2+(D26-Sheet3!$D$526)^2+(E26-Sheet3!$E$526)^2+(F26-Sheet3!$F$526)^2+(G26-Sheet3!$G$526)^2+(H26-Sheet3!$H$526)^2+(I26-Sheet3!$I$526)^2+(J26-Sheet3!$J$526)^2+(K26-Sheet3!$K$526)^2+(L26-Sheet3!$L$526)^2)</f>
        <v>5.2113419251208351</v>
      </c>
      <c r="P26" s="12">
        <f t="shared" si="0"/>
        <v>0</v>
      </c>
      <c r="Q26" s="11">
        <f>IF(P26=Sheet1!M26, 1, 0)</f>
        <v>1</v>
      </c>
    </row>
    <row r="27" spans="1:17" x14ac:dyDescent="0.35">
      <c r="A27" s="6" t="s">
        <v>36</v>
      </c>
      <c r="B27" s="6" t="s">
        <v>39</v>
      </c>
      <c r="C27" s="6">
        <v>-0.4661045229259132</v>
      </c>
      <c r="D27" s="6">
        <v>0.52378873109289759</v>
      </c>
      <c r="E27" s="6">
        <v>0.36073389129278188</v>
      </c>
      <c r="F27" s="6">
        <v>6.212410865698046E-2</v>
      </c>
      <c r="G27" s="6">
        <v>-1.3608191585789065</v>
      </c>
      <c r="H27" s="6">
        <v>-1.6585758355645284</v>
      </c>
      <c r="I27" s="6">
        <v>-1.1313393137372605</v>
      </c>
      <c r="J27" s="6">
        <v>-0.40217612439762762</v>
      </c>
      <c r="K27" s="6">
        <v>0.7692341663479465</v>
      </c>
      <c r="L27" s="6">
        <v>-0.24922251878704715</v>
      </c>
      <c r="N27" s="8">
        <f>SQRT((C27-Sheet3!$C$525)^2+(D27-Sheet3!$D$525)^2+(E27-Sheet3!$E$525)^2+(F27-Sheet3!$F$525)^2+(G27-Sheet3!$G$525)^2+(H27-Sheet3!$H$525)^2+(I27-Sheet3!$I$525)^2+(J27-Sheet3!$J$525)^2+(K27-Sheet3!$K$525)^2+(L27-Sheet3!$L$525)^2)</f>
        <v>2.5306939994839435</v>
      </c>
      <c r="O27" s="8">
        <f>SQRT((C27-Sheet3!$C$526)^2+(D27-Sheet3!$D$526)^2+(E27-Sheet3!$E$526)^2+(F27-Sheet3!$F$526)^2+(G27-Sheet3!$G$526)^2+(H27-Sheet3!$H$526)^2+(I27-Sheet3!$I$526)^2+(J27-Sheet3!$J$526)^2+(K27-Sheet3!$K$526)^2+(L27-Sheet3!$L$526)^2)</f>
        <v>4.6677790124463341</v>
      </c>
      <c r="P27" s="12">
        <f t="shared" si="0"/>
        <v>0</v>
      </c>
      <c r="Q27" s="11">
        <f>IF(P27=Sheet1!M27, 1, 0)</f>
        <v>1</v>
      </c>
    </row>
    <row r="28" spans="1:17" x14ac:dyDescent="0.35">
      <c r="A28" s="6" t="s">
        <v>36</v>
      </c>
      <c r="B28" s="6" t="s">
        <v>40</v>
      </c>
      <c r="C28" s="6">
        <v>5.3257898603196893E-2</v>
      </c>
      <c r="D28" s="6">
        <v>0.2475888097410211</v>
      </c>
      <c r="E28" s="6">
        <v>-6.8811182200269716E-2</v>
      </c>
      <c r="F28" s="6">
        <v>-4.8803663859537154E-2</v>
      </c>
      <c r="G28" s="6">
        <v>-0.70172268870871068</v>
      </c>
      <c r="H28" s="6">
        <v>-1.0579984772553965</v>
      </c>
      <c r="I28" s="6">
        <v>-1.0408149041594428</v>
      </c>
      <c r="J28" s="6">
        <v>0.827703839109724</v>
      </c>
      <c r="K28" s="6">
        <v>0.87408254388720275</v>
      </c>
      <c r="L28" s="6">
        <v>-0.30955535849168592</v>
      </c>
      <c r="N28" s="8">
        <f>SQRT((C28-Sheet3!$C$525)^2+(D28-Sheet3!$D$525)^2+(E28-Sheet3!$E$525)^2+(F28-Sheet3!$F$525)^2+(G28-Sheet3!$G$525)^2+(H28-Sheet3!$H$525)^2+(I28-Sheet3!$I$525)^2+(J28-Sheet3!$J$525)^2+(K28-Sheet3!$K$525)^2+(L28-Sheet3!$L$525)^2)</f>
        <v>2.0008366147837355</v>
      </c>
      <c r="O28" s="8">
        <f>SQRT((C28-Sheet3!$C$526)^2+(D28-Sheet3!$D$526)^2+(E28-Sheet3!$E$526)^2+(F28-Sheet3!$F$526)^2+(G28-Sheet3!$G$526)^2+(H28-Sheet3!$H$526)^2+(I28-Sheet3!$I$526)^2+(J28-Sheet3!$J$526)^2+(K28-Sheet3!$K$526)^2+(L28-Sheet3!$L$526)^2)</f>
        <v>4.0921779755774992</v>
      </c>
      <c r="P28" s="12">
        <f t="shared" si="0"/>
        <v>0</v>
      </c>
      <c r="Q28" s="11">
        <f>IF(P28=Sheet1!M28, 1, 0)</f>
        <v>1</v>
      </c>
    </row>
    <row r="29" spans="1:17" x14ac:dyDescent="0.35">
      <c r="A29" s="6" t="s">
        <v>36</v>
      </c>
      <c r="B29" s="6" t="s">
        <v>41</v>
      </c>
      <c r="C29" s="6">
        <v>-0.34263852090865704</v>
      </c>
      <c r="D29" s="6">
        <v>0.95343305319581784</v>
      </c>
      <c r="E29" s="6">
        <v>0.51030104381266095</v>
      </c>
      <c r="F29" s="6">
        <v>0.59057169161761491</v>
      </c>
      <c r="G29" s="6">
        <v>-0.26038936967668164</v>
      </c>
      <c r="H29" s="6">
        <v>0.35483955937675787</v>
      </c>
      <c r="I29" s="6">
        <v>0.25011417608760289</v>
      </c>
      <c r="J29" s="6">
        <v>-1.3359738744680241</v>
      </c>
      <c r="K29" s="6">
        <v>2.0602776211223679</v>
      </c>
      <c r="L29" s="6">
        <v>-0.33235046516734568</v>
      </c>
      <c r="N29" s="8">
        <f>SQRT((C29-Sheet3!$C$525)^2+(D29-Sheet3!$D$525)^2+(E29-Sheet3!$E$525)^2+(F29-Sheet3!$F$525)^2+(G29-Sheet3!$G$525)^2+(H29-Sheet3!$H$525)^2+(I29-Sheet3!$I$525)^2+(J29-Sheet3!$J$525)^2+(K29-Sheet3!$K$525)^2+(L29-Sheet3!$L$525)^2)</f>
        <v>2.9642177918478279</v>
      </c>
      <c r="O29" s="8">
        <f>SQRT((C29-Sheet3!$C$526)^2+(D29-Sheet3!$D$526)^2+(E29-Sheet3!$E$526)^2+(F29-Sheet3!$F$526)^2+(G29-Sheet3!$G$526)^2+(H29-Sheet3!$H$526)^2+(I29-Sheet3!$I$526)^2+(J29-Sheet3!$J$526)^2+(K29-Sheet3!$K$526)^2+(L29-Sheet3!$L$526)^2)</f>
        <v>4.115762042087904</v>
      </c>
      <c r="P29" s="12">
        <f t="shared" si="0"/>
        <v>0</v>
      </c>
      <c r="Q29" s="11">
        <f>IF(P29=Sheet1!M29, 1, 0)</f>
        <v>1</v>
      </c>
    </row>
    <row r="30" spans="1:17" x14ac:dyDescent="0.35">
      <c r="A30" s="6" t="s">
        <v>36</v>
      </c>
      <c r="B30" s="6" t="s">
        <v>42</v>
      </c>
      <c r="C30" s="6">
        <v>-0.44060610946582773</v>
      </c>
      <c r="D30" s="6">
        <v>1.309424062938237</v>
      </c>
      <c r="E30" s="6">
        <v>0.69965453247083287</v>
      </c>
      <c r="F30" s="6">
        <v>0.84169984328695302</v>
      </c>
      <c r="G30" s="6">
        <v>0.18384745803318706</v>
      </c>
      <c r="H30" s="6">
        <v>0.66455434056756557</v>
      </c>
      <c r="I30" s="6">
        <v>0.63133668966179246</v>
      </c>
      <c r="J30" s="6">
        <v>-1.6054846072119191</v>
      </c>
      <c r="K30" s="6">
        <v>1.7081748607293439</v>
      </c>
      <c r="L30" s="6">
        <v>-0.3409016886790065</v>
      </c>
      <c r="N30" s="8">
        <f>SQRT((C30-Sheet3!$C$525)^2+(D30-Sheet3!$D$525)^2+(E30-Sheet3!$E$525)^2+(F30-Sheet3!$F$525)^2+(G30-Sheet3!$G$525)^2+(H30-Sheet3!$H$525)^2+(I30-Sheet3!$I$525)^2+(J30-Sheet3!$J$525)^2+(K30-Sheet3!$K$525)^2+(L30-Sheet3!$L$525)^2)</f>
        <v>3.382048268566809</v>
      </c>
      <c r="O30" s="8">
        <f>SQRT((C30-Sheet3!$C$526)^2+(D30-Sheet3!$D$526)^2+(E30-Sheet3!$E$526)^2+(F30-Sheet3!$F$526)^2+(G30-Sheet3!$G$526)^2+(H30-Sheet3!$H$526)^2+(I30-Sheet3!$I$526)^2+(J30-Sheet3!$J$526)^2+(K30-Sheet3!$K$526)^2+(L30-Sheet3!$L$526)^2)</f>
        <v>3.8571870539703652</v>
      </c>
      <c r="P30" s="12">
        <f t="shared" si="0"/>
        <v>0</v>
      </c>
      <c r="Q30" s="11">
        <f>IF(P30=Sheet1!M30, 1, 0)</f>
        <v>1</v>
      </c>
    </row>
    <row r="31" spans="1:17" x14ac:dyDescent="0.35">
      <c r="A31" s="6" t="s">
        <v>36</v>
      </c>
      <c r="B31" s="6" t="s">
        <v>43</v>
      </c>
      <c r="C31" s="6">
        <v>-0.47415665349225605</v>
      </c>
      <c r="D31" s="6">
        <v>0.49923762697273127</v>
      </c>
      <c r="E31" s="6">
        <v>0.32684182717497678</v>
      </c>
      <c r="F31" s="6">
        <v>0.33328088591958027</v>
      </c>
      <c r="G31" s="6">
        <v>8.5128162986548656E-2</v>
      </c>
      <c r="H31" s="6">
        <v>0.23149228130250543</v>
      </c>
      <c r="I31" s="6">
        <v>0.58671198071498076</v>
      </c>
      <c r="J31" s="6">
        <v>0.22794756060922539</v>
      </c>
      <c r="K31" s="6">
        <v>-1.1931518849091729</v>
      </c>
      <c r="L31" s="6">
        <v>4.5623906934026598E-2</v>
      </c>
      <c r="N31" s="8">
        <f>SQRT((C31-Sheet3!$C$525)^2+(D31-Sheet3!$D$525)^2+(E31-Sheet3!$E$525)^2+(F31-Sheet3!$F$525)^2+(G31-Sheet3!$G$525)^2+(H31-Sheet3!$H$525)^2+(I31-Sheet3!$I$525)^2+(J31-Sheet3!$J$525)^2+(K31-Sheet3!$K$525)^2+(L31-Sheet3!$L$525)^2)</f>
        <v>2.323026433385075</v>
      </c>
      <c r="O31" s="8">
        <f>SQRT((C31-Sheet3!$C$526)^2+(D31-Sheet3!$D$526)^2+(E31-Sheet3!$E$526)^2+(F31-Sheet3!$F$526)^2+(G31-Sheet3!$G$526)^2+(H31-Sheet3!$H$526)^2+(I31-Sheet3!$I$526)^2+(J31-Sheet3!$J$526)^2+(K31-Sheet3!$K$526)^2+(L31-Sheet3!$L$526)^2)</f>
        <v>2.1496268268744734</v>
      </c>
      <c r="P31" s="12">
        <f t="shared" si="0"/>
        <v>1</v>
      </c>
      <c r="Q31" s="11">
        <f>IF(P31=Sheet1!M31, 1, 0)</f>
        <v>0</v>
      </c>
    </row>
    <row r="32" spans="1:17" x14ac:dyDescent="0.35">
      <c r="A32" s="6" t="s">
        <v>36</v>
      </c>
      <c r="B32" s="6" t="s">
        <v>44</v>
      </c>
      <c r="C32" s="6">
        <v>-0.39229332606777106</v>
      </c>
      <c r="D32" s="6">
        <v>0.22303770562085479</v>
      </c>
      <c r="E32" s="6">
        <v>0.25979448294192758</v>
      </c>
      <c r="F32" s="6">
        <v>8.6774724771761666E-2</v>
      </c>
      <c r="G32" s="6">
        <v>-0.37362620811253061</v>
      </c>
      <c r="H32" s="6">
        <v>0.64031579247437176</v>
      </c>
      <c r="I32" s="6">
        <v>0.67851138197699279</v>
      </c>
      <c r="J32" s="6">
        <v>0.50505014497970868</v>
      </c>
      <c r="K32" s="6">
        <v>-1.0084935483474982</v>
      </c>
      <c r="L32" s="6">
        <v>0.11106764719439023</v>
      </c>
      <c r="N32" s="8">
        <f>SQRT((C32-Sheet3!$C$525)^2+(D32-Sheet3!$D$525)^2+(E32-Sheet3!$E$525)^2+(F32-Sheet3!$F$525)^2+(G32-Sheet3!$G$525)^2+(H32-Sheet3!$H$525)^2+(I32-Sheet3!$I$525)^2+(J32-Sheet3!$J$525)^2+(K32-Sheet3!$K$525)^2+(L32-Sheet3!$L$525)^2)</f>
        <v>2.2468380051711749</v>
      </c>
      <c r="O32" s="8">
        <f>SQRT((C32-Sheet3!$C$526)^2+(D32-Sheet3!$D$526)^2+(E32-Sheet3!$E$526)^2+(F32-Sheet3!$F$526)^2+(G32-Sheet3!$G$526)^2+(H32-Sheet3!$H$526)^2+(I32-Sheet3!$I$526)^2+(J32-Sheet3!$J$526)^2+(K32-Sheet3!$K$526)^2+(L32-Sheet3!$L$526)^2)</f>
        <v>2.4020408479108748</v>
      </c>
      <c r="P32" s="12">
        <f t="shared" si="0"/>
        <v>0</v>
      </c>
      <c r="Q32" s="11">
        <f>IF(P32=Sheet1!M32, 1, 0)</f>
        <v>1</v>
      </c>
    </row>
    <row r="33" spans="1:17" x14ac:dyDescent="0.35">
      <c r="A33" s="6" t="s">
        <v>36</v>
      </c>
      <c r="B33" s="6" t="s">
        <v>45</v>
      </c>
      <c r="C33" s="6">
        <v>-0.46476250116485612</v>
      </c>
      <c r="D33" s="6">
        <v>0.72019756405423241</v>
      </c>
      <c r="E33" s="6">
        <v>0.38725811538497718</v>
      </c>
      <c r="F33" s="6">
        <v>0.53510780535935609</v>
      </c>
      <c r="G33" s="6">
        <v>0.49742639524015247</v>
      </c>
      <c r="H33" s="6">
        <v>0.78359254342524964</v>
      </c>
      <c r="I33" s="6">
        <v>0.93095973544752575</v>
      </c>
      <c r="J33" s="6">
        <v>-0.33764538557162466</v>
      </c>
      <c r="K33" s="6">
        <v>0.48285725456162054</v>
      </c>
      <c r="L33" s="6">
        <v>0.13967700163327057</v>
      </c>
      <c r="N33" s="8">
        <f>SQRT((C33-Sheet3!$C$525)^2+(D33-Sheet3!$D$525)^2+(E33-Sheet3!$E$525)^2+(F33-Sheet3!$F$525)^2+(G33-Sheet3!$G$525)^2+(H33-Sheet3!$H$525)^2+(I33-Sheet3!$I$525)^2+(J33-Sheet3!$J$525)^2+(K33-Sheet3!$K$525)^2+(L33-Sheet3!$L$525)^2)</f>
        <v>2.4712535947026564</v>
      </c>
      <c r="O33" s="8">
        <f>SQRT((C33-Sheet3!$C$526)^2+(D33-Sheet3!$D$526)^2+(E33-Sheet3!$E$526)^2+(F33-Sheet3!$F$526)^2+(G33-Sheet3!$G$526)^2+(H33-Sheet3!$H$526)^2+(I33-Sheet3!$I$526)^2+(J33-Sheet3!$J$526)^2+(K33-Sheet3!$K$526)^2+(L33-Sheet3!$L$526)^2)</f>
        <v>2.2906755345254348</v>
      </c>
      <c r="P33" s="12">
        <f t="shared" si="0"/>
        <v>1</v>
      </c>
      <c r="Q33" s="11">
        <f>IF(P33=Sheet1!M33, 1, 0)</f>
        <v>0</v>
      </c>
    </row>
    <row r="34" spans="1:17" x14ac:dyDescent="0.35">
      <c r="A34" s="6" t="s">
        <v>36</v>
      </c>
      <c r="B34" s="6" t="s">
        <v>46</v>
      </c>
      <c r="C34" s="6">
        <v>-0.53186358921771271</v>
      </c>
      <c r="D34" s="6">
        <v>0.70792201199414928</v>
      </c>
      <c r="E34" s="6">
        <v>6.6020290268389709E-2</v>
      </c>
      <c r="F34" s="6">
        <v>0.29476429824023381</v>
      </c>
      <c r="G34" s="6">
        <v>-0.1355384965294659</v>
      </c>
      <c r="H34" s="6">
        <v>0.8159106075495075</v>
      </c>
      <c r="I34" s="6">
        <v>0.43116299524323815</v>
      </c>
      <c r="J34" s="6">
        <v>-1.3549535035344955</v>
      </c>
      <c r="K34" s="6">
        <v>2.5453969798860911</v>
      </c>
      <c r="L34" s="6">
        <v>-0.3201618995731787</v>
      </c>
      <c r="N34" s="8">
        <f>SQRT((C34-Sheet3!$C$525)^2+(D34-Sheet3!$D$525)^2+(E34-Sheet3!$E$525)^2+(F34-Sheet3!$F$525)^2+(G34-Sheet3!$G$525)^2+(H34-Sheet3!$H$525)^2+(I34-Sheet3!$I$525)^2+(J34-Sheet3!$J$525)^2+(K34-Sheet3!$K$525)^2+(L34-Sheet3!$L$525)^2)</f>
        <v>3.2315611964906421</v>
      </c>
      <c r="O34" s="8">
        <f>SQRT((C34-Sheet3!$C$526)^2+(D34-Sheet3!$D$526)^2+(E34-Sheet3!$E$526)^2+(F34-Sheet3!$F$526)^2+(G34-Sheet3!$G$526)^2+(H34-Sheet3!$H$526)^2+(I34-Sheet3!$I$526)^2+(J34-Sheet3!$J$526)^2+(K34-Sheet3!$K$526)^2+(L34-Sheet3!$L$526)^2)</f>
        <v>4.5436715253043278</v>
      </c>
      <c r="P34" s="12">
        <f t="shared" si="0"/>
        <v>0</v>
      </c>
      <c r="Q34" s="11">
        <f>IF(P34=Sheet1!M34, 1, 0)</f>
        <v>1</v>
      </c>
    </row>
    <row r="35" spans="1:17" x14ac:dyDescent="0.35">
      <c r="A35" s="6" t="s">
        <v>36</v>
      </c>
      <c r="B35" s="6" t="s">
        <v>47</v>
      </c>
      <c r="C35" s="6">
        <v>-0.46744654468697056</v>
      </c>
      <c r="D35" s="6">
        <v>0.95957082922585946</v>
      </c>
      <c r="E35" s="6">
        <v>0.76891222871156506</v>
      </c>
      <c r="F35" s="6">
        <v>0.75542268688521663</v>
      </c>
      <c r="G35" s="6">
        <v>0.55840007747483844</v>
      </c>
      <c r="H35" s="6">
        <v>0.38392581708858986</v>
      </c>
      <c r="I35" s="6">
        <v>0.40120069066466485</v>
      </c>
      <c r="J35" s="6">
        <v>-1.1803409161229579</v>
      </c>
      <c r="K35" s="6">
        <v>2.3623035444817186</v>
      </c>
      <c r="L35" s="6">
        <v>-0.15424168527990051</v>
      </c>
      <c r="N35" s="8">
        <f>SQRT((C35-Sheet3!$C$525)^2+(D35-Sheet3!$D$525)^2+(E35-Sheet3!$E$525)^2+(F35-Sheet3!$F$525)^2+(G35-Sheet3!$G$525)^2+(H35-Sheet3!$H$525)^2+(I35-Sheet3!$I$525)^2+(J35-Sheet3!$J$525)^2+(K35-Sheet3!$K$525)^2+(L35-Sheet3!$L$525)^2)</f>
        <v>3.4123503969945528</v>
      </c>
      <c r="O35" s="8">
        <f>SQRT((C35-Sheet3!$C$526)^2+(D35-Sheet3!$D$526)^2+(E35-Sheet3!$E$526)^2+(F35-Sheet3!$F$526)^2+(G35-Sheet3!$G$526)^2+(H35-Sheet3!$H$526)^2+(I35-Sheet3!$I$526)^2+(J35-Sheet3!$J$526)^2+(K35-Sheet3!$K$526)^2+(L35-Sheet3!$L$526)^2)</f>
        <v>3.9502535712432469</v>
      </c>
      <c r="P35" s="12">
        <f t="shared" si="0"/>
        <v>0</v>
      </c>
      <c r="Q35" s="11">
        <f>IF(P35=Sheet1!M35, 1, 0)</f>
        <v>1</v>
      </c>
    </row>
    <row r="36" spans="1:17" x14ac:dyDescent="0.35">
      <c r="A36" s="6" t="s">
        <v>36</v>
      </c>
      <c r="B36" s="6" t="s">
        <v>48</v>
      </c>
      <c r="C36" s="6">
        <v>-1.1089329464722797</v>
      </c>
      <c r="D36" s="6">
        <v>1.0209485895262764</v>
      </c>
      <c r="E36" s="6">
        <v>0.72433679655662575</v>
      </c>
      <c r="F36" s="6">
        <v>0.86326913238738712</v>
      </c>
      <c r="G36" s="6">
        <v>0.61356674235384112</v>
      </c>
      <c r="H36" s="6">
        <v>1.032441637182038</v>
      </c>
      <c r="I36" s="6">
        <v>0.83151038408034672</v>
      </c>
      <c r="J36" s="6">
        <v>1.5451338178223459</v>
      </c>
      <c r="K36" s="6">
        <v>-0.42009071320182273</v>
      </c>
      <c r="L36" s="6">
        <v>1.0491293672015534</v>
      </c>
      <c r="N36" s="8">
        <f>SQRT((C36-Sheet3!$C$525)^2+(D36-Sheet3!$D$525)^2+(E36-Sheet3!$E$525)^2+(F36-Sheet3!$F$525)^2+(G36-Sheet3!$G$525)^2+(H36-Sheet3!$H$525)^2+(I36-Sheet3!$I$525)^2+(J36-Sheet3!$J$525)^2+(K36-Sheet3!$K$525)^2+(L36-Sheet3!$L$525)^2)</f>
        <v>3.90719291399183</v>
      </c>
      <c r="O36" s="8">
        <f>SQRT((C36-Sheet3!$C$526)^2+(D36-Sheet3!$D$526)^2+(E36-Sheet3!$E$526)^2+(F36-Sheet3!$F$526)^2+(G36-Sheet3!$G$526)^2+(H36-Sheet3!$H$526)^2+(I36-Sheet3!$I$526)^2+(J36-Sheet3!$J$526)^2+(K36-Sheet3!$K$526)^2+(L36-Sheet3!$L$526)^2)</f>
        <v>1.040813626383347</v>
      </c>
      <c r="P36" s="12">
        <f t="shared" si="0"/>
        <v>1</v>
      </c>
      <c r="Q36" s="11">
        <f>IF(P36=Sheet1!M36, 1, 0)</f>
        <v>0</v>
      </c>
    </row>
    <row r="37" spans="1:17" x14ac:dyDescent="0.35">
      <c r="A37" s="6" t="s">
        <v>36</v>
      </c>
      <c r="B37" s="6" t="s">
        <v>49</v>
      </c>
      <c r="C37" s="6">
        <v>-0.28895765046637195</v>
      </c>
      <c r="D37" s="6">
        <v>0.13710884120027053</v>
      </c>
      <c r="E37" s="6">
        <v>0.30105438708534249</v>
      </c>
      <c r="F37" s="6">
        <v>0.21927178638871339</v>
      </c>
      <c r="G37" s="6">
        <v>-0.19941568744199564</v>
      </c>
      <c r="H37" s="6">
        <v>0.19163333554925394</v>
      </c>
      <c r="I37" s="6">
        <v>0.47005024161117381</v>
      </c>
      <c r="J37" s="6">
        <v>2.296756669133344E-2</v>
      </c>
      <c r="K37" s="6">
        <v>-5.3903842393077189E-2</v>
      </c>
      <c r="L37" s="6">
        <v>0.17307994488155118</v>
      </c>
      <c r="N37" s="8">
        <f>SQRT((C37-Sheet3!$C$525)^2+(D37-Sheet3!$D$525)^2+(E37-Sheet3!$E$525)^2+(F37-Sheet3!$F$525)^2+(G37-Sheet3!$G$525)^2+(H37-Sheet3!$H$525)^2+(I37-Sheet3!$I$525)^2+(J37-Sheet3!$J$525)^2+(K37-Sheet3!$K$525)^2+(L37-Sheet3!$L$525)^2)</f>
        <v>1.501129861773556</v>
      </c>
      <c r="O37" s="8">
        <f>SQRT((C37-Sheet3!$C$526)^2+(D37-Sheet3!$D$526)^2+(E37-Sheet3!$E$526)^2+(F37-Sheet3!$F$526)^2+(G37-Sheet3!$G$526)^2+(H37-Sheet3!$H$526)^2+(I37-Sheet3!$I$526)^2+(J37-Sheet3!$J$526)^2+(K37-Sheet3!$K$526)^2+(L37-Sheet3!$L$526)^2)</f>
        <v>2.5303732998376227</v>
      </c>
      <c r="P37" s="12">
        <f t="shared" si="0"/>
        <v>0</v>
      </c>
      <c r="Q37" s="11">
        <f>IF(P37=Sheet1!M37, 1, 0)</f>
        <v>1</v>
      </c>
    </row>
    <row r="38" spans="1:17" x14ac:dyDescent="0.35">
      <c r="A38" s="6" t="s">
        <v>36</v>
      </c>
      <c r="B38" s="6" t="s">
        <v>50</v>
      </c>
      <c r="C38" s="6">
        <v>0.62361714705247839</v>
      </c>
      <c r="D38" s="6">
        <v>-1.4587129266105743</v>
      </c>
      <c r="E38" s="6">
        <v>-1.209721210165948</v>
      </c>
      <c r="F38" s="6">
        <v>-1.1673253700677579</v>
      </c>
      <c r="G38" s="6">
        <v>-0.23135428289826052</v>
      </c>
      <c r="H38" s="6">
        <v>-3.450612491254645</v>
      </c>
      <c r="I38" s="6">
        <v>-1.2065638231047431</v>
      </c>
      <c r="J38" s="6">
        <v>-0.4363394567172762</v>
      </c>
      <c r="K38" s="6">
        <v>0.43591021984255107</v>
      </c>
      <c r="L38" s="6">
        <v>-0.36840949954862978</v>
      </c>
      <c r="N38" s="8">
        <f>SQRT((C38-Sheet3!$C$525)^2+(D38-Sheet3!$D$525)^2+(E38-Sheet3!$E$525)^2+(F38-Sheet3!$F$525)^2+(G38-Sheet3!$G$525)^2+(H38-Sheet3!$H$525)^2+(I38-Sheet3!$I$525)^2+(J38-Sheet3!$J$525)^2+(K38-Sheet3!$K$525)^2+(L38-Sheet3!$L$525)^2)</f>
        <v>3.7856762504508943</v>
      </c>
      <c r="O38" s="8">
        <f>SQRT((C38-Sheet3!$C$526)^2+(D38-Sheet3!$D$526)^2+(E38-Sheet3!$E$526)^2+(F38-Sheet3!$F$526)^2+(G38-Sheet3!$G$526)^2+(H38-Sheet3!$H$526)^2+(I38-Sheet3!$I$526)^2+(J38-Sheet3!$J$526)^2+(K38-Sheet3!$K$526)^2+(L38-Sheet3!$L$526)^2)</f>
        <v>6.8627392834823739</v>
      </c>
      <c r="P38" s="12">
        <f t="shared" si="0"/>
        <v>0</v>
      </c>
      <c r="Q38" s="11">
        <f>IF(P38=Sheet1!M38, 1, 0)</f>
        <v>1</v>
      </c>
    </row>
    <row r="39" spans="1:17" x14ac:dyDescent="0.35">
      <c r="A39" s="6" t="s">
        <v>36</v>
      </c>
      <c r="B39" s="6" t="s">
        <v>51</v>
      </c>
      <c r="C39" s="6">
        <v>-0.35203267323605703</v>
      </c>
      <c r="D39" s="6">
        <v>0.78157532435465038</v>
      </c>
      <c r="E39" s="6">
        <v>-0.85053900891747003</v>
      </c>
      <c r="F39" s="6">
        <v>-7.9616934003014755E-2</v>
      </c>
      <c r="G39" s="6">
        <v>-4.2626218838510872E-2</v>
      </c>
      <c r="H39" s="6">
        <v>0.77820619940454028</v>
      </c>
      <c r="I39" s="6">
        <v>0.43435047445372454</v>
      </c>
      <c r="J39" s="6">
        <v>-1.1841368419362523</v>
      </c>
      <c r="K39" s="6">
        <v>2.3012723993469275</v>
      </c>
      <c r="L39" s="6">
        <v>-0.37078083337365808</v>
      </c>
      <c r="N39" s="8">
        <f>SQRT((C39-Sheet3!$C$525)^2+(D39-Sheet3!$D$525)^2+(E39-Sheet3!$E$525)^2+(F39-Sheet3!$F$525)^2+(G39-Sheet3!$G$525)^2+(H39-Sheet3!$H$525)^2+(I39-Sheet3!$I$525)^2+(J39-Sheet3!$J$525)^2+(K39-Sheet3!$K$525)^2+(L39-Sheet3!$L$525)^2)</f>
        <v>2.9360155611774923</v>
      </c>
      <c r="O39" s="8">
        <f>SQRT((C39-Sheet3!$C$526)^2+(D39-Sheet3!$D$526)^2+(E39-Sheet3!$E$526)^2+(F39-Sheet3!$F$526)^2+(G39-Sheet3!$G$526)^2+(H39-Sheet3!$H$526)^2+(I39-Sheet3!$I$526)^2+(J39-Sheet3!$J$526)^2+(K39-Sheet3!$K$526)^2+(L39-Sheet3!$L$526)^2)</f>
        <v>4.699846503437592</v>
      </c>
      <c r="P39" s="12">
        <f t="shared" si="0"/>
        <v>0</v>
      </c>
      <c r="Q39" s="11">
        <f>IF(P39=Sheet1!M39, 1, 0)</f>
        <v>1</v>
      </c>
    </row>
    <row r="40" spans="1:17" x14ac:dyDescent="0.35">
      <c r="A40" s="6" t="s">
        <v>36</v>
      </c>
      <c r="B40" s="6" t="s">
        <v>52</v>
      </c>
      <c r="C40" s="6">
        <v>-0.39229332606777106</v>
      </c>
      <c r="D40" s="6">
        <v>0.43172209064227285</v>
      </c>
      <c r="E40" s="6">
        <v>-0.76286171261271329</v>
      </c>
      <c r="F40" s="6">
        <v>-0.30609446955757175</v>
      </c>
      <c r="G40" s="6">
        <v>-1.0733717994725225</v>
      </c>
      <c r="H40" s="6">
        <v>0.69687240469182354</v>
      </c>
      <c r="I40" s="6">
        <v>-0.92096568584514948</v>
      </c>
      <c r="J40" s="6">
        <v>-1.4043005391073213</v>
      </c>
      <c r="K40" s="6">
        <v>2.8536825078746499</v>
      </c>
      <c r="L40" s="6">
        <v>-0.44071092209586799</v>
      </c>
      <c r="N40" s="8">
        <f>SQRT((C40-Sheet3!$C$525)^2+(D40-Sheet3!$D$525)^2+(E40-Sheet3!$E$525)^2+(F40-Sheet3!$F$525)^2+(G40-Sheet3!$G$525)^2+(H40-Sheet3!$H$525)^2+(I40-Sheet3!$I$525)^2+(J40-Sheet3!$J$525)^2+(K40-Sheet3!$K$525)^2+(L40-Sheet3!$L$525)^2)</f>
        <v>3.3829143392070784</v>
      </c>
      <c r="O40" s="8">
        <f>SQRT((C40-Sheet3!$C$526)^2+(D40-Sheet3!$D$526)^2+(E40-Sheet3!$E$526)^2+(F40-Sheet3!$F$526)^2+(G40-Sheet3!$G$526)^2+(H40-Sheet3!$H$526)^2+(I40-Sheet3!$I$526)^2+(J40-Sheet3!$J$526)^2+(K40-Sheet3!$K$526)^2+(L40-Sheet3!$L$526)^2)</f>
        <v>5.751773802421277</v>
      </c>
      <c r="P40" s="12">
        <f t="shared" si="0"/>
        <v>0</v>
      </c>
      <c r="Q40" s="11">
        <f>IF(P40=Sheet1!M40, 1, 0)</f>
        <v>1</v>
      </c>
    </row>
    <row r="41" spans="1:17" x14ac:dyDescent="0.35">
      <c r="A41" s="6" t="s">
        <v>36</v>
      </c>
      <c r="B41" s="6" t="s">
        <v>53</v>
      </c>
      <c r="C41" s="6">
        <v>5.4599920364253991E-2</v>
      </c>
      <c r="D41" s="6">
        <v>0.61585537154352343</v>
      </c>
      <c r="E41" s="6">
        <v>-0.6707637122925908</v>
      </c>
      <c r="F41" s="6">
        <v>0.13915728401567337</v>
      </c>
      <c r="G41" s="6">
        <v>0.50904042995151932</v>
      </c>
      <c r="H41" s="6">
        <v>0.74804267288856585</v>
      </c>
      <c r="I41" s="6">
        <v>-1.2429010861042891</v>
      </c>
      <c r="J41" s="6">
        <v>-1.6548316427847449</v>
      </c>
      <c r="K41" s="6">
        <v>2.3341353236502758</v>
      </c>
      <c r="L41" s="6">
        <v>-0.39286764072250963</v>
      </c>
      <c r="N41" s="8">
        <f>SQRT((C41-Sheet3!$C$525)^2+(D41-Sheet3!$D$525)^2+(E41-Sheet3!$E$525)^2+(F41-Sheet3!$F$525)^2+(G41-Sheet3!$G$525)^2+(H41-Sheet3!$H$525)^2+(I41-Sheet3!$I$525)^2+(J41-Sheet3!$J$525)^2+(K41-Sheet3!$K$525)^2+(L41-Sheet3!$L$525)^2)</f>
        <v>3.2108604786118673</v>
      </c>
      <c r="O41" s="8">
        <f>SQRT((C41-Sheet3!$C$526)^2+(D41-Sheet3!$D$526)^2+(E41-Sheet3!$E$526)^2+(F41-Sheet3!$F$526)^2+(G41-Sheet3!$G$526)^2+(H41-Sheet3!$H$526)^2+(I41-Sheet3!$I$526)^2+(J41-Sheet3!$J$526)^2+(K41-Sheet3!$K$526)^2+(L41-Sheet3!$L$526)^2)</f>
        <v>5.2063316404927402</v>
      </c>
      <c r="P41" s="12">
        <f t="shared" si="0"/>
        <v>0</v>
      </c>
      <c r="Q41" s="11">
        <f>IF(P41=Sheet1!M41, 1, 0)</f>
        <v>1</v>
      </c>
    </row>
    <row r="42" spans="1:17" x14ac:dyDescent="0.35">
      <c r="A42" s="6" t="s">
        <v>36</v>
      </c>
      <c r="B42" s="6" t="s">
        <v>54</v>
      </c>
      <c r="C42" s="6">
        <v>-0.53320561097876984</v>
      </c>
      <c r="D42" s="6">
        <v>0.15552216929039525</v>
      </c>
      <c r="E42" s="6">
        <v>0.25500538692528119</v>
      </c>
      <c r="F42" s="6">
        <v>9.7559369321979811E-2</v>
      </c>
      <c r="G42" s="6">
        <v>-0.24296831760963145</v>
      </c>
      <c r="H42" s="6">
        <v>0.8611558973234692</v>
      </c>
      <c r="I42" s="6">
        <v>0.82896040071195709</v>
      </c>
      <c r="J42" s="6">
        <v>-0.4287476050906876</v>
      </c>
      <c r="K42" s="6">
        <v>-0.42478541667372988</v>
      </c>
      <c r="L42" s="6">
        <v>-4.3896974738430898E-2</v>
      </c>
      <c r="N42" s="8">
        <f>SQRT((C42-Sheet3!$C$525)^2+(D42-Sheet3!$D$525)^2+(E42-Sheet3!$E$525)^2+(F42-Sheet3!$F$525)^2+(G42-Sheet3!$G$525)^2+(H42-Sheet3!$H$525)^2+(I42-Sheet3!$I$525)^2+(J42-Sheet3!$J$525)^2+(K42-Sheet3!$K$525)^2+(L42-Sheet3!$L$525)^2)</f>
        <v>2.0133069500644321</v>
      </c>
      <c r="O42" s="8">
        <f>SQRT((C42-Sheet3!$C$526)^2+(D42-Sheet3!$D$526)^2+(E42-Sheet3!$E$526)^2+(F42-Sheet3!$F$526)^2+(G42-Sheet3!$G$526)^2+(H42-Sheet3!$H$526)^2+(I42-Sheet3!$I$526)^2+(J42-Sheet3!$J$526)^2+(K42-Sheet3!$K$526)^2+(L42-Sheet3!$L$526)^2)</f>
        <v>2.7605226658754991</v>
      </c>
      <c r="P42" s="12">
        <f t="shared" si="0"/>
        <v>0</v>
      </c>
      <c r="Q42" s="11">
        <f>IF(P42=Sheet1!M42, 1, 0)</f>
        <v>1</v>
      </c>
    </row>
    <row r="43" spans="1:17" x14ac:dyDescent="0.35">
      <c r="A43" s="6" t="s">
        <v>36</v>
      </c>
      <c r="B43" s="6" t="s">
        <v>55</v>
      </c>
      <c r="C43" s="6">
        <v>1.4339267532540168E-2</v>
      </c>
      <c r="D43" s="6">
        <v>-0.22501994457219024</v>
      </c>
      <c r="E43" s="6">
        <v>7.8914010313206856E-2</v>
      </c>
      <c r="F43" s="6">
        <v>-0.20749200509844473</v>
      </c>
      <c r="G43" s="6">
        <v>-0.73366128416497556</v>
      </c>
      <c r="H43" s="6">
        <v>0.58375918025692008</v>
      </c>
      <c r="I43" s="6">
        <v>0.80919802960694043</v>
      </c>
      <c r="J43" s="6">
        <v>0.59235643868547772</v>
      </c>
      <c r="K43" s="6">
        <v>8.3807459449527055E-2</v>
      </c>
      <c r="L43" s="6">
        <v>5.2696787013301813E-2</v>
      </c>
      <c r="N43" s="8">
        <f>SQRT((C43-Sheet3!$C$525)^2+(D43-Sheet3!$D$525)^2+(E43-Sheet3!$E$525)^2+(F43-Sheet3!$F$525)^2+(G43-Sheet3!$G$525)^2+(H43-Sheet3!$H$525)^2+(I43-Sheet3!$I$525)^2+(J43-Sheet3!$J$525)^2+(K43-Sheet3!$K$525)^2+(L43-Sheet3!$L$525)^2)</f>
        <v>1.7666293479692408</v>
      </c>
      <c r="O43" s="8">
        <f>SQRT((C43-Sheet3!$C$526)^2+(D43-Sheet3!$D$526)^2+(E43-Sheet3!$E$526)^2+(F43-Sheet3!$F$526)^2+(G43-Sheet3!$G$526)^2+(H43-Sheet3!$H$526)^2+(I43-Sheet3!$I$526)^2+(J43-Sheet3!$J$526)^2+(K43-Sheet3!$K$526)^2+(L43-Sheet3!$L$526)^2)</f>
        <v>3.1094280366725608</v>
      </c>
      <c r="P43" s="12">
        <f t="shared" si="0"/>
        <v>0</v>
      </c>
      <c r="Q43" s="11">
        <f>IF(P43=Sheet1!M43, 1, 0)</f>
        <v>1</v>
      </c>
    </row>
    <row r="44" spans="1:17" x14ac:dyDescent="0.35">
      <c r="A44" s="6" t="s">
        <v>36</v>
      </c>
      <c r="B44" s="6" t="s">
        <v>56</v>
      </c>
      <c r="C44" s="6">
        <v>-0.3157980856875145</v>
      </c>
      <c r="D44" s="6">
        <v>0.57902871536327394</v>
      </c>
      <c r="E44" s="6">
        <v>-9.938771830655041E-2</v>
      </c>
      <c r="F44" s="6">
        <v>2.8229511499155757E-2</v>
      </c>
      <c r="G44" s="6">
        <v>-0.70752970606439414</v>
      </c>
      <c r="H44" s="6">
        <v>-0.54037081686519439</v>
      </c>
      <c r="I44" s="6">
        <v>-0.48173105064010524</v>
      </c>
      <c r="J44" s="6">
        <v>-0.70964611527446553</v>
      </c>
      <c r="K44" s="6">
        <v>1.1510700487297145</v>
      </c>
      <c r="L44" s="6">
        <v>-0.27937555538021203</v>
      </c>
      <c r="N44" s="8">
        <f>SQRT((C44-Sheet3!$C$525)^2+(D44-Sheet3!$D$525)^2+(E44-Sheet3!$E$525)^2+(F44-Sheet3!$F$525)^2+(G44-Sheet3!$G$525)^2+(H44-Sheet3!$H$525)^2+(I44-Sheet3!$I$525)^2+(J44-Sheet3!$J$525)^2+(K44-Sheet3!$K$525)^2+(L44-Sheet3!$L$525)^2)</f>
        <v>1.6808324195793678</v>
      </c>
      <c r="O44" s="8">
        <f>SQRT((C44-Sheet3!$C$526)^2+(D44-Sheet3!$D$526)^2+(E44-Sheet3!$E$526)^2+(F44-Sheet3!$F$526)^2+(G44-Sheet3!$G$526)^2+(H44-Sheet3!$H$526)^2+(I44-Sheet3!$I$526)^2+(J44-Sheet3!$J$526)^2+(K44-Sheet3!$K$526)^2+(L44-Sheet3!$L$526)^2)</f>
        <v>4.0768846600368622</v>
      </c>
      <c r="P44" s="12">
        <f t="shared" si="0"/>
        <v>0</v>
      </c>
      <c r="Q44" s="11">
        <f>IF(P44=Sheet1!M44, 1, 0)</f>
        <v>1</v>
      </c>
    </row>
    <row r="45" spans="1:17" x14ac:dyDescent="0.35">
      <c r="A45" s="6" t="s">
        <v>36</v>
      </c>
      <c r="B45" s="6" t="s">
        <v>57</v>
      </c>
      <c r="C45" s="6">
        <v>-0.48086676229754183</v>
      </c>
      <c r="D45" s="6">
        <v>0.35806877828177169</v>
      </c>
      <c r="E45" s="6">
        <v>-0.51714424775862633</v>
      </c>
      <c r="F45" s="6">
        <v>-0.19824802405540123</v>
      </c>
      <c r="G45" s="6">
        <v>-0.73366128416497556</v>
      </c>
      <c r="H45" s="6">
        <v>-0.94703979042877695</v>
      </c>
      <c r="I45" s="6">
        <v>-0.46515615874557492</v>
      </c>
      <c r="J45" s="6">
        <v>-0.37560464370456742</v>
      </c>
      <c r="K45" s="6">
        <v>0.90225076471864574</v>
      </c>
      <c r="L45" s="6">
        <v>-0.28421283567266015</v>
      </c>
      <c r="N45" s="8">
        <f>SQRT((C45-Sheet3!$C$525)^2+(D45-Sheet3!$D$525)^2+(E45-Sheet3!$E$525)^2+(F45-Sheet3!$F$525)^2+(G45-Sheet3!$G$525)^2+(H45-Sheet3!$H$525)^2+(I45-Sheet3!$I$525)^2+(J45-Sheet3!$J$525)^2+(K45-Sheet3!$K$525)^2+(L45-Sheet3!$L$525)^2)</f>
        <v>1.5413704518387255</v>
      </c>
      <c r="O45" s="8">
        <f>SQRT((C45-Sheet3!$C$526)^2+(D45-Sheet3!$D$526)^2+(E45-Sheet3!$E$526)^2+(F45-Sheet3!$F$526)^2+(G45-Sheet3!$G$526)^2+(H45-Sheet3!$H$526)^2+(I45-Sheet3!$I$526)^2+(J45-Sheet3!$J$526)^2+(K45-Sheet3!$K$526)^2+(L45-Sheet3!$L$526)^2)</f>
        <v>4.2440310543068955</v>
      </c>
      <c r="P45" s="12">
        <f t="shared" si="0"/>
        <v>0</v>
      </c>
      <c r="Q45" s="11">
        <f>IF(P45=Sheet1!M45, 1, 0)</f>
        <v>1</v>
      </c>
    </row>
    <row r="46" spans="1:17" x14ac:dyDescent="0.35">
      <c r="A46" s="6" t="s">
        <v>36</v>
      </c>
      <c r="B46" s="6" t="s">
        <v>58</v>
      </c>
      <c r="C46" s="6">
        <v>-0.50233911047445601</v>
      </c>
      <c r="D46" s="6">
        <v>0.28441546592127165</v>
      </c>
      <c r="E46" s="6">
        <v>0.45577902762314837</v>
      </c>
      <c r="F46" s="6">
        <v>0.27165434563262508</v>
      </c>
      <c r="G46" s="6">
        <v>-0.24587182628747109</v>
      </c>
      <c r="H46" s="6">
        <v>0.41193480599628007</v>
      </c>
      <c r="I46" s="6">
        <v>-3.0383994435212329E-2</v>
      </c>
      <c r="J46" s="6">
        <v>-0.1326653916537327</v>
      </c>
      <c r="K46" s="6">
        <v>-0.48268675949391676</v>
      </c>
      <c r="L46" s="6">
        <v>-4.8971016482057997E-2</v>
      </c>
      <c r="N46" s="8">
        <f>SQRT((C46-Sheet3!$C$525)^2+(D46-Sheet3!$D$525)^2+(E46-Sheet3!$E$525)^2+(F46-Sheet3!$F$525)^2+(G46-Sheet3!$G$525)^2+(H46-Sheet3!$H$525)^2+(I46-Sheet3!$I$525)^2+(J46-Sheet3!$J$525)^2+(K46-Sheet3!$K$525)^2+(L46-Sheet3!$L$525)^2)</f>
        <v>1.7094282517362054</v>
      </c>
      <c r="O46" s="8">
        <f>SQRT((C46-Sheet3!$C$526)^2+(D46-Sheet3!$D$526)^2+(E46-Sheet3!$E$526)^2+(F46-Sheet3!$F$526)^2+(G46-Sheet3!$G$526)^2+(H46-Sheet3!$H$526)^2+(I46-Sheet3!$I$526)^2+(J46-Sheet3!$J$526)^2+(K46-Sheet3!$K$526)^2+(L46-Sheet3!$L$526)^2)</f>
        <v>2.5414925754584736</v>
      </c>
      <c r="P46" s="12">
        <f t="shared" si="0"/>
        <v>0</v>
      </c>
      <c r="Q46" s="11">
        <f>IF(P46=Sheet1!M46, 1, 0)</f>
        <v>1</v>
      </c>
    </row>
    <row r="47" spans="1:17" x14ac:dyDescent="0.35">
      <c r="A47" s="6" t="s">
        <v>36</v>
      </c>
      <c r="B47" s="6" t="s">
        <v>59</v>
      </c>
      <c r="C47" s="6">
        <v>-0.30237786807694322</v>
      </c>
      <c r="D47" s="6">
        <v>-1.6335559550772212E-2</v>
      </c>
      <c r="E47" s="6">
        <v>0.55819200397912461</v>
      </c>
      <c r="F47" s="6">
        <v>0.2993862887617556</v>
      </c>
      <c r="G47" s="6">
        <v>-2.8108675449300315E-2</v>
      </c>
      <c r="H47" s="6">
        <v>0.1372312609400857</v>
      </c>
      <c r="I47" s="6">
        <v>0.10285263656312495</v>
      </c>
      <c r="J47" s="6">
        <v>0.25831496711557977</v>
      </c>
      <c r="K47" s="6">
        <v>-0.58440533471856682</v>
      </c>
      <c r="L47" s="6">
        <v>-8.3471846671411373E-2</v>
      </c>
      <c r="N47" s="8">
        <f>SQRT((C47-Sheet3!$C$525)^2+(D47-Sheet3!$D$525)^2+(E47-Sheet3!$E$525)^2+(F47-Sheet3!$F$525)^2+(G47-Sheet3!$G$525)^2+(H47-Sheet3!$H$525)^2+(I47-Sheet3!$I$525)^2+(J47-Sheet3!$J$525)^2+(K47-Sheet3!$K$525)^2+(L47-Sheet3!$L$525)^2)</f>
        <v>1.7056684422539419</v>
      </c>
      <c r="O47" s="8">
        <f>SQRT((C47-Sheet3!$C$526)^2+(D47-Sheet3!$D$526)^2+(E47-Sheet3!$E$526)^2+(F47-Sheet3!$F$526)^2+(G47-Sheet3!$G$526)^2+(H47-Sheet3!$H$526)^2+(I47-Sheet3!$I$526)^2+(J47-Sheet3!$J$526)^2+(K47-Sheet3!$K$526)^2+(L47-Sheet3!$L$526)^2)</f>
        <v>2.4101083911757586</v>
      </c>
      <c r="P47" s="12">
        <f t="shared" si="0"/>
        <v>0</v>
      </c>
      <c r="Q47" s="11">
        <f>IF(P47=Sheet1!M47, 1, 0)</f>
        <v>1</v>
      </c>
    </row>
    <row r="48" spans="1:17" x14ac:dyDescent="0.35">
      <c r="A48" s="6" t="s">
        <v>36</v>
      </c>
      <c r="B48" s="6" t="s">
        <v>60</v>
      </c>
      <c r="C48" s="6">
        <v>1.7965441662164117</v>
      </c>
      <c r="D48" s="6">
        <v>-1.0229308284776129</v>
      </c>
      <c r="E48" s="6">
        <v>-1.5361165233004623</v>
      </c>
      <c r="F48" s="6">
        <v>-1.0949141852305868</v>
      </c>
      <c r="G48" s="6">
        <v>-3.1012184127144078E-2</v>
      </c>
      <c r="H48" s="6">
        <v>-1.675812136430799</v>
      </c>
      <c r="I48" s="6">
        <v>-1.7191104801509769</v>
      </c>
      <c r="J48" s="6">
        <v>-0.78176870572705714</v>
      </c>
      <c r="K48" s="6">
        <v>0.75202025361762093</v>
      </c>
      <c r="L48" s="6">
        <v>-0.40843244425180542</v>
      </c>
      <c r="N48" s="8">
        <f>SQRT((C48-Sheet3!$C$525)^2+(D48-Sheet3!$D$525)^2+(E48-Sheet3!$E$525)^2+(F48-Sheet3!$F$525)^2+(G48-Sheet3!$G$525)^2+(H48-Sheet3!$H$525)^2+(I48-Sheet3!$I$525)^2+(J48-Sheet3!$J$525)^2+(K48-Sheet3!$K$525)^2+(L48-Sheet3!$L$525)^2)</f>
        <v>3.1460108125820208</v>
      </c>
      <c r="O48" s="8">
        <f>SQRT((C48-Sheet3!$C$526)^2+(D48-Sheet3!$D$526)^2+(E48-Sheet3!$E$526)^2+(F48-Sheet3!$F$526)^2+(G48-Sheet3!$G$526)^2+(H48-Sheet3!$H$526)^2+(I48-Sheet3!$I$526)^2+(J48-Sheet3!$J$526)^2+(K48-Sheet3!$K$526)^2+(L48-Sheet3!$L$526)^2)</f>
        <v>6.5645504971339479</v>
      </c>
      <c r="P48" s="12">
        <f t="shared" si="0"/>
        <v>0</v>
      </c>
      <c r="Q48" s="11">
        <f>IF(P48=Sheet1!M48, 1, 0)</f>
        <v>0</v>
      </c>
    </row>
    <row r="49" spans="1:17" x14ac:dyDescent="0.35">
      <c r="A49" s="6" t="s">
        <v>36</v>
      </c>
      <c r="B49" s="6" t="s">
        <v>61</v>
      </c>
      <c r="C49" s="6">
        <v>1.898537820056754</v>
      </c>
      <c r="D49" s="6">
        <v>-1.072033036717946</v>
      </c>
      <c r="E49" s="6">
        <v>-1.6212150755962556</v>
      </c>
      <c r="F49" s="6">
        <v>-1.2227892563260168</v>
      </c>
      <c r="G49" s="6">
        <v>-0.16747709198573077</v>
      </c>
      <c r="H49" s="6">
        <v>-2.1104900989020718</v>
      </c>
      <c r="I49" s="6">
        <v>-0.86805353095107307</v>
      </c>
      <c r="J49" s="6">
        <v>-1.6396479395315677</v>
      </c>
      <c r="K49" s="6">
        <v>1.9742080574707404</v>
      </c>
      <c r="L49" s="6">
        <v>-0.43207582598116834</v>
      </c>
      <c r="N49" s="8">
        <f>SQRT((C49-Sheet3!$C$525)^2+(D49-Sheet3!$D$525)^2+(E49-Sheet3!$E$525)^2+(F49-Sheet3!$F$525)^2+(G49-Sheet3!$G$525)^2+(H49-Sheet3!$H$525)^2+(I49-Sheet3!$I$525)^2+(J49-Sheet3!$J$525)^2+(K49-Sheet3!$K$525)^2+(L49-Sheet3!$L$525)^2)</f>
        <v>3.8341668288537187</v>
      </c>
      <c r="O49" s="8">
        <f>SQRT((C49-Sheet3!$C$526)^2+(D49-Sheet3!$D$526)^2+(E49-Sheet3!$E$526)^2+(F49-Sheet3!$F$526)^2+(G49-Sheet3!$G$526)^2+(H49-Sheet3!$H$526)^2+(I49-Sheet3!$I$526)^2+(J49-Sheet3!$J$526)^2+(K49-Sheet3!$K$526)^2+(L49-Sheet3!$L$526)^2)</f>
        <v>7.2682547059952363</v>
      </c>
      <c r="P49" s="12">
        <f t="shared" si="0"/>
        <v>0</v>
      </c>
      <c r="Q49" s="11">
        <f>IF(P49=Sheet1!M49, 1, 0)</f>
        <v>0</v>
      </c>
    </row>
    <row r="50" spans="1:17" x14ac:dyDescent="0.35">
      <c r="A50" s="6" t="s">
        <v>36</v>
      </c>
      <c r="B50" s="6" t="s">
        <v>62</v>
      </c>
      <c r="C50" s="6">
        <v>7.6291587272544108E-3</v>
      </c>
      <c r="D50" s="6">
        <v>1.2112196464575697</v>
      </c>
      <c r="E50" s="6">
        <v>0.44767440359497757</v>
      </c>
      <c r="F50" s="6">
        <v>0.61830363474674321</v>
      </c>
      <c r="G50" s="6">
        <v>-0.11811744446241156</v>
      </c>
      <c r="H50" s="6">
        <v>-2.4169730736804538</v>
      </c>
      <c r="I50" s="6">
        <v>0.46303778734810347</v>
      </c>
      <c r="J50" s="6">
        <v>1.3895008594772797</v>
      </c>
      <c r="K50" s="6">
        <v>0.27003069716850386</v>
      </c>
      <c r="L50" s="6">
        <v>-0.38380749814766685</v>
      </c>
      <c r="N50" s="8">
        <f>SQRT((C50-Sheet3!$C$525)^2+(D50-Sheet3!$D$525)^2+(E50-Sheet3!$E$525)^2+(F50-Sheet3!$F$525)^2+(G50-Sheet3!$G$525)^2+(H50-Sheet3!$H$525)^2+(I50-Sheet3!$I$525)^2+(J50-Sheet3!$J$525)^2+(K50-Sheet3!$K$525)^2+(L50-Sheet3!$L$525)^2)</f>
        <v>3.5335943757111932</v>
      </c>
      <c r="O50" s="8">
        <f>SQRT((C50-Sheet3!$C$526)^2+(D50-Sheet3!$D$526)^2+(E50-Sheet3!$E$526)^2+(F50-Sheet3!$F$526)^2+(G50-Sheet3!$G$526)^2+(H50-Sheet3!$H$526)^2+(I50-Sheet3!$I$526)^2+(J50-Sheet3!$J$526)^2+(K50-Sheet3!$K$526)^2+(L50-Sheet3!$L$526)^2)</f>
        <v>3.7854686471882815</v>
      </c>
      <c r="P50" s="12">
        <f t="shared" si="0"/>
        <v>0</v>
      </c>
      <c r="Q50" s="11">
        <f>IF(P50=Sheet1!M50, 1, 0)</f>
        <v>1</v>
      </c>
    </row>
    <row r="51" spans="1:17" x14ac:dyDescent="0.35">
      <c r="A51" s="6" t="s">
        <v>36</v>
      </c>
      <c r="B51" s="6" t="s">
        <v>63</v>
      </c>
      <c r="C51" s="6">
        <v>0.1512254871603676</v>
      </c>
      <c r="D51" s="6">
        <v>0.62199314757356505</v>
      </c>
      <c r="E51" s="6">
        <v>0.33163092319162318</v>
      </c>
      <c r="F51" s="6">
        <v>-0.15202811884018591</v>
      </c>
      <c r="G51" s="6">
        <v>-1.8050559862887752</v>
      </c>
      <c r="H51" s="6">
        <v>0.63923852367022937</v>
      </c>
      <c r="I51" s="6">
        <v>0.13153994945750391</v>
      </c>
      <c r="J51" s="6">
        <v>0.58096866124559465</v>
      </c>
      <c r="K51" s="6">
        <v>-0.45295363750517287</v>
      </c>
      <c r="L51" s="6">
        <v>-0.33568409816037281</v>
      </c>
      <c r="N51" s="8">
        <f>SQRT((C51-Sheet3!$C$525)^2+(D51-Sheet3!$D$525)^2+(E51-Sheet3!$E$525)^2+(F51-Sheet3!$F$525)^2+(G51-Sheet3!$G$525)^2+(H51-Sheet3!$H$525)^2+(I51-Sheet3!$I$525)^2+(J51-Sheet3!$J$525)^2+(K51-Sheet3!$K$525)^2+(L51-Sheet3!$L$525)^2)</f>
        <v>2.4335973962209332</v>
      </c>
      <c r="O51" s="8">
        <f>SQRT((C51-Sheet3!$C$526)^2+(D51-Sheet3!$D$526)^2+(E51-Sheet3!$E$526)^2+(F51-Sheet3!$F$526)^2+(G51-Sheet3!$G$526)^2+(H51-Sheet3!$H$526)^2+(I51-Sheet3!$I$526)^2+(J51-Sheet3!$J$526)^2+(K51-Sheet3!$K$526)^2+(L51-Sheet3!$L$526)^2)</f>
        <v>3.5836789104086555</v>
      </c>
      <c r="P51" s="12">
        <f t="shared" si="0"/>
        <v>0</v>
      </c>
      <c r="Q51" s="11">
        <f>IF(P51=Sheet1!M51, 1, 0)</f>
        <v>1</v>
      </c>
    </row>
    <row r="52" spans="1:17" x14ac:dyDescent="0.35">
      <c r="A52" s="6" t="s">
        <v>36</v>
      </c>
      <c r="B52" s="6" t="s">
        <v>64</v>
      </c>
      <c r="C52" s="6">
        <v>-0.50368113223551303</v>
      </c>
      <c r="D52" s="6">
        <v>1.7513439371012394</v>
      </c>
      <c r="E52" s="6">
        <v>0.77775363674229681</v>
      </c>
      <c r="F52" s="6">
        <v>1.4240706489986716</v>
      </c>
      <c r="G52" s="6">
        <v>1.1942684779222965</v>
      </c>
      <c r="H52" s="6">
        <v>0.60799772835011312</v>
      </c>
      <c r="I52" s="6">
        <v>0.93350971881591538</v>
      </c>
      <c r="J52" s="6">
        <v>2.2549719449083789</v>
      </c>
      <c r="K52" s="6">
        <v>-0.10398067942675288</v>
      </c>
      <c r="L52" s="6">
        <v>-0.25944047521514879</v>
      </c>
      <c r="N52" s="8">
        <f>SQRT((C52-Sheet3!$C$525)^2+(D52-Sheet3!$D$525)^2+(E52-Sheet3!$E$525)^2+(F52-Sheet3!$F$525)^2+(G52-Sheet3!$G$525)^2+(H52-Sheet3!$H$525)^2+(I52-Sheet3!$I$525)^2+(J52-Sheet3!$J$525)^2+(K52-Sheet3!$K$525)^2+(L52-Sheet3!$L$525)^2)</f>
        <v>4.5156096553766396</v>
      </c>
      <c r="O52" s="8">
        <f>SQRT((C52-Sheet3!$C$526)^2+(D52-Sheet3!$D$526)^2+(E52-Sheet3!$E$526)^2+(F52-Sheet3!$F$526)^2+(G52-Sheet3!$G$526)^2+(H52-Sheet3!$H$526)^2+(I52-Sheet3!$I$526)^2+(J52-Sheet3!$J$526)^2+(K52-Sheet3!$K$526)^2+(L52-Sheet3!$L$526)^2)</f>
        <v>1.8076071899704758</v>
      </c>
      <c r="P52" s="12">
        <f t="shared" si="0"/>
        <v>1</v>
      </c>
      <c r="Q52" s="11">
        <f>IF(P52=Sheet1!M52, 1, 0)</f>
        <v>0</v>
      </c>
    </row>
    <row r="53" spans="1:17" x14ac:dyDescent="0.35">
      <c r="A53" s="6" t="s">
        <v>36</v>
      </c>
      <c r="B53" s="6" t="s">
        <v>65</v>
      </c>
      <c r="C53" s="6">
        <v>-0.26480125876734334</v>
      </c>
      <c r="D53" s="6">
        <v>1.2296329745476944</v>
      </c>
      <c r="E53" s="6">
        <v>0.96305481338638343</v>
      </c>
      <c r="F53" s="6">
        <v>0.84632183380847481</v>
      </c>
      <c r="G53" s="6">
        <v>0.37547903077077632</v>
      </c>
      <c r="H53" s="6">
        <v>1.0060485514805599</v>
      </c>
      <c r="I53" s="6">
        <v>0.90609739760573083</v>
      </c>
      <c r="J53" s="6">
        <v>1.256643456011979</v>
      </c>
      <c r="K53" s="6">
        <v>-0.35592976575242774</v>
      </c>
      <c r="L53" s="6">
        <v>-0.37484201000525202</v>
      </c>
      <c r="N53" s="8">
        <f>SQRT((C53-Sheet3!$C$525)^2+(D53-Sheet3!$D$525)^2+(E53-Sheet3!$E$525)^2+(F53-Sheet3!$F$525)^2+(G53-Sheet3!$G$525)^2+(H53-Sheet3!$H$525)^2+(I53-Sheet3!$I$525)^2+(J53-Sheet3!$J$525)^2+(K53-Sheet3!$K$525)^2+(L53-Sheet3!$L$525)^2)</f>
        <v>3.459888416840621</v>
      </c>
      <c r="O53" s="8">
        <f>SQRT((C53-Sheet3!$C$526)^2+(D53-Sheet3!$D$526)^2+(E53-Sheet3!$E$526)^2+(F53-Sheet3!$F$526)^2+(G53-Sheet3!$G$526)^2+(H53-Sheet3!$H$526)^2+(I53-Sheet3!$I$526)^2+(J53-Sheet3!$J$526)^2+(K53-Sheet3!$K$526)^2+(L53-Sheet3!$L$526)^2)</f>
        <v>1.4535761588786258</v>
      </c>
      <c r="P53" s="12">
        <f t="shared" si="0"/>
        <v>1</v>
      </c>
      <c r="Q53" s="11">
        <f>IF(P53=Sheet1!M53, 1, 0)</f>
        <v>0</v>
      </c>
    </row>
    <row r="54" spans="1:17" x14ac:dyDescent="0.35">
      <c r="A54" s="6" t="s">
        <v>36</v>
      </c>
      <c r="B54" s="6" t="s">
        <v>66</v>
      </c>
      <c r="C54" s="6">
        <v>-0.52783752393454142</v>
      </c>
      <c r="D54" s="6">
        <v>1.8679616816720328</v>
      </c>
      <c r="E54" s="6">
        <v>1.7219423360241932</v>
      </c>
      <c r="F54" s="6">
        <v>1.7383660044621374</v>
      </c>
      <c r="G54" s="6">
        <v>1.0374790093188158</v>
      </c>
      <c r="H54" s="6">
        <v>0.83530144602406242</v>
      </c>
      <c r="I54" s="6">
        <v>0.87103512629037916</v>
      </c>
      <c r="J54" s="6">
        <v>2.1828493544557874</v>
      </c>
      <c r="K54" s="6">
        <v>-1.1430750478754994</v>
      </c>
      <c r="L54" s="6">
        <v>2.8359786330232621</v>
      </c>
      <c r="N54" s="8">
        <f>SQRT((C54-Sheet3!$C$525)^2+(D54-Sheet3!$D$525)^2+(E54-Sheet3!$E$525)^2+(F54-Sheet3!$F$525)^2+(G54-Sheet3!$G$525)^2+(H54-Sheet3!$H$525)^2+(I54-Sheet3!$I$525)^2+(J54-Sheet3!$J$525)^2+(K54-Sheet3!$K$525)^2+(L54-Sheet3!$L$525)^2)</f>
        <v>5.974793688824235</v>
      </c>
      <c r="O54" s="8">
        <f>SQRT((C54-Sheet3!$C$526)^2+(D54-Sheet3!$D$526)^2+(E54-Sheet3!$E$526)^2+(F54-Sheet3!$F$526)^2+(G54-Sheet3!$G$526)^2+(H54-Sheet3!$H$526)^2+(I54-Sheet3!$I$526)^2+(J54-Sheet3!$J$526)^2+(K54-Sheet3!$K$526)^2+(L54-Sheet3!$L$526)^2)</f>
        <v>2.6376536686744587</v>
      </c>
      <c r="P54" s="12">
        <f t="shared" si="0"/>
        <v>1</v>
      </c>
      <c r="Q54" s="11">
        <f>IF(P54=Sheet1!M54, 1, 0)</f>
        <v>0</v>
      </c>
    </row>
    <row r="55" spans="1:17" x14ac:dyDescent="0.35">
      <c r="A55" s="6" t="s">
        <v>36</v>
      </c>
      <c r="B55" s="6" t="s">
        <v>67</v>
      </c>
      <c r="C55" s="6">
        <v>-0.8673690294819959</v>
      </c>
      <c r="D55" s="6">
        <v>1.5365217760497798</v>
      </c>
      <c r="E55" s="6">
        <v>0.27195141898418373</v>
      </c>
      <c r="F55" s="6">
        <v>0.93722098073173299</v>
      </c>
      <c r="G55" s="6">
        <v>0.81100533244711792</v>
      </c>
      <c r="H55" s="6">
        <v>0.9699600465418049</v>
      </c>
      <c r="I55" s="6">
        <v>0.93223472713172106</v>
      </c>
      <c r="J55" s="6">
        <v>1.0630512395339704</v>
      </c>
      <c r="K55" s="6">
        <v>-1.0476160772800565</v>
      </c>
      <c r="L55" s="6">
        <v>-0.28837844560519771</v>
      </c>
      <c r="N55" s="8">
        <f>SQRT((C55-Sheet3!$C$525)^2+(D55-Sheet3!$D$525)^2+(E55-Sheet3!$E$525)^2+(F55-Sheet3!$F$525)^2+(G55-Sheet3!$G$525)^2+(H55-Sheet3!$H$525)^2+(I55-Sheet3!$I$525)^2+(J55-Sheet3!$J$525)^2+(K55-Sheet3!$K$525)^2+(L55-Sheet3!$L$525)^2)</f>
        <v>3.7657301909202254</v>
      </c>
      <c r="O55" s="8">
        <f>SQRT((C55-Sheet3!$C$526)^2+(D55-Sheet3!$D$526)^2+(E55-Sheet3!$E$526)^2+(F55-Sheet3!$F$526)^2+(G55-Sheet3!$G$526)^2+(H55-Sheet3!$H$526)^2+(I55-Sheet3!$I$526)^2+(J55-Sheet3!$J$526)^2+(K55-Sheet3!$K$526)^2+(L55-Sheet3!$L$526)^2)</f>
        <v>1.5943375406960243</v>
      </c>
      <c r="P55" s="12">
        <f t="shared" si="0"/>
        <v>1</v>
      </c>
      <c r="Q55" s="11">
        <f>IF(P55=Sheet1!M55, 1, 0)</f>
        <v>0</v>
      </c>
    </row>
    <row r="56" spans="1:17" x14ac:dyDescent="0.35">
      <c r="A56" s="6" t="s">
        <v>36</v>
      </c>
      <c r="B56" s="6" t="s">
        <v>68</v>
      </c>
      <c r="C56" s="6">
        <v>-0.63654128658016906</v>
      </c>
      <c r="D56" s="6">
        <v>1.6285884165004056</v>
      </c>
      <c r="E56" s="6">
        <v>0.2358490028586957</v>
      </c>
      <c r="F56" s="6">
        <v>0.85556581485151828</v>
      </c>
      <c r="G56" s="6">
        <v>-4.5529727516354639E-2</v>
      </c>
      <c r="H56" s="6">
        <v>-1.3935677097456109</v>
      </c>
      <c r="I56" s="6">
        <v>-1.9766588003582888</v>
      </c>
      <c r="J56" s="6">
        <v>0.80492828422995799</v>
      </c>
      <c r="K56" s="6">
        <v>-0.12119459215707841</v>
      </c>
      <c r="L56" s="6">
        <v>-0.36811381414613809</v>
      </c>
      <c r="N56" s="8">
        <f>SQRT((C56-Sheet3!$C$525)^2+(D56-Sheet3!$D$525)^2+(E56-Sheet3!$E$525)^2+(F56-Sheet3!$F$525)^2+(G56-Sheet3!$G$525)^2+(H56-Sheet3!$H$525)^2+(I56-Sheet3!$I$525)^2+(J56-Sheet3!$J$525)^2+(K56-Sheet3!$K$525)^2+(L56-Sheet3!$L$525)^2)</f>
        <v>3.5285865663694902</v>
      </c>
      <c r="O56" s="8">
        <f>SQRT((C56-Sheet3!$C$526)^2+(D56-Sheet3!$D$526)^2+(E56-Sheet3!$E$526)^2+(F56-Sheet3!$F$526)^2+(G56-Sheet3!$G$526)^2+(H56-Sheet3!$H$526)^2+(I56-Sheet3!$I$526)^2+(J56-Sheet3!$J$526)^2+(K56-Sheet3!$K$526)^2+(L56-Sheet3!$L$526)^2)</f>
        <v>3.9259444507256869</v>
      </c>
      <c r="P56" s="12">
        <f t="shared" si="0"/>
        <v>0</v>
      </c>
      <c r="Q56" s="11">
        <f>IF(P56=Sheet1!M56, 1, 0)</f>
        <v>1</v>
      </c>
    </row>
    <row r="57" spans="1:17" x14ac:dyDescent="0.35">
      <c r="A57" s="6" t="s">
        <v>36</v>
      </c>
      <c r="B57" s="6" t="s">
        <v>69</v>
      </c>
      <c r="C57" s="6">
        <v>0.56054212428279282</v>
      </c>
      <c r="D57" s="6">
        <v>0.11255773708010311</v>
      </c>
      <c r="E57" s="6">
        <v>-0.80706875276637213</v>
      </c>
      <c r="F57" s="6">
        <v>-4.8803663859537154E-2</v>
      </c>
      <c r="G57" s="6">
        <v>0.48290885185093779</v>
      </c>
      <c r="H57" s="6">
        <v>-1.7275210390296121</v>
      </c>
      <c r="I57" s="6">
        <v>-0.70294210784787048</v>
      </c>
      <c r="J57" s="6">
        <v>-9.8502059334084097E-2</v>
      </c>
      <c r="K57" s="6">
        <v>-1.0194478564486145</v>
      </c>
      <c r="L57" s="6">
        <v>-0.38540755506104418</v>
      </c>
      <c r="N57" s="8">
        <f>SQRT((C57-Sheet3!$C$525)^2+(D57-Sheet3!$D$525)^2+(E57-Sheet3!$E$525)^2+(F57-Sheet3!$F$525)^2+(G57-Sheet3!$G$525)^2+(H57-Sheet3!$H$525)^2+(I57-Sheet3!$I$525)^2+(J57-Sheet3!$J$525)^2+(K57-Sheet3!$K$525)^2+(L57-Sheet3!$L$525)^2)</f>
        <v>2.2930533656967742</v>
      </c>
      <c r="O57" s="8">
        <f>SQRT((C57-Sheet3!$C$526)^2+(D57-Sheet3!$D$526)^2+(E57-Sheet3!$E$526)^2+(F57-Sheet3!$F$526)^2+(G57-Sheet3!$G$526)^2+(H57-Sheet3!$H$526)^2+(I57-Sheet3!$I$526)^2+(J57-Sheet3!$J$526)^2+(K57-Sheet3!$K$526)^2+(L57-Sheet3!$L$526)^2)</f>
        <v>4.4044508775003086</v>
      </c>
      <c r="P57" s="12">
        <f t="shared" si="0"/>
        <v>0</v>
      </c>
      <c r="Q57" s="11">
        <f>IF(P57=Sheet1!M57, 1, 0)</f>
        <v>1</v>
      </c>
    </row>
    <row r="58" spans="1:17" x14ac:dyDescent="0.35">
      <c r="A58" s="6" t="s">
        <v>70</v>
      </c>
      <c r="B58" s="6" t="s">
        <v>71</v>
      </c>
      <c r="C58" s="6">
        <v>0.34447662075259461</v>
      </c>
      <c r="D58" s="6">
        <v>-0.75900645918581899</v>
      </c>
      <c r="E58" s="6">
        <v>-1.4749634510879008</v>
      </c>
      <c r="F58" s="6">
        <v>-1.3213917207851438</v>
      </c>
      <c r="G58" s="6">
        <v>-1.4305033668471197</v>
      </c>
      <c r="H58" s="6">
        <v>-0.33138066886165829</v>
      </c>
      <c r="I58" s="6">
        <v>-1.891871853359347</v>
      </c>
      <c r="J58" s="6">
        <v>-0.86148314780623725</v>
      </c>
      <c r="K58" s="6">
        <v>2.0508882141785536</v>
      </c>
      <c r="L58" s="6">
        <v>-0.39538657695607449</v>
      </c>
      <c r="N58" s="8">
        <f>SQRT((C58-Sheet3!$C$525)^2+(D58-Sheet3!$D$525)^2+(E58-Sheet3!$E$525)^2+(F58-Sheet3!$F$525)^2+(G58-Sheet3!$G$525)^2+(H58-Sheet3!$H$525)^2+(I58-Sheet3!$I$525)^2+(J58-Sheet3!$J$525)^2+(K58-Sheet3!$K$525)^2+(L58-Sheet3!$L$525)^2)</f>
        <v>3.2092092241270538</v>
      </c>
      <c r="O58" s="8">
        <f>SQRT((C58-Sheet3!$C$526)^2+(D58-Sheet3!$D$526)^2+(E58-Sheet3!$E$526)^2+(F58-Sheet3!$F$526)^2+(G58-Sheet3!$G$526)^2+(H58-Sheet3!$H$526)^2+(I58-Sheet3!$I$526)^2+(J58-Sheet3!$J$526)^2+(K58-Sheet3!$K$526)^2+(L58-Sheet3!$L$526)^2)</f>
        <v>6.6323149817087925</v>
      </c>
      <c r="P58" s="12">
        <f t="shared" si="0"/>
        <v>0</v>
      </c>
      <c r="Q58" s="11">
        <f>IF(P58=Sheet1!M58, 1, 0)</f>
        <v>1</v>
      </c>
    </row>
    <row r="59" spans="1:17" x14ac:dyDescent="0.35">
      <c r="A59" s="6" t="s">
        <v>70</v>
      </c>
      <c r="B59" s="6" t="s">
        <v>72</v>
      </c>
      <c r="C59" s="6">
        <v>-0.584202437898941</v>
      </c>
      <c r="D59" s="6">
        <v>-0.10226442397135649</v>
      </c>
      <c r="E59" s="6">
        <v>-0.38857543931173522</v>
      </c>
      <c r="F59" s="6">
        <v>1.5904203441765154E-2</v>
      </c>
      <c r="G59" s="6">
        <v>0.378382539448616</v>
      </c>
      <c r="H59" s="6">
        <v>-0.3125284647891739</v>
      </c>
      <c r="I59" s="6">
        <v>-0.56779298932324129</v>
      </c>
      <c r="J59" s="6">
        <v>0.34562126082134836</v>
      </c>
      <c r="K59" s="6">
        <v>-0.44982383519056662</v>
      </c>
      <c r="L59" s="6">
        <v>-0.25437004830966958</v>
      </c>
      <c r="N59" s="8">
        <f>SQRT((C59-Sheet3!$C$525)^2+(D59-Sheet3!$D$525)^2+(E59-Sheet3!$E$525)^2+(F59-Sheet3!$F$525)^2+(G59-Sheet3!$G$525)^2+(H59-Sheet3!$H$525)^2+(I59-Sheet3!$I$525)^2+(J59-Sheet3!$J$525)^2+(K59-Sheet3!$K$525)^2+(L59-Sheet3!$L$525)^2)</f>
        <v>1.5018446906431056</v>
      </c>
      <c r="O59" s="8">
        <f>SQRT((C59-Sheet3!$C$526)^2+(D59-Sheet3!$D$526)^2+(E59-Sheet3!$E$526)^2+(F59-Sheet3!$F$526)^2+(G59-Sheet3!$G$526)^2+(H59-Sheet3!$H$526)^2+(I59-Sheet3!$I$526)^2+(J59-Sheet3!$J$526)^2+(K59-Sheet3!$K$526)^2+(L59-Sheet3!$L$526)^2)</f>
        <v>3.1938274516186467</v>
      </c>
      <c r="P59" s="12">
        <f t="shared" si="0"/>
        <v>0</v>
      </c>
      <c r="Q59" s="11">
        <f>IF(P59=Sheet1!M59, 1, 0)</f>
        <v>1</v>
      </c>
    </row>
    <row r="60" spans="1:17" x14ac:dyDescent="0.35">
      <c r="A60" s="6" t="s">
        <v>70</v>
      </c>
      <c r="B60" s="6" t="s">
        <v>73</v>
      </c>
      <c r="C60" s="6">
        <v>-0.5721242420494268</v>
      </c>
      <c r="D60" s="6">
        <v>-0.34777546517302454</v>
      </c>
      <c r="E60" s="6">
        <v>-4.0444998101671972E-2</v>
      </c>
      <c r="F60" s="6">
        <v>-0.1058082136249706</v>
      </c>
      <c r="G60" s="6">
        <v>-0.25167884364315446</v>
      </c>
      <c r="H60" s="6">
        <v>-1.5928624385118697</v>
      </c>
      <c r="I60" s="6">
        <v>-0.44921876269314226</v>
      </c>
      <c r="J60" s="6">
        <v>-0.14784909490690989</v>
      </c>
      <c r="K60" s="6">
        <v>0.27316049948310789</v>
      </c>
      <c r="L60" s="6">
        <v>-0.2474859338247771</v>
      </c>
      <c r="N60" s="8">
        <f>SQRT((C60-Sheet3!$C$525)^2+(D60-Sheet3!$D$525)^2+(E60-Sheet3!$E$525)^2+(F60-Sheet3!$F$525)^2+(G60-Sheet3!$G$525)^2+(H60-Sheet3!$H$525)^2+(I60-Sheet3!$I$525)^2+(J60-Sheet3!$J$525)^2+(K60-Sheet3!$K$525)^2+(L60-Sheet3!$L$525)^2)</f>
        <v>1.6723283687527273</v>
      </c>
      <c r="O60" s="8">
        <f>SQRT((C60-Sheet3!$C$526)^2+(D60-Sheet3!$D$526)^2+(E60-Sheet3!$E$526)^2+(F60-Sheet3!$F$526)^2+(G60-Sheet3!$G$526)^2+(H60-Sheet3!$H$526)^2+(I60-Sheet3!$I$526)^2+(J60-Sheet3!$J$526)^2+(K60-Sheet3!$K$526)^2+(L60-Sheet3!$L$526)^2)</f>
        <v>4.1117734167524231</v>
      </c>
      <c r="P60" s="12">
        <f t="shared" si="0"/>
        <v>0</v>
      </c>
      <c r="Q60" s="11">
        <f>IF(P60=Sheet1!M60, 1, 0)</f>
        <v>1</v>
      </c>
    </row>
    <row r="61" spans="1:17" x14ac:dyDescent="0.35">
      <c r="A61" s="6" t="s">
        <v>70</v>
      </c>
      <c r="B61" s="6" t="s">
        <v>74</v>
      </c>
      <c r="C61" s="6">
        <v>-0.73450887513733976</v>
      </c>
      <c r="D61" s="6">
        <v>-0.19433106442198234</v>
      </c>
      <c r="E61" s="6">
        <v>2.3655210121133328E-2</v>
      </c>
      <c r="F61" s="6">
        <v>-0.31841977761496232</v>
      </c>
      <c r="G61" s="6">
        <v>-0.95723145235882978</v>
      </c>
      <c r="H61" s="6">
        <v>-0.24627643333444516</v>
      </c>
      <c r="I61" s="6">
        <v>-1.3398004541030795</v>
      </c>
      <c r="J61" s="6">
        <v>-0.5654009343692824</v>
      </c>
      <c r="K61" s="6">
        <v>9.319686639334139E-2</v>
      </c>
      <c r="L61" s="6">
        <v>-0.31490596669615539</v>
      </c>
      <c r="N61" s="8">
        <f>SQRT((C61-Sheet3!$C$525)^2+(D61-Sheet3!$D$525)^2+(E61-Sheet3!$E$525)^2+(F61-Sheet3!$F$525)^2+(G61-Sheet3!$G$525)^2+(H61-Sheet3!$H$525)^2+(I61-Sheet3!$I$525)^2+(J61-Sheet3!$J$525)^2+(K61-Sheet3!$K$525)^2+(L61-Sheet3!$L$525)^2)</f>
        <v>1.6926124212315117</v>
      </c>
      <c r="O61" s="8">
        <f>SQRT((C61-Sheet3!$C$526)^2+(D61-Sheet3!$D$526)^2+(E61-Sheet3!$E$526)^2+(F61-Sheet3!$F$526)^2+(G61-Sheet3!$G$526)^2+(H61-Sheet3!$H$526)^2+(I61-Sheet3!$I$526)^2+(J61-Sheet3!$J$526)^2+(K61-Sheet3!$K$526)^2+(L61-Sheet3!$L$526)^2)</f>
        <v>4.3193222789791994</v>
      </c>
      <c r="P61" s="12">
        <f t="shared" si="0"/>
        <v>0</v>
      </c>
      <c r="Q61" s="11">
        <f>IF(P61=Sheet1!M61, 1, 0)</f>
        <v>1</v>
      </c>
    </row>
    <row r="62" spans="1:17" x14ac:dyDescent="0.35">
      <c r="A62" s="6" t="s">
        <v>70</v>
      </c>
      <c r="B62" s="6" t="s">
        <v>75</v>
      </c>
      <c r="C62" s="6">
        <v>-1.0378057931362517</v>
      </c>
      <c r="D62" s="6">
        <v>0.11255773708010311</v>
      </c>
      <c r="E62" s="6">
        <v>0.10728019441180461</v>
      </c>
      <c r="F62" s="6">
        <v>0.39028543568501156</v>
      </c>
      <c r="G62" s="6">
        <v>0.13448781050986786</v>
      </c>
      <c r="H62" s="6">
        <v>-1.2642954532485782</v>
      </c>
      <c r="I62" s="6">
        <v>8.6915240510692285E-2</v>
      </c>
      <c r="J62" s="6">
        <v>-0.16303279816008709</v>
      </c>
      <c r="K62" s="6">
        <v>-0.40444170162880033</v>
      </c>
      <c r="L62" s="6">
        <v>-0.25226675577805963</v>
      </c>
      <c r="N62" s="8">
        <f>SQRT((C62-Sheet3!$C$525)^2+(D62-Sheet3!$D$525)^2+(E62-Sheet3!$E$525)^2+(F62-Sheet3!$F$525)^2+(G62-Sheet3!$G$525)^2+(H62-Sheet3!$H$525)^2+(I62-Sheet3!$I$525)^2+(J62-Sheet3!$J$525)^2+(K62-Sheet3!$K$525)^2+(L62-Sheet3!$L$525)^2)</f>
        <v>2.0750322848390348</v>
      </c>
      <c r="O62" s="8">
        <f>SQRT((C62-Sheet3!$C$526)^2+(D62-Sheet3!$D$526)^2+(E62-Sheet3!$E$526)^2+(F62-Sheet3!$F$526)^2+(G62-Sheet3!$G$526)^2+(H62-Sheet3!$H$526)^2+(I62-Sheet3!$I$526)^2+(J62-Sheet3!$J$526)^2+(K62-Sheet3!$K$526)^2+(L62-Sheet3!$L$526)^2)</f>
        <v>3.2628172858194766</v>
      </c>
      <c r="P62" s="12">
        <f t="shared" si="0"/>
        <v>0</v>
      </c>
      <c r="Q62" s="11">
        <f>IF(P62=Sheet1!M62, 1, 0)</f>
        <v>1</v>
      </c>
    </row>
    <row r="63" spans="1:17" x14ac:dyDescent="0.35">
      <c r="A63" s="6" t="s">
        <v>70</v>
      </c>
      <c r="B63" s="6" t="s">
        <v>76</v>
      </c>
      <c r="C63" s="6">
        <v>-0.67814396117294018</v>
      </c>
      <c r="D63" s="6">
        <v>-0.34163768914298293</v>
      </c>
      <c r="E63" s="6">
        <v>0.26716232296753739</v>
      </c>
      <c r="F63" s="6">
        <v>0.12837263946545741</v>
      </c>
      <c r="G63" s="6">
        <v>-0.19941568744199564</v>
      </c>
      <c r="H63" s="6">
        <v>-1.1495663256074615</v>
      </c>
      <c r="I63" s="6">
        <v>6.0777910984702935E-2</v>
      </c>
      <c r="J63" s="6">
        <v>1.2718271592651564</v>
      </c>
      <c r="K63" s="6">
        <v>-0.75497956086452123</v>
      </c>
      <c r="L63" s="6">
        <v>-0.20402375270661169</v>
      </c>
      <c r="N63" s="8">
        <f>SQRT((C63-Sheet3!$C$525)^2+(D63-Sheet3!$D$525)^2+(E63-Sheet3!$E$525)^2+(F63-Sheet3!$F$525)^2+(G63-Sheet3!$G$525)^2+(H63-Sheet3!$H$525)^2+(I63-Sheet3!$I$525)^2+(J63-Sheet3!$J$525)^2+(K63-Sheet3!$K$525)^2+(L63-Sheet3!$L$525)^2)</f>
        <v>2.4200295785365178</v>
      </c>
      <c r="O63" s="8">
        <f>SQRT((C63-Sheet3!$C$526)^2+(D63-Sheet3!$D$526)^2+(E63-Sheet3!$E$526)^2+(F63-Sheet3!$F$526)^2+(G63-Sheet3!$G$526)^2+(H63-Sheet3!$H$526)^2+(I63-Sheet3!$I$526)^2+(J63-Sheet3!$J$526)^2+(K63-Sheet3!$K$526)^2+(L63-Sheet3!$L$526)^2)</f>
        <v>3.2197814890231942</v>
      </c>
      <c r="P63" s="12">
        <f t="shared" si="0"/>
        <v>0</v>
      </c>
      <c r="Q63" s="11">
        <f>IF(P63=Sheet1!M63, 1, 0)</f>
        <v>1</v>
      </c>
    </row>
    <row r="64" spans="1:17" x14ac:dyDescent="0.35">
      <c r="A64" s="6" t="s">
        <v>70</v>
      </c>
      <c r="B64" s="6" t="s">
        <v>77</v>
      </c>
      <c r="C64" s="6">
        <v>-0.72779876633205409</v>
      </c>
      <c r="D64" s="6">
        <v>0.32737989813156382</v>
      </c>
      <c r="E64" s="6">
        <v>-0.24416577480978308</v>
      </c>
      <c r="F64" s="6">
        <v>0.40723273426392392</v>
      </c>
      <c r="G64" s="6">
        <v>0.83423340186985562</v>
      </c>
      <c r="H64" s="6">
        <v>2.5726604223432121E-3</v>
      </c>
      <c r="I64" s="6">
        <v>0.14811484135203332</v>
      </c>
      <c r="J64" s="6">
        <v>1.9201181156748245E-4</v>
      </c>
      <c r="K64" s="6">
        <v>-0.46547284676359124</v>
      </c>
      <c r="L64" s="6">
        <v>-0.1467784862607239</v>
      </c>
      <c r="N64" s="8">
        <f>SQRT((C64-Sheet3!$C$525)^2+(D64-Sheet3!$D$525)^2+(E64-Sheet3!$E$525)^2+(F64-Sheet3!$F$525)^2+(G64-Sheet3!$G$525)^2+(H64-Sheet3!$H$525)^2+(I64-Sheet3!$I$525)^2+(J64-Sheet3!$J$525)^2+(K64-Sheet3!$K$525)^2+(L64-Sheet3!$L$525)^2)</f>
        <v>1.9720066089034183</v>
      </c>
      <c r="O64" s="8">
        <f>SQRT((C64-Sheet3!$C$526)^2+(D64-Sheet3!$D$526)^2+(E64-Sheet3!$E$526)^2+(F64-Sheet3!$F$526)^2+(G64-Sheet3!$G$526)^2+(H64-Sheet3!$H$526)^2+(I64-Sheet3!$I$526)^2+(J64-Sheet3!$J$526)^2+(K64-Sheet3!$K$526)^2+(L64-Sheet3!$L$526)^2)</f>
        <v>2.521648989142879</v>
      </c>
      <c r="P64" s="12">
        <f t="shared" si="0"/>
        <v>0</v>
      </c>
      <c r="Q64" s="11">
        <f>IF(P64=Sheet1!M64, 1, 0)</f>
        <v>1</v>
      </c>
    </row>
    <row r="65" spans="1:17" x14ac:dyDescent="0.35">
      <c r="A65" s="6" t="s">
        <v>70</v>
      </c>
      <c r="B65" s="6" t="s">
        <v>78</v>
      </c>
      <c r="C65" s="6">
        <v>-0.66874980884554025</v>
      </c>
      <c r="D65" s="6">
        <v>-0.22501994457219024</v>
      </c>
      <c r="E65" s="6">
        <v>-0.24195542280210014</v>
      </c>
      <c r="F65" s="6">
        <v>-3.8019019309319002E-2</v>
      </c>
      <c r="G65" s="6">
        <v>5.3189567530283768E-2</v>
      </c>
      <c r="H65" s="6">
        <v>-1.1587231104426681</v>
      </c>
      <c r="I65" s="6">
        <v>-1.0331649540542749</v>
      </c>
      <c r="J65" s="6">
        <v>-1.0664631417241293</v>
      </c>
      <c r="K65" s="6">
        <v>0.29193931337073653</v>
      </c>
      <c r="L65" s="6">
        <v>-0.22009829020479904</v>
      </c>
      <c r="N65" s="8">
        <f>SQRT((C65-Sheet3!$C$525)^2+(D65-Sheet3!$D$525)^2+(E65-Sheet3!$E$525)^2+(F65-Sheet3!$F$525)^2+(G65-Sheet3!$G$525)^2+(H65-Sheet3!$H$525)^2+(I65-Sheet3!$I$525)^2+(J65-Sheet3!$J$525)^2+(K65-Sheet3!$K$525)^2+(L65-Sheet3!$L$525)^2)</f>
        <v>1.7684210130572382</v>
      </c>
      <c r="O65" s="8">
        <f>SQRT((C65-Sheet3!$C$526)^2+(D65-Sheet3!$D$526)^2+(E65-Sheet3!$E$526)^2+(F65-Sheet3!$F$526)^2+(G65-Sheet3!$G$526)^2+(H65-Sheet3!$H$526)^2+(I65-Sheet3!$I$526)^2+(J65-Sheet3!$J$526)^2+(K65-Sheet3!$K$526)^2+(L65-Sheet3!$L$526)^2)</f>
        <v>4.3992689040902011</v>
      </c>
      <c r="P65" s="12">
        <f t="shared" si="0"/>
        <v>0</v>
      </c>
      <c r="Q65" s="11">
        <f>IF(P65=Sheet1!M65, 1, 0)</f>
        <v>1</v>
      </c>
    </row>
    <row r="66" spans="1:17" x14ac:dyDescent="0.35">
      <c r="A66" s="6" t="s">
        <v>70</v>
      </c>
      <c r="B66" s="6" t="s">
        <v>79</v>
      </c>
      <c r="C66" s="6">
        <v>-0.64325139538545473</v>
      </c>
      <c r="D66" s="6">
        <v>-0.20660661648206549</v>
      </c>
      <c r="E66" s="6">
        <v>-0.69434080037454216</v>
      </c>
      <c r="F66" s="6">
        <v>-0.48635209989691341</v>
      </c>
      <c r="G66" s="6">
        <v>-0.6000998849842285</v>
      </c>
      <c r="H66" s="6">
        <v>-1.7205187918026899</v>
      </c>
      <c r="I66" s="6">
        <v>-0.1636206254335496</v>
      </c>
      <c r="J66" s="6">
        <v>-5.2950949574552521E-2</v>
      </c>
      <c r="K66" s="6">
        <v>-1.7911115775125219E-2</v>
      </c>
      <c r="L66" s="6">
        <v>-0.3266729335081815</v>
      </c>
      <c r="N66" s="8">
        <f>SQRT((C66-Sheet3!$C$525)^2+(D66-Sheet3!$D$525)^2+(E66-Sheet3!$E$525)^2+(F66-Sheet3!$F$525)^2+(G66-Sheet3!$G$525)^2+(H66-Sheet3!$H$525)^2+(I66-Sheet3!$I$525)^2+(J66-Sheet3!$J$525)^2+(K66-Sheet3!$K$525)^2+(L66-Sheet3!$L$525)^2)</f>
        <v>1.8404675351249717</v>
      </c>
      <c r="O66" s="8">
        <f>SQRT((C66-Sheet3!$C$526)^2+(D66-Sheet3!$D$526)^2+(E66-Sheet3!$E$526)^2+(F66-Sheet3!$F$526)^2+(G66-Sheet3!$G$526)^2+(H66-Sheet3!$H$526)^2+(I66-Sheet3!$I$526)^2+(J66-Sheet3!$J$526)^2+(K66-Sheet3!$K$526)^2+(L66-Sheet3!$L$526)^2)</f>
        <v>4.49179020966361</v>
      </c>
      <c r="P66" s="12">
        <f t="shared" si="0"/>
        <v>0</v>
      </c>
      <c r="Q66" s="11">
        <f>IF(P66=Sheet1!M66, 1, 0)</f>
        <v>1</v>
      </c>
    </row>
    <row r="67" spans="1:17" x14ac:dyDescent="0.35">
      <c r="A67" s="6" t="s">
        <v>70</v>
      </c>
      <c r="B67" s="6" t="s">
        <v>80</v>
      </c>
      <c r="C67" s="6">
        <v>-0.63788330834122631</v>
      </c>
      <c r="D67" s="6">
        <v>-7.1575543821147503E-2</v>
      </c>
      <c r="E67" s="6">
        <v>1.5550586092962542E-2</v>
      </c>
      <c r="F67" s="6">
        <v>-0.10734887713214306</v>
      </c>
      <c r="G67" s="6">
        <v>-0.47815252051485241</v>
      </c>
      <c r="H67" s="6">
        <v>-1.0035964026462287</v>
      </c>
      <c r="I67" s="6">
        <v>-0.26306997680072869</v>
      </c>
      <c r="J67" s="6">
        <v>-8.3318356080906902E-2</v>
      </c>
      <c r="K67" s="6">
        <v>0.41400160364031841</v>
      </c>
      <c r="L67" s="6">
        <v>-0.37411615886315913</v>
      </c>
      <c r="N67" s="8">
        <f>SQRT((C67-Sheet3!$C$525)^2+(D67-Sheet3!$D$525)^2+(E67-Sheet3!$E$525)^2+(F67-Sheet3!$F$525)^2+(G67-Sheet3!$G$525)^2+(H67-Sheet3!$H$525)^2+(I67-Sheet3!$I$525)^2+(J67-Sheet3!$J$525)^2+(K67-Sheet3!$K$525)^2+(L67-Sheet3!$L$525)^2)</f>
        <v>1.3510601249712522</v>
      </c>
      <c r="O67" s="8">
        <f>SQRT((C67-Sheet3!$C$526)^2+(D67-Sheet3!$D$526)^2+(E67-Sheet3!$E$526)^2+(F67-Sheet3!$F$526)^2+(G67-Sheet3!$G$526)^2+(H67-Sheet3!$H$526)^2+(I67-Sheet3!$I$526)^2+(J67-Sheet3!$J$526)^2+(K67-Sheet3!$K$526)^2+(L67-Sheet3!$L$526)^2)</f>
        <v>3.7677338249945893</v>
      </c>
      <c r="P67" s="12">
        <f t="shared" ref="P67:P130" si="1">IF(N67&lt;=O67, 0, 1)</f>
        <v>0</v>
      </c>
      <c r="Q67" s="11">
        <f>IF(P67=Sheet1!M67, 1, 0)</f>
        <v>1</v>
      </c>
    </row>
    <row r="68" spans="1:17" x14ac:dyDescent="0.35">
      <c r="A68" s="6" t="s">
        <v>70</v>
      </c>
      <c r="B68" s="6" t="s">
        <v>81</v>
      </c>
      <c r="C68" s="6">
        <v>-0.75195515803108248</v>
      </c>
      <c r="D68" s="6">
        <v>6.9593304869812064E-2</v>
      </c>
      <c r="E68" s="6">
        <v>0.36810173131839169</v>
      </c>
      <c r="F68" s="6">
        <v>0.28243899018284324</v>
      </c>
      <c r="G68" s="6">
        <v>0.54388253408562792</v>
      </c>
      <c r="H68" s="6">
        <v>0.29666704395309246</v>
      </c>
      <c r="I68" s="6">
        <v>-0.94774051121323644</v>
      </c>
      <c r="J68" s="6">
        <v>-2.2583543068198139E-2</v>
      </c>
      <c r="K68" s="6">
        <v>0.55953741126943612</v>
      </c>
      <c r="L68" s="6">
        <v>-0.2978454768693713</v>
      </c>
      <c r="N68" s="8">
        <f>SQRT((C68-Sheet3!$C$525)^2+(D68-Sheet3!$D$525)^2+(E68-Sheet3!$E$525)^2+(F68-Sheet3!$F$525)^2+(G68-Sheet3!$G$525)^2+(H68-Sheet3!$H$525)^2+(I68-Sheet3!$I$525)^2+(J68-Sheet3!$J$525)^2+(K68-Sheet3!$K$525)^2+(L68-Sheet3!$L$525)^2)</f>
        <v>1.9421433329757933</v>
      </c>
      <c r="O68" s="8">
        <f>SQRT((C68-Sheet3!$C$526)^2+(D68-Sheet3!$D$526)^2+(E68-Sheet3!$E$526)^2+(F68-Sheet3!$F$526)^2+(G68-Sheet3!$G$526)^2+(H68-Sheet3!$H$526)^2+(I68-Sheet3!$I$526)^2+(J68-Sheet3!$J$526)^2+(K68-Sheet3!$K$526)^2+(L68-Sheet3!$L$526)^2)</f>
        <v>3.092020451980233</v>
      </c>
      <c r="P68" s="12">
        <f t="shared" si="1"/>
        <v>0</v>
      </c>
      <c r="Q68" s="11">
        <f>IF(P68=Sheet1!M68, 1, 0)</f>
        <v>1</v>
      </c>
    </row>
    <row r="69" spans="1:17" x14ac:dyDescent="0.35">
      <c r="A69" s="6" t="s">
        <v>70</v>
      </c>
      <c r="B69" s="6" t="s">
        <v>82</v>
      </c>
      <c r="C69" s="6">
        <v>-0.63922533010228344</v>
      </c>
      <c r="D69" s="6">
        <v>-0.10226442397135649</v>
      </c>
      <c r="E69" s="6">
        <v>-0.455254391543504</v>
      </c>
      <c r="F69" s="6">
        <v>-0.17976006196931421</v>
      </c>
      <c r="G69" s="6">
        <v>-0.49847708125975049</v>
      </c>
      <c r="H69" s="6">
        <v>-0.37285551782112281</v>
      </c>
      <c r="I69" s="6">
        <v>-0.23374516806425297</v>
      </c>
      <c r="J69" s="6">
        <v>-1.499169144160971E-2</v>
      </c>
      <c r="K69" s="6">
        <v>-0.39661719584228688</v>
      </c>
      <c r="L69" s="6">
        <v>-0.21483930665511911</v>
      </c>
      <c r="N69" s="8">
        <f>SQRT((C69-Sheet3!$C$525)^2+(D69-Sheet3!$D$525)^2+(E69-Sheet3!$E$525)^2+(F69-Sheet3!$F$525)^2+(G69-Sheet3!$G$525)^2+(H69-Sheet3!$H$525)^2+(I69-Sheet3!$I$525)^2+(J69-Sheet3!$J$525)^2+(K69-Sheet3!$K$525)^2+(L69-Sheet3!$L$525)^2)</f>
        <v>1.1544359505685171</v>
      </c>
      <c r="O69" s="8">
        <f>SQRT((C69-Sheet3!$C$526)^2+(D69-Sheet3!$D$526)^2+(E69-Sheet3!$E$526)^2+(F69-Sheet3!$F$526)^2+(G69-Sheet3!$G$526)^2+(H69-Sheet3!$H$526)^2+(I69-Sheet3!$I$526)^2+(J69-Sheet3!$J$526)^2+(K69-Sheet3!$K$526)^2+(L69-Sheet3!$L$526)^2)</f>
        <v>3.5529191350863001</v>
      </c>
      <c r="P69" s="12">
        <f t="shared" si="1"/>
        <v>0</v>
      </c>
      <c r="Q69" s="11">
        <f>IF(P69=Sheet1!M69, 1, 0)</f>
        <v>1</v>
      </c>
    </row>
    <row r="70" spans="1:17" x14ac:dyDescent="0.35">
      <c r="A70" s="6" t="s">
        <v>70</v>
      </c>
      <c r="B70" s="6" t="s">
        <v>83</v>
      </c>
      <c r="C70" s="6">
        <v>-0.98412492269396634</v>
      </c>
      <c r="D70" s="6">
        <v>1.9354772180024911</v>
      </c>
      <c r="E70" s="6">
        <v>1.5528504074364482</v>
      </c>
      <c r="F70" s="6">
        <v>1.9987381371745214</v>
      </c>
      <c r="G70" s="6">
        <v>1.1710404084995587</v>
      </c>
      <c r="H70" s="6">
        <v>0.1576993682187823</v>
      </c>
      <c r="I70" s="6">
        <v>0.66193649008246247</v>
      </c>
      <c r="J70" s="6">
        <v>3.1546063626591261</v>
      </c>
      <c r="K70" s="6">
        <v>-0.88956106039252147</v>
      </c>
      <c r="L70" s="6">
        <v>0.48609918582805522</v>
      </c>
      <c r="N70" s="8">
        <f>SQRT((C70-Sheet3!$C$525)^2+(D70-Sheet3!$D$525)^2+(E70-Sheet3!$E$525)^2+(F70-Sheet3!$F$525)^2+(G70-Sheet3!$G$525)^2+(H70-Sheet3!$H$525)^2+(I70-Sheet3!$I$525)^2+(J70-Sheet3!$J$525)^2+(K70-Sheet3!$K$525)^2+(L70-Sheet3!$L$525)^2)</f>
        <v>5.7233297870278683</v>
      </c>
      <c r="O70" s="8">
        <f>SQRT((C70-Sheet3!$C$526)^2+(D70-Sheet3!$D$526)^2+(E70-Sheet3!$E$526)^2+(F70-Sheet3!$F$526)^2+(G70-Sheet3!$G$526)^2+(H70-Sheet3!$H$526)^2+(I70-Sheet3!$I$526)^2+(J70-Sheet3!$J$526)^2+(K70-Sheet3!$K$526)^2+(L70-Sheet3!$L$526)^2)</f>
        <v>2.4624145496280163</v>
      </c>
      <c r="P70" s="12">
        <f t="shared" si="1"/>
        <v>1</v>
      </c>
      <c r="Q70" s="11">
        <f>IF(P70=Sheet1!M70, 1, 0)</f>
        <v>0</v>
      </c>
    </row>
    <row r="71" spans="1:17" x14ac:dyDescent="0.35">
      <c r="A71" s="6" t="s">
        <v>70</v>
      </c>
      <c r="B71" s="6" t="s">
        <v>84</v>
      </c>
      <c r="C71" s="6">
        <v>-1.2283728832063643</v>
      </c>
      <c r="D71" s="6">
        <v>1.5978995363501967</v>
      </c>
      <c r="E71" s="6">
        <v>0.6790245803991255</v>
      </c>
      <c r="F71" s="6">
        <v>1.3069802224534577</v>
      </c>
      <c r="G71" s="6">
        <v>1.1826544432109296</v>
      </c>
      <c r="H71" s="6">
        <v>0.76474033935276597</v>
      </c>
      <c r="I71" s="6">
        <v>0.72759856181848515</v>
      </c>
      <c r="J71" s="6">
        <v>3.4355344131216416E-2</v>
      </c>
      <c r="K71" s="6">
        <v>-0.462343044448985</v>
      </c>
      <c r="L71" s="6">
        <v>-0.39757472415657846</v>
      </c>
      <c r="N71" s="8">
        <f>SQRT((C71-Sheet3!$C$525)^2+(D71-Sheet3!$D$525)^2+(E71-Sheet3!$E$525)^2+(F71-Sheet3!$F$525)^2+(G71-Sheet3!$G$525)^2+(H71-Sheet3!$H$525)^2+(I71-Sheet3!$I$525)^2+(J71-Sheet3!$J$525)^2+(K71-Sheet3!$K$525)^2+(L71-Sheet3!$L$525)^2)</f>
        <v>3.7812783445245239</v>
      </c>
      <c r="O71" s="8">
        <f>SQRT((C71-Sheet3!$C$526)^2+(D71-Sheet3!$D$526)^2+(E71-Sheet3!$E$526)^2+(F71-Sheet3!$F$526)^2+(G71-Sheet3!$G$526)^2+(H71-Sheet3!$H$526)^2+(I71-Sheet3!$I$526)^2+(J71-Sheet3!$J$526)^2+(K71-Sheet3!$K$526)^2+(L71-Sheet3!$L$526)^2)</f>
        <v>1.8257835392559887</v>
      </c>
      <c r="P71" s="12">
        <f t="shared" si="1"/>
        <v>1</v>
      </c>
      <c r="Q71" s="11">
        <f>IF(P71=Sheet1!M71, 1, 0)</f>
        <v>0</v>
      </c>
    </row>
    <row r="72" spans="1:17" x14ac:dyDescent="0.35">
      <c r="A72" s="6" t="s">
        <v>70</v>
      </c>
      <c r="B72" s="6" t="s">
        <v>85</v>
      </c>
      <c r="C72" s="6">
        <v>-1.3276824935245923</v>
      </c>
      <c r="D72" s="6">
        <v>1.1559796621871943</v>
      </c>
      <c r="E72" s="6">
        <v>-4.7812838127281779E-2</v>
      </c>
      <c r="F72" s="6">
        <v>0.45499330298631385</v>
      </c>
      <c r="G72" s="6">
        <v>0.12868079315418032</v>
      </c>
      <c r="H72" s="6">
        <v>0.4981163103276357</v>
      </c>
      <c r="I72" s="6">
        <v>0.19975200456191528</v>
      </c>
      <c r="J72" s="6">
        <v>0.50125421916641455</v>
      </c>
      <c r="K72" s="6">
        <v>-0.22134826622442755</v>
      </c>
      <c r="L72" s="6">
        <v>-0.39981546411788171</v>
      </c>
      <c r="N72" s="8">
        <f>SQRT((C72-Sheet3!$C$525)^2+(D72-Sheet3!$D$525)^2+(E72-Sheet3!$E$525)^2+(F72-Sheet3!$F$525)^2+(G72-Sheet3!$G$525)^2+(H72-Sheet3!$H$525)^2+(I72-Sheet3!$I$525)^2+(J72-Sheet3!$J$525)^2+(K72-Sheet3!$K$525)^2+(L72-Sheet3!$L$525)^2)</f>
        <v>2.6713738388199482</v>
      </c>
      <c r="O72" s="8">
        <f>SQRT((C72-Sheet3!$C$526)^2+(D72-Sheet3!$D$526)^2+(E72-Sheet3!$E$526)^2+(F72-Sheet3!$F$526)^2+(G72-Sheet3!$G$526)^2+(H72-Sheet3!$H$526)^2+(I72-Sheet3!$I$526)^2+(J72-Sheet3!$J$526)^2+(K72-Sheet3!$K$526)^2+(L72-Sheet3!$L$526)^2)</f>
        <v>2.30602859595504</v>
      </c>
      <c r="P72" s="12">
        <f t="shared" si="1"/>
        <v>1</v>
      </c>
      <c r="Q72" s="11">
        <f>IF(P72=Sheet1!M72, 1, 0)</f>
        <v>0</v>
      </c>
    </row>
    <row r="73" spans="1:17" x14ac:dyDescent="0.35">
      <c r="A73" s="6" t="s">
        <v>70</v>
      </c>
      <c r="B73" s="6" t="s">
        <v>86</v>
      </c>
      <c r="C73" s="6">
        <v>-0.85260679011036744</v>
      </c>
      <c r="D73" s="6">
        <v>1.9600283221226587</v>
      </c>
      <c r="E73" s="6">
        <v>0.15811829058851226</v>
      </c>
      <c r="F73" s="6">
        <v>1.2391910281378082</v>
      </c>
      <c r="G73" s="6">
        <v>0.91843515352727934</v>
      </c>
      <c r="H73" s="6">
        <v>-0.22419242284953481</v>
      </c>
      <c r="I73" s="6">
        <v>0.84872277181697375</v>
      </c>
      <c r="J73" s="6">
        <v>-6.0542801201140951E-2</v>
      </c>
      <c r="K73" s="6">
        <v>-0.5515424104152189</v>
      </c>
      <c r="L73" s="6">
        <v>-0.40395418216200102</v>
      </c>
      <c r="N73" s="8">
        <f>SQRT((C73-Sheet3!$C$525)^2+(D73-Sheet3!$D$525)^2+(E73-Sheet3!$E$525)^2+(F73-Sheet3!$F$525)^2+(G73-Sheet3!$G$525)^2+(H73-Sheet3!$H$525)^2+(I73-Sheet3!$I$525)^2+(J73-Sheet3!$J$525)^2+(K73-Sheet3!$K$525)^2+(L73-Sheet3!$L$525)^2)</f>
        <v>3.5378910247649986</v>
      </c>
      <c r="O73" s="8">
        <f>SQRT((C73-Sheet3!$C$526)^2+(D73-Sheet3!$D$526)^2+(E73-Sheet3!$E$526)^2+(F73-Sheet3!$F$526)^2+(G73-Sheet3!$G$526)^2+(H73-Sheet3!$H$526)^2+(I73-Sheet3!$I$526)^2+(J73-Sheet3!$J$526)^2+(K73-Sheet3!$K$526)^2+(L73-Sheet3!$L$526)^2)</f>
        <v>2.3122172821520328</v>
      </c>
      <c r="P73" s="12">
        <f t="shared" si="1"/>
        <v>1</v>
      </c>
      <c r="Q73" s="11">
        <f>IF(P73=Sheet1!M73, 1, 0)</f>
        <v>0</v>
      </c>
    </row>
    <row r="74" spans="1:17" x14ac:dyDescent="0.35">
      <c r="A74" s="6" t="s">
        <v>70</v>
      </c>
      <c r="B74" s="6" t="s">
        <v>87</v>
      </c>
      <c r="C74" s="6">
        <v>-0.9572844874728238</v>
      </c>
      <c r="D74" s="6">
        <v>1.7820328172514484</v>
      </c>
      <c r="E74" s="6">
        <v>1.1074644778883356</v>
      </c>
      <c r="F74" s="6">
        <v>1.6597921655962722</v>
      </c>
      <c r="G74" s="6">
        <v>1.4062246114047838</v>
      </c>
      <c r="H74" s="6">
        <v>0.68556108224833345</v>
      </c>
      <c r="I74" s="6">
        <v>0.75947335392335047</v>
      </c>
      <c r="J74" s="6">
        <v>0.39117237058087995</v>
      </c>
      <c r="K74" s="6">
        <v>-0.31993703913447358</v>
      </c>
      <c r="L74" s="6">
        <v>-0.32807158334116754</v>
      </c>
      <c r="N74" s="8">
        <f>SQRT((C74-Sheet3!$C$525)^2+(D74-Sheet3!$D$525)^2+(E74-Sheet3!$E$525)^2+(F74-Sheet3!$F$525)^2+(G74-Sheet3!$G$525)^2+(H74-Sheet3!$H$525)^2+(I74-Sheet3!$I$525)^2+(J74-Sheet3!$J$525)^2+(K74-Sheet3!$K$525)^2+(L74-Sheet3!$L$525)^2)</f>
        <v>4.1899042973932348</v>
      </c>
      <c r="O74" s="8">
        <f>SQRT((C74-Sheet3!$C$526)^2+(D74-Sheet3!$D$526)^2+(E74-Sheet3!$E$526)^2+(F74-Sheet3!$F$526)^2+(G74-Sheet3!$G$526)^2+(H74-Sheet3!$H$526)^2+(I74-Sheet3!$I$526)^2+(J74-Sheet3!$J$526)^2+(K74-Sheet3!$K$526)^2+(L74-Sheet3!$L$526)^2)</f>
        <v>1.6258145009401264</v>
      </c>
      <c r="P74" s="12">
        <f t="shared" si="1"/>
        <v>1</v>
      </c>
      <c r="Q74" s="11">
        <f>IF(P74=Sheet1!M74, 1, 0)</f>
        <v>0</v>
      </c>
    </row>
    <row r="75" spans="1:17" x14ac:dyDescent="0.35">
      <c r="A75" s="6" t="s">
        <v>70</v>
      </c>
      <c r="B75" s="6" t="s">
        <v>88</v>
      </c>
      <c r="C75" s="6">
        <v>-0.82039826784499625</v>
      </c>
      <c r="D75" s="6">
        <v>1.4567306876592383</v>
      </c>
      <c r="E75" s="6">
        <v>1.1023069898704088</v>
      </c>
      <c r="F75" s="6">
        <v>1.4102046774341064</v>
      </c>
      <c r="G75" s="6">
        <v>1.2145930386671946</v>
      </c>
      <c r="H75" s="6">
        <v>0.66186116855721011</v>
      </c>
      <c r="I75" s="6">
        <v>0.91119736434251009</v>
      </c>
      <c r="J75" s="6">
        <v>0.53541755148606307</v>
      </c>
      <c r="K75" s="6">
        <v>0.35453535966283062</v>
      </c>
      <c r="L75" s="6">
        <v>-0.36340930079930733</v>
      </c>
      <c r="N75" s="8">
        <f>SQRT((C75-Sheet3!$C$525)^2+(D75-Sheet3!$D$525)^2+(E75-Sheet3!$E$525)^2+(F75-Sheet3!$F$525)^2+(G75-Sheet3!$G$525)^2+(H75-Sheet3!$H$525)^2+(I75-Sheet3!$I$525)^2+(J75-Sheet3!$J$525)^2+(K75-Sheet3!$K$525)^2+(L75-Sheet3!$L$525)^2)</f>
        <v>3.8345722904961166</v>
      </c>
      <c r="O75" s="8">
        <f>SQRT((C75-Sheet3!$C$526)^2+(D75-Sheet3!$D$526)^2+(E75-Sheet3!$E$526)^2+(F75-Sheet3!$F$526)^2+(G75-Sheet3!$G$526)^2+(H75-Sheet3!$H$526)^2+(I75-Sheet3!$I$526)^2+(J75-Sheet3!$J$526)^2+(K75-Sheet3!$K$526)^2+(L75-Sheet3!$L$526)^2)</f>
        <v>1.6487807217625141</v>
      </c>
      <c r="P75" s="12">
        <f t="shared" si="1"/>
        <v>1</v>
      </c>
      <c r="Q75" s="11">
        <f>IF(P75=Sheet1!M75, 1, 0)</f>
        <v>0</v>
      </c>
    </row>
    <row r="76" spans="1:17" x14ac:dyDescent="0.35">
      <c r="A76" s="6" t="s">
        <v>70</v>
      </c>
      <c r="B76" s="6" t="s">
        <v>89</v>
      </c>
      <c r="C76" s="6">
        <v>-1.0592781413131658</v>
      </c>
      <c r="D76" s="6">
        <v>1.3708018232386538</v>
      </c>
      <c r="E76" s="6">
        <v>0.91847938123144413</v>
      </c>
      <c r="F76" s="6">
        <v>1.1005313124921601</v>
      </c>
      <c r="G76" s="6">
        <v>0.20997903613376442</v>
      </c>
      <c r="H76" s="6">
        <v>0.12699720730073738</v>
      </c>
      <c r="I76" s="6">
        <v>0.80027308781757811</v>
      </c>
      <c r="J76" s="6">
        <v>0.39117237058087995</v>
      </c>
      <c r="K76" s="6">
        <v>-1.0585703853811728</v>
      </c>
      <c r="L76" s="6">
        <v>-0.38226283392752713</v>
      </c>
      <c r="N76" s="8">
        <f>SQRT((C76-Sheet3!$C$525)^2+(D76-Sheet3!$D$525)^2+(E76-Sheet3!$E$525)^2+(F76-Sheet3!$F$525)^2+(G76-Sheet3!$G$525)^2+(H76-Sheet3!$H$525)^2+(I76-Sheet3!$I$525)^2+(J76-Sheet3!$J$525)^2+(K76-Sheet3!$K$525)^2+(L76-Sheet3!$L$525)^2)</f>
        <v>3.4409893084840464</v>
      </c>
      <c r="O76" s="8">
        <f>SQRT((C76-Sheet3!$C$526)^2+(D76-Sheet3!$D$526)^2+(E76-Sheet3!$E$526)^2+(F76-Sheet3!$F$526)^2+(G76-Sheet3!$G$526)^2+(H76-Sheet3!$H$526)^2+(I76-Sheet3!$I$526)^2+(J76-Sheet3!$J$526)^2+(K76-Sheet3!$K$526)^2+(L76-Sheet3!$L$526)^2)</f>
        <v>1.7627323050089432</v>
      </c>
      <c r="P76" s="12">
        <f t="shared" si="1"/>
        <v>1</v>
      </c>
      <c r="Q76" s="11">
        <f>IF(P76=Sheet1!M76, 1, 0)</f>
        <v>0</v>
      </c>
    </row>
    <row r="77" spans="1:17" x14ac:dyDescent="0.35">
      <c r="A77" s="6" t="s">
        <v>90</v>
      </c>
      <c r="B77" s="6" t="s">
        <v>91</v>
      </c>
      <c r="C77" s="6">
        <v>-0.44329015298794194</v>
      </c>
      <c r="D77" s="6">
        <v>0.19234882547064583</v>
      </c>
      <c r="E77" s="6">
        <v>-5.8161499813058903E-3</v>
      </c>
      <c r="F77" s="6">
        <v>0.10372202335067403</v>
      </c>
      <c r="G77" s="6">
        <v>-0.30684550852216119</v>
      </c>
      <c r="H77" s="6">
        <v>0.58052737384449415</v>
      </c>
      <c r="I77" s="6">
        <v>4.1015539879686293E-2</v>
      </c>
      <c r="J77" s="6">
        <v>-1.1385857321767208</v>
      </c>
      <c r="K77" s="6">
        <v>-0.38253308542656761</v>
      </c>
      <c r="L77" s="6">
        <v>5.694794115033381E-2</v>
      </c>
      <c r="N77" s="8">
        <f>SQRT((C77-Sheet3!$C$525)^2+(D77-Sheet3!$D$525)^2+(E77-Sheet3!$E$525)^2+(F77-Sheet3!$F$525)^2+(G77-Sheet3!$G$525)^2+(H77-Sheet3!$H$525)^2+(I77-Sheet3!$I$525)^2+(J77-Sheet3!$J$525)^2+(K77-Sheet3!$K$525)^2+(L77-Sheet3!$L$525)^2)</f>
        <v>1.6724341421525231</v>
      </c>
      <c r="O77" s="8">
        <f>SQRT((C77-Sheet3!$C$526)^2+(D77-Sheet3!$D$526)^2+(E77-Sheet3!$E$526)^2+(F77-Sheet3!$F$526)^2+(G77-Sheet3!$G$526)^2+(H77-Sheet3!$H$526)^2+(I77-Sheet3!$I$526)^2+(J77-Sheet3!$J$526)^2+(K77-Sheet3!$K$526)^2+(L77-Sheet3!$L$526)^2)</f>
        <v>3.3613473624496137</v>
      </c>
      <c r="P77" s="12">
        <f t="shared" si="1"/>
        <v>0</v>
      </c>
      <c r="Q77" s="11">
        <f>IF(P77=Sheet1!M77, 1, 0)</f>
        <v>1</v>
      </c>
    </row>
    <row r="78" spans="1:17" x14ac:dyDescent="0.35">
      <c r="A78" s="6" t="s">
        <v>90</v>
      </c>
      <c r="B78" s="6" t="s">
        <v>92</v>
      </c>
      <c r="C78" s="6">
        <v>-0.81771422432288199</v>
      </c>
      <c r="D78" s="6">
        <v>-2.8611111610855368E-2</v>
      </c>
      <c r="E78" s="6">
        <v>-2.3867358044049911E-2</v>
      </c>
      <c r="F78" s="6">
        <v>1.2822876427418053E-2</v>
      </c>
      <c r="G78" s="6">
        <v>0.17513693199965991</v>
      </c>
      <c r="H78" s="6">
        <v>0.30259202237587313</v>
      </c>
      <c r="I78" s="6">
        <v>-1.2939007534720735</v>
      </c>
      <c r="J78" s="6">
        <v>-0.6602990797016397</v>
      </c>
      <c r="K78" s="6">
        <v>-0.15875221993233349</v>
      </c>
      <c r="L78" s="6">
        <v>0.19249453014335188</v>
      </c>
      <c r="N78" s="8">
        <f>SQRT((C78-Sheet3!$C$525)^2+(D78-Sheet3!$D$525)^2+(E78-Sheet3!$E$525)^2+(F78-Sheet3!$F$525)^2+(G78-Sheet3!$G$525)^2+(H78-Sheet3!$H$525)^2+(I78-Sheet3!$I$525)^2+(J78-Sheet3!$J$525)^2+(K78-Sheet3!$K$525)^2+(L78-Sheet3!$L$525)^2)</f>
        <v>1.8523017114626077</v>
      </c>
      <c r="O78" s="8">
        <f>SQRT((C78-Sheet3!$C$526)^2+(D78-Sheet3!$D$526)^2+(E78-Sheet3!$E$526)^2+(F78-Sheet3!$F$526)^2+(G78-Sheet3!$G$526)^2+(H78-Sheet3!$H$526)^2+(I78-Sheet3!$I$526)^2+(J78-Sheet3!$J$526)^2+(K78-Sheet3!$K$526)^2+(L78-Sheet3!$L$526)^2)</f>
        <v>3.581921756188049</v>
      </c>
      <c r="P78" s="12">
        <f t="shared" si="1"/>
        <v>0</v>
      </c>
      <c r="Q78" s="11">
        <f>IF(P78=Sheet1!M78, 1, 0)</f>
        <v>1</v>
      </c>
    </row>
    <row r="79" spans="1:17" x14ac:dyDescent="0.35">
      <c r="A79" s="6" t="s">
        <v>90</v>
      </c>
      <c r="B79" s="6" t="s">
        <v>93</v>
      </c>
      <c r="C79" s="6">
        <v>-0.81771422432288199</v>
      </c>
      <c r="D79" s="6">
        <v>-0.73445535506565218</v>
      </c>
      <c r="E79" s="6">
        <v>-0.13991083844740435</v>
      </c>
      <c r="F79" s="6">
        <v>-0.50792138899734751</v>
      </c>
      <c r="G79" s="6">
        <v>-0.48686304654837959</v>
      </c>
      <c r="H79" s="6">
        <v>-1.4845969236956047</v>
      </c>
      <c r="I79" s="6">
        <v>0.28453895156085696</v>
      </c>
      <c r="J79" s="6">
        <v>-0.91083018337906307</v>
      </c>
      <c r="K79" s="6">
        <v>-0.14153830720200797</v>
      </c>
      <c r="L79" s="6">
        <v>0.52148086640447944</v>
      </c>
      <c r="N79" s="8">
        <f>SQRT((C79-Sheet3!$C$525)^2+(D79-Sheet3!$D$525)^2+(E79-Sheet3!$E$525)^2+(F79-Sheet3!$F$525)^2+(G79-Sheet3!$G$525)^2+(H79-Sheet3!$H$525)^2+(I79-Sheet3!$I$525)^2+(J79-Sheet3!$J$525)^2+(K79-Sheet3!$K$525)^2+(L79-Sheet3!$L$525)^2)</f>
        <v>2.0435708985999606</v>
      </c>
      <c r="O79" s="8">
        <f>SQRT((C79-Sheet3!$C$526)^2+(D79-Sheet3!$D$526)^2+(E79-Sheet3!$E$526)^2+(F79-Sheet3!$F$526)^2+(G79-Sheet3!$G$526)^2+(H79-Sheet3!$H$526)^2+(I79-Sheet3!$I$526)^2+(J79-Sheet3!$J$526)^2+(K79-Sheet3!$K$526)^2+(L79-Sheet3!$L$526)^2)</f>
        <v>4.4390757889629944</v>
      </c>
      <c r="P79" s="12">
        <f t="shared" si="1"/>
        <v>0</v>
      </c>
      <c r="Q79" s="11">
        <f>IF(P79=Sheet1!M79, 1, 0)</f>
        <v>1</v>
      </c>
    </row>
    <row r="80" spans="1:17" x14ac:dyDescent="0.35">
      <c r="A80" s="6" t="s">
        <v>90</v>
      </c>
      <c r="B80" s="6" t="s">
        <v>94</v>
      </c>
      <c r="C80" s="6">
        <v>-0.35471671675817124</v>
      </c>
      <c r="D80" s="6">
        <v>0.16165994532043684</v>
      </c>
      <c r="E80" s="6">
        <v>0.49630214776400228</v>
      </c>
      <c r="F80" s="6">
        <v>0.33174022241240564</v>
      </c>
      <c r="G80" s="6">
        <v>0.45968078242820004</v>
      </c>
      <c r="H80" s="6">
        <v>0.2115628084258793</v>
      </c>
      <c r="I80" s="6">
        <v>-9.7321057855429327E-2</v>
      </c>
      <c r="J80" s="6">
        <v>-1.0322998094044806</v>
      </c>
      <c r="K80" s="6">
        <v>-4.4514435449262854E-2</v>
      </c>
      <c r="L80" s="6">
        <v>0.30453932205030315</v>
      </c>
      <c r="N80" s="8">
        <f>SQRT((C80-Sheet3!$C$525)^2+(D80-Sheet3!$D$525)^2+(E80-Sheet3!$E$525)^2+(F80-Sheet3!$F$525)^2+(G80-Sheet3!$G$525)^2+(H80-Sheet3!$H$525)^2+(I80-Sheet3!$I$525)^2+(J80-Sheet3!$J$525)^2+(K80-Sheet3!$K$525)^2+(L80-Sheet3!$L$525)^2)</f>
        <v>1.8309755121467803</v>
      </c>
      <c r="O80" s="8">
        <f>SQRT((C80-Sheet3!$C$526)^2+(D80-Sheet3!$D$526)^2+(E80-Sheet3!$E$526)^2+(F80-Sheet3!$F$526)^2+(G80-Sheet3!$G$526)^2+(H80-Sheet3!$H$526)^2+(I80-Sheet3!$I$526)^2+(J80-Sheet3!$J$526)^2+(K80-Sheet3!$K$526)^2+(L80-Sheet3!$L$526)^2)</f>
        <v>2.9392530431433963</v>
      </c>
      <c r="P80" s="12">
        <f t="shared" si="1"/>
        <v>0</v>
      </c>
      <c r="Q80" s="11">
        <f>IF(P80=Sheet1!M80, 1, 0)</f>
        <v>1</v>
      </c>
    </row>
    <row r="81" spans="1:17" x14ac:dyDescent="0.35">
      <c r="A81" s="6" t="s">
        <v>90</v>
      </c>
      <c r="B81" s="6" t="s">
        <v>95</v>
      </c>
      <c r="C81" s="6">
        <v>-0.95191640042859527</v>
      </c>
      <c r="D81" s="6">
        <v>0.87364196480527523</v>
      </c>
      <c r="E81" s="6">
        <v>0.54603506793686851</v>
      </c>
      <c r="F81" s="6">
        <v>0.62446628877543953</v>
      </c>
      <c r="G81" s="6">
        <v>0.42774218697193517</v>
      </c>
      <c r="H81" s="6">
        <v>0.98073273458322441</v>
      </c>
      <c r="I81" s="6">
        <v>0.50957498382120625</v>
      </c>
      <c r="J81" s="6">
        <v>-0.27311464674562164</v>
      </c>
      <c r="K81" s="6">
        <v>-0.74715505507801006</v>
      </c>
      <c r="L81" s="6">
        <v>0.68074315478483682</v>
      </c>
      <c r="N81" s="8">
        <f>SQRT((C81-Sheet3!$C$525)^2+(D81-Sheet3!$D$525)^2+(E81-Sheet3!$E$525)^2+(F81-Sheet3!$F$525)^2+(G81-Sheet3!$G$525)^2+(H81-Sheet3!$H$525)^2+(I81-Sheet3!$I$525)^2+(J81-Sheet3!$J$525)^2+(K81-Sheet3!$K$525)^2+(L81-Sheet3!$L$525)^2)</f>
        <v>2.9616925161542462</v>
      </c>
      <c r="O81" s="8">
        <f>SQRT((C81-Sheet3!$C$526)^2+(D81-Sheet3!$D$526)^2+(E81-Sheet3!$E$526)^2+(F81-Sheet3!$F$526)^2+(G81-Sheet3!$G$526)^2+(H81-Sheet3!$H$526)^2+(I81-Sheet3!$I$526)^2+(J81-Sheet3!$J$526)^2+(K81-Sheet3!$K$526)^2+(L81-Sheet3!$L$526)^2)</f>
        <v>1.8113334381716686</v>
      </c>
      <c r="P81" s="12">
        <f t="shared" si="1"/>
        <v>1</v>
      </c>
      <c r="Q81" s="11">
        <f>IF(P81=Sheet1!M81, 1, 0)</f>
        <v>0</v>
      </c>
    </row>
    <row r="82" spans="1:17" x14ac:dyDescent="0.35">
      <c r="A82" s="6" t="s">
        <v>90</v>
      </c>
      <c r="B82" s="6" t="s">
        <v>96</v>
      </c>
      <c r="C82" s="6">
        <v>-0.59762265550951221</v>
      </c>
      <c r="D82" s="6">
        <v>0.51151317903281446</v>
      </c>
      <c r="E82" s="6">
        <v>0.19643105872168323</v>
      </c>
      <c r="F82" s="6">
        <v>0.47656259208674795</v>
      </c>
      <c r="G82" s="6">
        <v>0.34063692663666773</v>
      </c>
      <c r="H82" s="6">
        <v>0.66886341578413333</v>
      </c>
      <c r="I82" s="6">
        <v>0.33617611477073894</v>
      </c>
      <c r="J82" s="6">
        <v>-0.29968612743868184</v>
      </c>
      <c r="K82" s="6">
        <v>-1.002233943718289</v>
      </c>
      <c r="L82" s="6">
        <v>0.6525994249314363</v>
      </c>
      <c r="N82" s="8">
        <f>SQRT((C82-Sheet3!$C$525)^2+(D82-Sheet3!$D$525)^2+(E82-Sheet3!$E$525)^2+(F82-Sheet3!$F$525)^2+(G82-Sheet3!$G$525)^2+(H82-Sheet3!$H$525)^2+(I82-Sheet3!$I$525)^2+(J82-Sheet3!$J$525)^2+(K82-Sheet3!$K$525)^2+(L82-Sheet3!$L$525)^2)</f>
        <v>2.4563711676091966</v>
      </c>
      <c r="O82" s="8">
        <f>SQRT((C82-Sheet3!$C$526)^2+(D82-Sheet3!$D$526)^2+(E82-Sheet3!$E$526)^2+(F82-Sheet3!$F$526)^2+(G82-Sheet3!$G$526)^2+(H82-Sheet3!$H$526)^2+(I82-Sheet3!$I$526)^2+(J82-Sheet3!$J$526)^2+(K82-Sheet3!$K$526)^2+(L82-Sheet3!$L$526)^2)</f>
        <v>2.1662888455188387</v>
      </c>
      <c r="P82" s="12">
        <f t="shared" si="1"/>
        <v>1</v>
      </c>
      <c r="Q82" s="11">
        <f>IF(P82=Sheet1!M82, 1, 0)</f>
        <v>0</v>
      </c>
    </row>
    <row r="83" spans="1:17" x14ac:dyDescent="0.35">
      <c r="A83" s="6" t="s">
        <v>90</v>
      </c>
      <c r="B83" s="6" t="s">
        <v>97</v>
      </c>
      <c r="C83" s="6">
        <v>-0.25138104115677207</v>
      </c>
      <c r="D83" s="6">
        <v>6.3455528839769404E-2</v>
      </c>
      <c r="E83" s="6">
        <v>-0.33847412713758857</v>
      </c>
      <c r="F83" s="6">
        <v>-3.9559682816493649E-2</v>
      </c>
      <c r="G83" s="6">
        <v>0.15190886257692218</v>
      </c>
      <c r="H83" s="6">
        <v>0.62738856682466804</v>
      </c>
      <c r="I83" s="6">
        <v>0.44837538297986518</v>
      </c>
      <c r="J83" s="6">
        <v>-1.0664631417241293</v>
      </c>
      <c r="K83" s="6">
        <v>-0.46390794560628812</v>
      </c>
      <c r="L83" s="6">
        <v>0.10005350699294799</v>
      </c>
      <c r="N83" s="8">
        <f>SQRT((C83-Sheet3!$C$525)^2+(D83-Sheet3!$D$525)^2+(E83-Sheet3!$E$525)^2+(F83-Sheet3!$F$525)^2+(G83-Sheet3!$G$525)^2+(H83-Sheet3!$H$525)^2+(I83-Sheet3!$I$525)^2+(J83-Sheet3!$J$525)^2+(K83-Sheet3!$K$525)^2+(L83-Sheet3!$L$525)^2)</f>
        <v>1.6917501784785809</v>
      </c>
      <c r="O83" s="8">
        <f>SQRT((C83-Sheet3!$C$526)^2+(D83-Sheet3!$D$526)^2+(E83-Sheet3!$E$526)^2+(F83-Sheet3!$F$526)^2+(G83-Sheet3!$G$526)^2+(H83-Sheet3!$H$526)^2+(I83-Sheet3!$I$526)^2+(J83-Sheet3!$J$526)^2+(K83-Sheet3!$K$526)^2+(L83-Sheet3!$L$526)^2)</f>
        <v>3.3553100882517168</v>
      </c>
      <c r="P83" s="12">
        <f t="shared" si="1"/>
        <v>0</v>
      </c>
      <c r="Q83" s="11">
        <f>IF(P83=Sheet1!M83, 1, 0)</f>
        <v>1</v>
      </c>
    </row>
    <row r="84" spans="1:17" x14ac:dyDescent="0.35">
      <c r="A84" s="6" t="s">
        <v>90</v>
      </c>
      <c r="B84" s="6" t="s">
        <v>98</v>
      </c>
      <c r="C84" s="6">
        <v>-0.75598122331425388</v>
      </c>
      <c r="D84" s="6">
        <v>0.77543754832460776</v>
      </c>
      <c r="E84" s="6">
        <v>0.40162540343491632</v>
      </c>
      <c r="F84" s="6">
        <v>0.56283974848848439</v>
      </c>
      <c r="G84" s="6">
        <v>0.45968078242820004</v>
      </c>
      <c r="H84" s="6">
        <v>0.70764509273324305</v>
      </c>
      <c r="I84" s="6">
        <v>0.51786242976847185</v>
      </c>
      <c r="J84" s="6">
        <v>0.59615236449877185</v>
      </c>
      <c r="K84" s="6">
        <v>-0.42322051551642675</v>
      </c>
      <c r="L84" s="6">
        <v>1.0920919066446158</v>
      </c>
      <c r="N84" s="8">
        <f>SQRT((C84-Sheet3!$C$525)^2+(D84-Sheet3!$D$525)^2+(E84-Sheet3!$E$525)^2+(F84-Sheet3!$F$525)^2+(G84-Sheet3!$G$525)^2+(H84-Sheet3!$H$525)^2+(I84-Sheet3!$I$525)^2+(J84-Sheet3!$J$525)^2+(K84-Sheet3!$K$525)^2+(L84-Sheet3!$L$525)^2)</f>
        <v>2.9207271486816899</v>
      </c>
      <c r="O84" s="8">
        <f>SQRT((C84-Sheet3!$C$526)^2+(D84-Sheet3!$D$526)^2+(E84-Sheet3!$E$526)^2+(F84-Sheet3!$F$526)^2+(G84-Sheet3!$G$526)^2+(H84-Sheet3!$H$526)^2+(I84-Sheet3!$I$526)^2+(J84-Sheet3!$J$526)^2+(K84-Sheet3!$K$526)^2+(L84-Sheet3!$L$526)^2)</f>
        <v>1.3862273178610989</v>
      </c>
      <c r="P84" s="12">
        <f t="shared" si="1"/>
        <v>1</v>
      </c>
      <c r="Q84" s="11">
        <f>IF(P84=Sheet1!M84, 1, 0)</f>
        <v>0</v>
      </c>
    </row>
    <row r="85" spans="1:17" x14ac:dyDescent="0.35">
      <c r="A85" s="6" t="s">
        <v>90</v>
      </c>
      <c r="B85" s="6" t="s">
        <v>99</v>
      </c>
      <c r="C85" s="6">
        <v>-0.68351204821716871</v>
      </c>
      <c r="D85" s="6">
        <v>-0.10840220000139807</v>
      </c>
      <c r="E85" s="6">
        <v>-0.33442181512350316</v>
      </c>
      <c r="F85" s="6">
        <v>-9.0401578553230708E-2</v>
      </c>
      <c r="G85" s="6">
        <v>0.21288254481160818</v>
      </c>
      <c r="H85" s="6">
        <v>-0.17571532666314796</v>
      </c>
      <c r="I85" s="6">
        <v>0.15193981640461729</v>
      </c>
      <c r="J85" s="6">
        <v>-0.68687056039469974</v>
      </c>
      <c r="K85" s="6">
        <v>-1.3652910122124293</v>
      </c>
      <c r="L85" s="6">
        <v>0.51813799781340963</v>
      </c>
      <c r="N85" s="8">
        <f>SQRT((C85-Sheet3!$C$525)^2+(D85-Sheet3!$D$525)^2+(E85-Sheet3!$E$525)^2+(F85-Sheet3!$F$525)^2+(G85-Sheet3!$G$525)^2+(H85-Sheet3!$H$525)^2+(I85-Sheet3!$I$525)^2+(J85-Sheet3!$J$525)^2+(K85-Sheet3!$K$525)^2+(L85-Sheet3!$L$525)^2)</f>
        <v>2.0863916598289407</v>
      </c>
      <c r="O85" s="8">
        <f>SQRT((C85-Sheet3!$C$526)^2+(D85-Sheet3!$D$526)^2+(E85-Sheet3!$E$526)^2+(F85-Sheet3!$F$526)^2+(G85-Sheet3!$G$526)^2+(H85-Sheet3!$H$526)^2+(I85-Sheet3!$I$526)^2+(J85-Sheet3!$J$526)^2+(K85-Sheet3!$K$526)^2+(L85-Sheet3!$L$526)^2)</f>
        <v>3.3508306898986757</v>
      </c>
      <c r="P85" s="12">
        <f t="shared" si="1"/>
        <v>0</v>
      </c>
      <c r="Q85" s="11">
        <f>IF(P85=Sheet1!M85, 1, 0)</f>
        <v>1</v>
      </c>
    </row>
    <row r="86" spans="1:17" x14ac:dyDescent="0.35">
      <c r="A86" s="6" t="s">
        <v>90</v>
      </c>
      <c r="B86" s="6" t="s">
        <v>100</v>
      </c>
      <c r="C86" s="6">
        <v>1.7992282097385259</v>
      </c>
      <c r="D86" s="6">
        <v>-0.36618879326314979</v>
      </c>
      <c r="E86" s="6">
        <v>-0.93747952121966571</v>
      </c>
      <c r="F86" s="6">
        <v>-0.65120309516451513</v>
      </c>
      <c r="G86" s="6">
        <v>-0.54493322010522594</v>
      </c>
      <c r="H86" s="6">
        <v>-1.1431027127826101</v>
      </c>
      <c r="I86" s="6">
        <v>0.22652682993000228</v>
      </c>
      <c r="J86" s="6">
        <v>-0.23895131442597306</v>
      </c>
      <c r="K86" s="6">
        <v>-0.60474904976349864</v>
      </c>
      <c r="L86" s="6">
        <v>-0.18712051878677075</v>
      </c>
      <c r="N86" s="8">
        <f>SQRT((C86-Sheet3!$C$525)^2+(D86-Sheet3!$D$525)^2+(E86-Sheet3!$E$525)^2+(F86-Sheet3!$F$525)^2+(G86-Sheet3!$G$525)^2+(H86-Sheet3!$H$525)^2+(I86-Sheet3!$I$525)^2+(J86-Sheet3!$J$525)^2+(K86-Sheet3!$K$525)^2+(L86-Sheet3!$L$525)^2)</f>
        <v>2.1676274463135621</v>
      </c>
      <c r="O86" s="8">
        <f>SQRT((C86-Sheet3!$C$526)^2+(D86-Sheet3!$D$526)^2+(E86-Sheet3!$E$526)^2+(F86-Sheet3!$F$526)^2+(G86-Sheet3!$G$526)^2+(H86-Sheet3!$H$526)^2+(I86-Sheet3!$I$526)^2+(J86-Sheet3!$J$526)^2+(K86-Sheet3!$K$526)^2+(L86-Sheet3!$L$526)^2)</f>
        <v>5.0131609784221052</v>
      </c>
      <c r="P86" s="12">
        <f t="shared" si="1"/>
        <v>0</v>
      </c>
      <c r="Q86" s="11">
        <f>IF(P86=Sheet1!M86, 1, 0)</f>
        <v>0</v>
      </c>
    </row>
    <row r="87" spans="1:17" x14ac:dyDescent="0.35">
      <c r="A87" s="6" t="s">
        <v>90</v>
      </c>
      <c r="B87" s="6" t="s">
        <v>101</v>
      </c>
      <c r="C87" s="6">
        <v>-1.2672915142770214</v>
      </c>
      <c r="D87" s="6">
        <v>2.1380238269938676</v>
      </c>
      <c r="E87" s="6">
        <v>1.4865398472059601</v>
      </c>
      <c r="F87" s="6">
        <v>1.7953705542275709</v>
      </c>
      <c r="G87" s="6">
        <v>0.79939129773574702</v>
      </c>
      <c r="H87" s="6">
        <v>1.0275939275633992</v>
      </c>
      <c r="I87" s="6">
        <v>0.86848514292199042</v>
      </c>
      <c r="J87" s="6">
        <v>1.2262760495056246</v>
      </c>
      <c r="K87" s="6">
        <v>-1.2291446115271272</v>
      </c>
      <c r="L87" s="6">
        <v>1.0584372620071461</v>
      </c>
      <c r="N87" s="8">
        <f>SQRT((C87-Sheet3!$C$525)^2+(D87-Sheet3!$D$525)^2+(E87-Sheet3!$E$525)^2+(F87-Sheet3!$F$525)^2+(G87-Sheet3!$G$525)^2+(H87-Sheet3!$H$525)^2+(I87-Sheet3!$I$525)^2+(J87-Sheet3!$J$525)^2+(K87-Sheet3!$K$525)^2+(L87-Sheet3!$L$525)^2)</f>
        <v>5.13841659144712</v>
      </c>
      <c r="O87" s="8">
        <f>SQRT((C87-Sheet3!$C$526)^2+(D87-Sheet3!$D$526)^2+(E87-Sheet3!$E$526)^2+(F87-Sheet3!$F$526)^2+(G87-Sheet3!$G$526)^2+(H87-Sheet3!$H$526)^2+(I87-Sheet3!$I$526)^2+(J87-Sheet3!$J$526)^2+(K87-Sheet3!$K$526)^2+(L87-Sheet3!$L$526)^2)</f>
        <v>1.5358769741572063</v>
      </c>
      <c r="P87" s="12">
        <f t="shared" si="1"/>
        <v>1</v>
      </c>
      <c r="Q87" s="11">
        <f>IF(P87=Sheet1!M87, 1, 0)</f>
        <v>0</v>
      </c>
    </row>
    <row r="88" spans="1:17" x14ac:dyDescent="0.35">
      <c r="A88" s="6" t="s">
        <v>90</v>
      </c>
      <c r="B88" s="6" t="s">
        <v>102</v>
      </c>
      <c r="C88" s="6">
        <v>-1.1881122303746505</v>
      </c>
      <c r="D88" s="6">
        <v>1.0454996936464438</v>
      </c>
      <c r="E88" s="6">
        <v>0.55008737995095391</v>
      </c>
      <c r="F88" s="6">
        <v>0.74309737882782601</v>
      </c>
      <c r="G88" s="6">
        <v>0.3841895568043035</v>
      </c>
      <c r="H88" s="6">
        <v>1.0679915077187219</v>
      </c>
      <c r="I88" s="6">
        <v>0.49236259608457922</v>
      </c>
      <c r="J88" s="6">
        <v>0.46709088684676592</v>
      </c>
      <c r="K88" s="6">
        <v>-0.71272722961735901</v>
      </c>
      <c r="L88" s="6">
        <v>8.5763612998881494E-2</v>
      </c>
      <c r="N88" s="8">
        <f>SQRT((C88-Sheet3!$C$525)^2+(D88-Sheet3!$D$525)^2+(E88-Sheet3!$E$525)^2+(F88-Sheet3!$F$525)^2+(G88-Sheet3!$G$525)^2+(H88-Sheet3!$H$525)^2+(I88-Sheet3!$I$525)^2+(J88-Sheet3!$J$525)^2+(K88-Sheet3!$K$525)^2+(L88-Sheet3!$L$525)^2)</f>
        <v>3.1740164756604186</v>
      </c>
      <c r="O88" s="8">
        <f>SQRT((C88-Sheet3!$C$526)^2+(D88-Sheet3!$D$526)^2+(E88-Sheet3!$E$526)^2+(F88-Sheet3!$F$526)^2+(G88-Sheet3!$G$526)^2+(H88-Sheet3!$H$526)^2+(I88-Sheet3!$I$526)^2+(J88-Sheet3!$J$526)^2+(K88-Sheet3!$K$526)^2+(L88-Sheet3!$L$526)^2)</f>
        <v>1.5042003324034598</v>
      </c>
      <c r="P88" s="12">
        <f t="shared" si="1"/>
        <v>1</v>
      </c>
      <c r="Q88" s="11">
        <f>IF(P88=Sheet1!M88, 1, 0)</f>
        <v>0</v>
      </c>
    </row>
    <row r="89" spans="1:17" x14ac:dyDescent="0.35">
      <c r="A89" s="6" t="s">
        <v>103</v>
      </c>
      <c r="B89" s="6" t="s">
        <v>104</v>
      </c>
      <c r="C89" s="6">
        <v>-0.61238489488114067</v>
      </c>
      <c r="D89" s="6">
        <v>7.5731080899853642E-2</v>
      </c>
      <c r="E89" s="6">
        <v>-5.1865150141367167E-2</v>
      </c>
      <c r="F89" s="6">
        <v>0.23467842146045328</v>
      </c>
      <c r="G89" s="6">
        <v>9.9645706375759216E-2</v>
      </c>
      <c r="H89" s="6">
        <v>-0.58615474104122733</v>
      </c>
      <c r="I89" s="6">
        <v>-0.67234230742719958</v>
      </c>
      <c r="J89" s="6">
        <v>-1.0398916610310691</v>
      </c>
      <c r="K89" s="6">
        <v>0.22464856360673757</v>
      </c>
      <c r="L89" s="6">
        <v>-0.31592932110732297</v>
      </c>
      <c r="N89" s="8">
        <f>SQRT((C89-Sheet3!$C$525)^2+(D89-Sheet3!$D$525)^2+(E89-Sheet3!$E$525)^2+(F89-Sheet3!$F$525)^2+(G89-Sheet3!$G$525)^2+(H89-Sheet3!$H$525)^2+(I89-Sheet3!$I$525)^2+(J89-Sheet3!$J$525)^2+(K89-Sheet3!$K$525)^2+(L89-Sheet3!$L$525)^2)</f>
        <v>1.5199670075885916</v>
      </c>
      <c r="O89" s="8">
        <f>SQRT((C89-Sheet3!$C$526)^2+(D89-Sheet3!$D$526)^2+(E89-Sheet3!$E$526)^2+(F89-Sheet3!$F$526)^2+(G89-Sheet3!$G$526)^2+(H89-Sheet3!$H$526)^2+(I89-Sheet3!$I$526)^2+(J89-Sheet3!$J$526)^2+(K89-Sheet3!$K$526)^2+(L89-Sheet3!$L$526)^2)</f>
        <v>3.799655290718738</v>
      </c>
      <c r="P89" s="12">
        <f t="shared" si="1"/>
        <v>0</v>
      </c>
      <c r="Q89" s="11">
        <f>IF(P89=Sheet1!M89, 1, 0)</f>
        <v>1</v>
      </c>
    </row>
    <row r="90" spans="1:17" x14ac:dyDescent="0.35">
      <c r="A90" s="6" t="s">
        <v>103</v>
      </c>
      <c r="B90" s="6" t="s">
        <v>105</v>
      </c>
      <c r="C90" s="6">
        <v>-0.42450184833314225</v>
      </c>
      <c r="D90" s="6">
        <v>-0.32936213708289924</v>
      </c>
      <c r="E90" s="6">
        <v>2.0339682109608917E-2</v>
      </c>
      <c r="F90" s="6">
        <v>-6.1128971916927753E-2</v>
      </c>
      <c r="G90" s="6">
        <v>0.47419832581741478</v>
      </c>
      <c r="H90" s="6">
        <v>-0.33030340005751657</v>
      </c>
      <c r="I90" s="6">
        <v>-1.0344399457384701</v>
      </c>
      <c r="J90" s="6">
        <v>-8.7114281894201118E-2</v>
      </c>
      <c r="K90" s="6">
        <v>6.0333942089991231E-2</v>
      </c>
      <c r="L90" s="6">
        <v>-0.24222339812200383</v>
      </c>
      <c r="N90" s="8">
        <f>SQRT((C90-Sheet3!$C$525)^2+(D90-Sheet3!$D$525)^2+(E90-Sheet3!$E$525)^2+(F90-Sheet3!$F$525)^2+(G90-Sheet3!$G$525)^2+(H90-Sheet3!$H$525)^2+(I90-Sheet3!$I$525)^2+(J90-Sheet3!$J$525)^2+(K90-Sheet3!$K$525)^2+(L90-Sheet3!$L$525)^2)</f>
        <v>1.40114611067673</v>
      </c>
      <c r="O90" s="8">
        <f>SQRT((C90-Sheet3!$C$526)^2+(D90-Sheet3!$D$526)^2+(E90-Sheet3!$E$526)^2+(F90-Sheet3!$F$526)^2+(G90-Sheet3!$G$526)^2+(H90-Sheet3!$H$526)^2+(I90-Sheet3!$I$526)^2+(J90-Sheet3!$J$526)^2+(K90-Sheet3!$K$526)^2+(L90-Sheet3!$L$526)^2)</f>
        <v>3.5393890620141373</v>
      </c>
      <c r="P90" s="12">
        <f t="shared" si="1"/>
        <v>0</v>
      </c>
      <c r="Q90" s="11">
        <f>IF(P90=Sheet1!M90, 1, 0)</f>
        <v>1</v>
      </c>
    </row>
    <row r="91" spans="1:17" x14ac:dyDescent="0.35">
      <c r="A91" s="6" t="s">
        <v>103</v>
      </c>
      <c r="B91" s="6" t="s">
        <v>106</v>
      </c>
      <c r="C91" s="6">
        <v>-0.45671037059851349</v>
      </c>
      <c r="D91" s="6">
        <v>-0.24343327266231607</v>
      </c>
      <c r="E91" s="6">
        <v>0.54050918791766112</v>
      </c>
      <c r="F91" s="6">
        <v>4.9798800599589861E-2</v>
      </c>
      <c r="G91" s="6">
        <v>-0.12973147917378247</v>
      </c>
      <c r="H91" s="6">
        <v>-6.3140736630315067E-2</v>
      </c>
      <c r="I91" s="6">
        <v>-0.9675028823182531</v>
      </c>
      <c r="J91" s="6">
        <v>0.17480459922310504</v>
      </c>
      <c r="K91" s="6">
        <v>-0.72055173540387019</v>
      </c>
      <c r="L91" s="6">
        <v>-0.22078396022690097</v>
      </c>
      <c r="N91" s="8">
        <f>SQRT((C91-Sheet3!$C$525)^2+(D91-Sheet3!$D$525)^2+(E91-Sheet3!$E$525)^2+(F91-Sheet3!$F$525)^2+(G91-Sheet3!$G$525)^2+(H91-Sheet3!$H$525)^2+(I91-Sheet3!$I$525)^2+(J91-Sheet3!$J$525)^2+(K91-Sheet3!$K$525)^2+(L91-Sheet3!$L$525)^2)</f>
        <v>1.7674019798371527</v>
      </c>
      <c r="O91" s="8">
        <f>SQRT((C91-Sheet3!$C$526)^2+(D91-Sheet3!$D$526)^2+(E91-Sheet3!$E$526)^2+(F91-Sheet3!$F$526)^2+(G91-Sheet3!$G$526)^2+(H91-Sheet3!$H$526)^2+(I91-Sheet3!$I$526)^2+(J91-Sheet3!$J$526)^2+(K91-Sheet3!$K$526)^2+(L91-Sheet3!$L$526)^2)</f>
        <v>3.1924373075216752</v>
      </c>
      <c r="P91" s="12">
        <f t="shared" si="1"/>
        <v>0</v>
      </c>
      <c r="Q91" s="11">
        <f>IF(P91=Sheet1!M91, 1, 0)</f>
        <v>1</v>
      </c>
    </row>
    <row r="92" spans="1:17" x14ac:dyDescent="0.35">
      <c r="A92" s="6" t="s">
        <v>103</v>
      </c>
      <c r="B92" s="6" t="s">
        <v>107</v>
      </c>
      <c r="C92" s="6">
        <v>-0.29835180279377166</v>
      </c>
      <c r="D92" s="6">
        <v>-0.19433106442198234</v>
      </c>
      <c r="E92" s="6">
        <v>-0.10786073433600168</v>
      </c>
      <c r="F92" s="6">
        <v>2.8229511499155757E-2</v>
      </c>
      <c r="G92" s="6">
        <v>0.2854702617576651</v>
      </c>
      <c r="H92" s="6">
        <v>0.13346082012558927</v>
      </c>
      <c r="I92" s="6">
        <v>-0.76860417958389315</v>
      </c>
      <c r="J92" s="6">
        <v>-0.30348205325197602</v>
      </c>
      <c r="K92" s="6">
        <v>-0.10241577826944974</v>
      </c>
      <c r="L92" s="6">
        <v>-0.20357774854321795</v>
      </c>
      <c r="N92" s="8">
        <f>SQRT((C92-Sheet3!$C$525)^2+(D92-Sheet3!$D$525)^2+(E92-Sheet3!$E$525)^2+(F92-Sheet3!$F$525)^2+(G92-Sheet3!$G$525)^2+(H92-Sheet3!$H$525)^2+(I92-Sheet3!$I$525)^2+(J92-Sheet3!$J$525)^2+(K92-Sheet3!$K$525)^2+(L92-Sheet3!$L$525)^2)</f>
        <v>1.1485533884396371</v>
      </c>
      <c r="O92" s="8">
        <f>SQRT((C92-Sheet3!$C$526)^2+(D92-Sheet3!$D$526)^2+(E92-Sheet3!$E$526)^2+(F92-Sheet3!$F$526)^2+(G92-Sheet3!$G$526)^2+(H92-Sheet3!$H$526)^2+(I92-Sheet3!$I$526)^2+(J92-Sheet3!$J$526)^2+(K92-Sheet3!$K$526)^2+(L92-Sheet3!$L$526)^2)</f>
        <v>3.3522851359658454</v>
      </c>
      <c r="P92" s="12">
        <f t="shared" si="1"/>
        <v>0</v>
      </c>
      <c r="Q92" s="11">
        <f>IF(P92=Sheet1!M92, 1, 0)</f>
        <v>1</v>
      </c>
    </row>
    <row r="93" spans="1:17" x14ac:dyDescent="0.35">
      <c r="A93" s="6" t="s">
        <v>103</v>
      </c>
      <c r="B93" s="6" t="s">
        <v>108</v>
      </c>
      <c r="C93" s="6">
        <v>-1.0391478148973088</v>
      </c>
      <c r="D93" s="6">
        <v>8.8006632959936798E-2</v>
      </c>
      <c r="E93" s="6">
        <v>-0.55250987988155342</v>
      </c>
      <c r="F93" s="6">
        <v>-5.8047644902580652E-2</v>
      </c>
      <c r="G93" s="6">
        <v>0.48290885185093779</v>
      </c>
      <c r="H93" s="6">
        <v>0.64462486769093952</v>
      </c>
      <c r="I93" s="6">
        <v>-0.28538233127413493</v>
      </c>
      <c r="J93" s="6">
        <v>0.20137607991616521</v>
      </c>
      <c r="K93" s="6">
        <v>-1.0460511761227544</v>
      </c>
      <c r="L93" s="6">
        <v>-0.10692115547176984</v>
      </c>
      <c r="N93" s="8">
        <f>SQRT((C93-Sheet3!$C$525)^2+(D93-Sheet3!$D$525)^2+(E93-Sheet3!$E$525)^2+(F93-Sheet3!$F$525)^2+(G93-Sheet3!$G$525)^2+(H93-Sheet3!$H$525)^2+(I93-Sheet3!$I$525)^2+(J93-Sheet3!$J$525)^2+(K93-Sheet3!$K$525)^2+(L93-Sheet3!$L$525)^2)</f>
        <v>2.2325322416523274</v>
      </c>
      <c r="O93" s="8">
        <f>SQRT((C93-Sheet3!$C$526)^2+(D93-Sheet3!$D$526)^2+(E93-Sheet3!$E$526)^2+(F93-Sheet3!$F$526)^2+(G93-Sheet3!$G$526)^2+(H93-Sheet3!$H$526)^2+(I93-Sheet3!$I$526)^2+(J93-Sheet3!$J$526)^2+(K93-Sheet3!$K$526)^2+(L93-Sheet3!$L$526)^2)</f>
        <v>3.0006389320692111</v>
      </c>
      <c r="P93" s="12">
        <f t="shared" si="1"/>
        <v>0</v>
      </c>
      <c r="Q93" s="11">
        <f>IF(P93=Sheet1!M93, 1, 0)</f>
        <v>1</v>
      </c>
    </row>
    <row r="94" spans="1:17" x14ac:dyDescent="0.35">
      <c r="A94" s="6" t="s">
        <v>103</v>
      </c>
      <c r="B94" s="6" t="s">
        <v>109</v>
      </c>
      <c r="C94" s="6">
        <v>-0.11852088681211596</v>
      </c>
      <c r="D94" s="6">
        <v>-0.93086418802698701</v>
      </c>
      <c r="E94" s="6">
        <v>-0.42799338344874771</v>
      </c>
      <c r="F94" s="6">
        <v>-0.77291551223125099</v>
      </c>
      <c r="G94" s="6">
        <v>-0.96303846971451312</v>
      </c>
      <c r="H94" s="6">
        <v>-0.37339415222319405</v>
      </c>
      <c r="I94" s="6">
        <v>4.9302985826950987E-2</v>
      </c>
      <c r="J94" s="6">
        <v>-1.3283820228414356</v>
      </c>
      <c r="K94" s="6">
        <v>0.27472540064041101</v>
      </c>
      <c r="L94" s="6">
        <v>-9.7770955368502291E-2</v>
      </c>
      <c r="N94" s="8">
        <f>SQRT((C94-Sheet3!$C$525)^2+(D94-Sheet3!$D$525)^2+(E94-Sheet3!$E$525)^2+(F94-Sheet3!$F$525)^2+(G94-Sheet3!$G$525)^2+(H94-Sheet3!$H$525)^2+(I94-Sheet3!$I$525)^2+(J94-Sheet3!$J$525)^2+(K94-Sheet3!$K$525)^2+(L94-Sheet3!$L$525)^2)</f>
        <v>1.4808184507807272</v>
      </c>
      <c r="O94" s="8">
        <f>SQRT((C94-Sheet3!$C$526)^2+(D94-Sheet3!$D$526)^2+(E94-Sheet3!$E$526)^2+(F94-Sheet3!$F$526)^2+(G94-Sheet3!$G$526)^2+(H94-Sheet3!$H$526)^2+(I94-Sheet3!$I$526)^2+(J94-Sheet3!$J$526)^2+(K94-Sheet3!$K$526)^2+(L94-Sheet3!$L$526)^2)</f>
        <v>4.8904672376568765</v>
      </c>
      <c r="P94" s="12">
        <f t="shared" si="1"/>
        <v>0</v>
      </c>
      <c r="Q94" s="11">
        <f>IF(P94=Sheet1!M94, 1, 0)</f>
        <v>1</v>
      </c>
    </row>
    <row r="95" spans="1:17" x14ac:dyDescent="0.35">
      <c r="A95" s="6" t="s">
        <v>103</v>
      </c>
      <c r="B95" s="6" t="s">
        <v>110</v>
      </c>
      <c r="C95" s="6">
        <v>-0.2044102795197725</v>
      </c>
      <c r="D95" s="6">
        <v>-0.26798437678248238</v>
      </c>
      <c r="E95" s="6">
        <v>-0.23053527076240493</v>
      </c>
      <c r="F95" s="6">
        <v>-0.27219987239974702</v>
      </c>
      <c r="G95" s="6">
        <v>-0.43169638166937696</v>
      </c>
      <c r="H95" s="6">
        <v>0.25249902298327331</v>
      </c>
      <c r="I95" s="6">
        <v>0.42223805345387583</v>
      </c>
      <c r="J95" s="6">
        <v>-0.96017721895188901</v>
      </c>
      <c r="K95" s="6">
        <v>0.69255400964013314</v>
      </c>
      <c r="L95" s="6">
        <v>0.18830844309298225</v>
      </c>
      <c r="N95" s="8">
        <f>SQRT((C95-Sheet3!$C$525)^2+(D95-Sheet3!$D$525)^2+(E95-Sheet3!$E$525)^2+(F95-Sheet3!$F$525)^2+(G95-Sheet3!$G$525)^2+(H95-Sheet3!$H$525)^2+(I95-Sheet3!$I$525)^2+(J95-Sheet3!$J$525)^2+(K95-Sheet3!$K$525)^2+(L95-Sheet3!$L$525)^2)</f>
        <v>1.2944128093674772</v>
      </c>
      <c r="O95" s="8">
        <f>SQRT((C95-Sheet3!$C$526)^2+(D95-Sheet3!$D$526)^2+(E95-Sheet3!$E$526)^2+(F95-Sheet3!$F$526)^2+(G95-Sheet3!$G$526)^2+(H95-Sheet3!$H$526)^2+(I95-Sheet3!$I$526)^2+(J95-Sheet3!$J$526)^2+(K95-Sheet3!$K$526)^2+(L95-Sheet3!$L$526)^2)</f>
        <v>3.8663569356685898</v>
      </c>
      <c r="P95" s="12">
        <f t="shared" si="1"/>
        <v>0</v>
      </c>
      <c r="Q95" s="11">
        <f>IF(P95=Sheet1!M95, 1, 0)</f>
        <v>1</v>
      </c>
    </row>
    <row r="96" spans="1:17" x14ac:dyDescent="0.35">
      <c r="A96" s="6" t="s">
        <v>103</v>
      </c>
      <c r="B96" s="6" t="s">
        <v>111</v>
      </c>
      <c r="C96" s="6">
        <v>-0.75061313627002535</v>
      </c>
      <c r="D96" s="6">
        <v>-0.5196331940141925</v>
      </c>
      <c r="E96" s="6">
        <v>8.1492754322170291E-2</v>
      </c>
      <c r="F96" s="6">
        <v>-8.8860915046058253E-2</v>
      </c>
      <c r="G96" s="6">
        <v>0.10545272373144261</v>
      </c>
      <c r="H96" s="6">
        <v>0.33275554889184755</v>
      </c>
      <c r="I96" s="6">
        <v>-0.9668653864761555</v>
      </c>
      <c r="J96" s="6">
        <v>-0.84629944455306005</v>
      </c>
      <c r="K96" s="6">
        <v>0.18552603467417933</v>
      </c>
      <c r="L96" s="6">
        <v>-0.23750498958807276</v>
      </c>
      <c r="N96" s="8">
        <f>SQRT((C96-Sheet3!$C$525)^2+(D96-Sheet3!$D$525)^2+(E96-Sheet3!$E$525)^2+(F96-Sheet3!$F$525)^2+(G96-Sheet3!$G$525)^2+(H96-Sheet3!$H$525)^2+(I96-Sheet3!$I$525)^2+(J96-Sheet3!$J$525)^2+(K96-Sheet3!$K$525)^2+(L96-Sheet3!$L$525)^2)</f>
        <v>1.5772693541902647</v>
      </c>
      <c r="O96" s="8">
        <f>SQRT((C96-Sheet3!$C$526)^2+(D96-Sheet3!$D$526)^2+(E96-Sheet3!$E$526)^2+(F96-Sheet3!$F$526)^2+(G96-Sheet3!$G$526)^2+(H96-Sheet3!$H$526)^2+(I96-Sheet3!$I$526)^2+(J96-Sheet3!$J$526)^2+(K96-Sheet3!$K$526)^2+(L96-Sheet3!$L$526)^2)</f>
        <v>3.855847942126633</v>
      </c>
      <c r="P96" s="12">
        <f t="shared" si="1"/>
        <v>0</v>
      </c>
      <c r="Q96" s="11">
        <f>IF(P96=Sheet1!M96, 1, 0)</f>
        <v>1</v>
      </c>
    </row>
    <row r="97" spans="1:17" x14ac:dyDescent="0.35">
      <c r="A97" s="6" t="s">
        <v>103</v>
      </c>
      <c r="B97" s="6" t="s">
        <v>112</v>
      </c>
      <c r="C97" s="6">
        <v>-0.81100411551759621</v>
      </c>
      <c r="D97" s="6">
        <v>-9.6126647941314911E-2</v>
      </c>
      <c r="E97" s="6">
        <v>0.49556536376144134</v>
      </c>
      <c r="F97" s="6">
        <v>3.4392165527852153E-2</v>
      </c>
      <c r="G97" s="6">
        <v>-0.53041567671601542</v>
      </c>
      <c r="H97" s="6">
        <v>2.0347595690685127E-2</v>
      </c>
      <c r="I97" s="6">
        <v>-0.73354190826854149</v>
      </c>
      <c r="J97" s="6">
        <v>0.30386607687511136</v>
      </c>
      <c r="K97" s="6">
        <v>-0.92085908353856849</v>
      </c>
      <c r="L97" s="6">
        <v>-0.18451459659245587</v>
      </c>
      <c r="N97" s="8">
        <f>SQRT((C97-Sheet3!$C$525)^2+(D97-Sheet3!$D$525)^2+(E97-Sheet3!$E$525)^2+(F97-Sheet3!$F$525)^2+(G97-Sheet3!$G$525)^2+(H97-Sheet3!$H$525)^2+(I97-Sheet3!$I$525)^2+(J97-Sheet3!$J$525)^2+(K97-Sheet3!$K$525)^2+(L97-Sheet3!$L$525)^2)</f>
        <v>2.0028686148325172</v>
      </c>
      <c r="O97" s="8">
        <f>SQRT((C97-Sheet3!$C$526)^2+(D97-Sheet3!$D$526)^2+(E97-Sheet3!$E$526)^2+(F97-Sheet3!$F$526)^2+(G97-Sheet3!$G$526)^2+(H97-Sheet3!$H$526)^2+(I97-Sheet3!$I$526)^2+(J97-Sheet3!$J$526)^2+(K97-Sheet3!$K$526)^2+(L97-Sheet3!$L$526)^2)</f>
        <v>3.1294762425950622</v>
      </c>
      <c r="P97" s="12">
        <f t="shared" si="1"/>
        <v>0</v>
      </c>
      <c r="Q97" s="11">
        <f>IF(P97=Sheet1!M97, 1, 0)</f>
        <v>1</v>
      </c>
    </row>
    <row r="98" spans="1:17" x14ac:dyDescent="0.35">
      <c r="A98" s="6" t="s">
        <v>103</v>
      </c>
      <c r="B98" s="6" t="s">
        <v>113</v>
      </c>
      <c r="C98" s="6">
        <v>-0.43658004418265645</v>
      </c>
      <c r="D98" s="6">
        <v>1.6961039528308641</v>
      </c>
      <c r="E98" s="6">
        <v>0.70554880449132074</v>
      </c>
      <c r="F98" s="6">
        <v>1.4163673314628027</v>
      </c>
      <c r="G98" s="6">
        <v>0.88649655807101446</v>
      </c>
      <c r="H98" s="6">
        <v>0.86277180052968216</v>
      </c>
      <c r="I98" s="6">
        <v>0.68169886118747913</v>
      </c>
      <c r="J98" s="6">
        <v>2.1259104672563729</v>
      </c>
      <c r="K98" s="6">
        <v>-0.99284453677447571</v>
      </c>
      <c r="L98" s="6">
        <v>-5.1163363581219333E-2</v>
      </c>
      <c r="N98" s="8">
        <f>SQRT((C98-Sheet3!$C$525)^2+(D98-Sheet3!$D$525)^2+(E98-Sheet3!$E$525)^2+(F98-Sheet3!$F$525)^2+(G98-Sheet3!$G$525)^2+(H98-Sheet3!$H$525)^2+(I98-Sheet3!$I$525)^2+(J98-Sheet3!$J$525)^2+(K98-Sheet3!$K$525)^2+(L98-Sheet3!$L$525)^2)</f>
        <v>4.4388999591454885</v>
      </c>
      <c r="O98" s="8">
        <f>SQRT((C98-Sheet3!$C$526)^2+(D98-Sheet3!$D$526)^2+(E98-Sheet3!$E$526)^2+(F98-Sheet3!$F$526)^2+(G98-Sheet3!$G$526)^2+(H98-Sheet3!$H$526)^2+(I98-Sheet3!$I$526)^2+(J98-Sheet3!$J$526)^2+(K98-Sheet3!$K$526)^2+(L98-Sheet3!$L$526)^2)</f>
        <v>1.574915760053784</v>
      </c>
      <c r="P98" s="12">
        <f t="shared" si="1"/>
        <v>1</v>
      </c>
      <c r="Q98" s="11">
        <f>IF(P98=Sheet1!M98, 1, 0)</f>
        <v>0</v>
      </c>
    </row>
    <row r="99" spans="1:17" x14ac:dyDescent="0.35">
      <c r="A99" s="6" t="s">
        <v>103</v>
      </c>
      <c r="B99" s="6" t="s">
        <v>114</v>
      </c>
      <c r="C99" s="6">
        <v>-1.1894542521357077</v>
      </c>
      <c r="D99" s="6">
        <v>1.1621174382172359</v>
      </c>
      <c r="E99" s="6">
        <v>4.7600690204365192E-2</v>
      </c>
      <c r="F99" s="6">
        <v>0.889460412009343</v>
      </c>
      <c r="G99" s="6">
        <v>0.74132112417890061</v>
      </c>
      <c r="H99" s="6">
        <v>-0.17032898264243782</v>
      </c>
      <c r="I99" s="6">
        <v>0.34510105656010126</v>
      </c>
      <c r="J99" s="6">
        <v>-0.78176870572705714</v>
      </c>
      <c r="K99" s="6">
        <v>-0.71116232846005589</v>
      </c>
      <c r="L99" s="6">
        <v>-0.35929480008127723</v>
      </c>
      <c r="N99" s="8">
        <f>SQRT((C99-Sheet3!$C$525)^2+(D99-Sheet3!$D$525)^2+(E99-Sheet3!$E$525)^2+(F99-Sheet3!$F$525)^2+(G99-Sheet3!$G$525)^2+(H99-Sheet3!$H$525)^2+(I99-Sheet3!$I$525)^2+(J99-Sheet3!$J$525)^2+(K99-Sheet3!$K$525)^2+(L99-Sheet3!$L$525)^2)</f>
        <v>2.8888306974712927</v>
      </c>
      <c r="O99" s="8">
        <f>SQRT((C99-Sheet3!$C$526)^2+(D99-Sheet3!$D$526)^2+(E99-Sheet3!$E$526)^2+(F99-Sheet3!$F$526)^2+(G99-Sheet3!$G$526)^2+(H99-Sheet3!$H$526)^2+(I99-Sheet3!$I$526)^2+(J99-Sheet3!$J$526)^2+(K99-Sheet3!$K$526)^2+(L99-Sheet3!$L$526)^2)</f>
        <v>2.7346483925141025</v>
      </c>
      <c r="P99" s="12">
        <f t="shared" si="1"/>
        <v>1</v>
      </c>
      <c r="Q99" s="11">
        <f>IF(P99=Sheet1!M99, 1, 0)</f>
        <v>0</v>
      </c>
    </row>
    <row r="100" spans="1:17" x14ac:dyDescent="0.35">
      <c r="A100" s="6" t="s">
        <v>115</v>
      </c>
      <c r="B100" s="6" t="s">
        <v>116</v>
      </c>
      <c r="C100" s="6">
        <v>4.6547789797911132E-2</v>
      </c>
      <c r="D100" s="6">
        <v>0.16779772135047949</v>
      </c>
      <c r="E100" s="6">
        <v>-0.10491359832575776</v>
      </c>
      <c r="F100" s="6">
        <v>-5.0344327366711801E-2</v>
      </c>
      <c r="G100" s="6">
        <v>-0.41137182092448304</v>
      </c>
      <c r="H100" s="6">
        <v>0.2972056783551637</v>
      </c>
      <c r="I100" s="6">
        <v>-0.2139827969592363</v>
      </c>
      <c r="J100" s="6">
        <v>-0.18580835303985271</v>
      </c>
      <c r="K100" s="6">
        <v>7.7547854820316758E-2</v>
      </c>
      <c r="L100" s="6">
        <v>-0.24759592520056087</v>
      </c>
      <c r="N100" s="8">
        <f>SQRT((C100-Sheet3!$C$525)^2+(D100-Sheet3!$D$525)^2+(E100-Sheet3!$E$525)^2+(F100-Sheet3!$F$525)^2+(G100-Sheet3!$G$525)^2+(H100-Sheet3!$H$525)^2+(I100-Sheet3!$I$525)^2+(J100-Sheet3!$J$525)^2+(K100-Sheet3!$K$525)^2+(L100-Sheet3!$L$525)^2)</f>
        <v>0.8794084776488853</v>
      </c>
      <c r="O100" s="8">
        <f>SQRT((C100-Sheet3!$C$526)^2+(D100-Sheet3!$D$526)^2+(E100-Sheet3!$E$526)^2+(F100-Sheet3!$F$526)^2+(G100-Sheet3!$G$526)^2+(H100-Sheet3!$H$526)^2+(I100-Sheet3!$I$526)^2+(J100-Sheet3!$J$526)^2+(K100-Sheet3!$K$526)^2+(L100-Sheet3!$L$526)^2)</f>
        <v>3.2840764195329779</v>
      </c>
      <c r="P100" s="12">
        <f t="shared" si="1"/>
        <v>0</v>
      </c>
      <c r="Q100" s="11">
        <f>IF(P100=Sheet1!M100, 1, 0)</f>
        <v>1</v>
      </c>
    </row>
    <row r="101" spans="1:17" x14ac:dyDescent="0.35">
      <c r="A101" s="6" t="s">
        <v>115</v>
      </c>
      <c r="B101" s="6" t="s">
        <v>117</v>
      </c>
      <c r="C101" s="6">
        <v>0.32300427257568043</v>
      </c>
      <c r="D101" s="6">
        <v>-0.85107309963644484</v>
      </c>
      <c r="E101" s="6">
        <v>0.15848668258979276</v>
      </c>
      <c r="F101" s="6">
        <v>-0.42472555960995823</v>
      </c>
      <c r="G101" s="6">
        <v>-0.28652094777726311</v>
      </c>
      <c r="H101" s="6">
        <v>-0.49081645187466505</v>
      </c>
      <c r="I101" s="6">
        <v>-0.38993164937809321</v>
      </c>
      <c r="J101" s="6">
        <v>-0.7779727799137629</v>
      </c>
      <c r="K101" s="6">
        <v>3.3730622415853596E-2</v>
      </c>
      <c r="L101" s="6">
        <v>-2.2035854481114451E-2</v>
      </c>
      <c r="N101" s="8">
        <f>SQRT((C101-Sheet3!$C$525)^2+(D101-Sheet3!$D$525)^2+(E101-Sheet3!$E$525)^2+(F101-Sheet3!$F$525)^2+(G101-Sheet3!$G$525)^2+(H101-Sheet3!$H$525)^2+(I101-Sheet3!$I$525)^2+(J101-Sheet3!$J$525)^2+(K101-Sheet3!$K$525)^2+(L101-Sheet3!$L$525)^2)</f>
        <v>0.95237466633203105</v>
      </c>
      <c r="O101" s="8">
        <f>SQRT((C101-Sheet3!$C$526)^2+(D101-Sheet3!$D$526)^2+(E101-Sheet3!$E$526)^2+(F101-Sheet3!$F$526)^2+(G101-Sheet3!$G$526)^2+(H101-Sheet3!$H$526)^2+(I101-Sheet3!$I$526)^2+(J101-Sheet3!$J$526)^2+(K101-Sheet3!$K$526)^2+(L101-Sheet3!$L$526)^2)</f>
        <v>4.188306509644387</v>
      </c>
      <c r="P101" s="12">
        <f t="shared" si="1"/>
        <v>0</v>
      </c>
      <c r="Q101" s="11">
        <f>IF(P101=Sheet1!M101, 1, 0)</f>
        <v>1</v>
      </c>
    </row>
    <row r="102" spans="1:17" x14ac:dyDescent="0.35">
      <c r="A102" s="6" t="s">
        <v>115</v>
      </c>
      <c r="B102" s="6" t="s">
        <v>118</v>
      </c>
      <c r="C102" s="6">
        <v>6.2871369661973075E-3</v>
      </c>
      <c r="D102" s="6">
        <v>-0.39073989738331666</v>
      </c>
      <c r="E102" s="6">
        <v>0.24690076289711041</v>
      </c>
      <c r="F102" s="6">
        <v>-0.16435342689757651</v>
      </c>
      <c r="G102" s="6">
        <v>-0.1848981440527851</v>
      </c>
      <c r="H102" s="6">
        <v>0.38500308589273158</v>
      </c>
      <c r="I102" s="6">
        <v>0.2768890014556899</v>
      </c>
      <c r="J102" s="6">
        <v>-1.1195765628315158E-2</v>
      </c>
      <c r="K102" s="6">
        <v>1.6516709685525842E-2</v>
      </c>
      <c r="L102" s="6">
        <v>0.46017492480743444</v>
      </c>
      <c r="N102" s="8">
        <f>SQRT((C102-Sheet3!$C$525)^2+(D102-Sheet3!$D$525)^2+(E102-Sheet3!$E$525)^2+(F102-Sheet3!$F$525)^2+(G102-Sheet3!$G$525)^2+(H102-Sheet3!$H$525)^2+(I102-Sheet3!$I$525)^2+(J102-Sheet3!$J$525)^2+(K102-Sheet3!$K$525)^2+(L102-Sheet3!$L$525)^2)</f>
        <v>1.2898944452910439</v>
      </c>
      <c r="O102" s="8">
        <f>SQRT((C102-Sheet3!$C$526)^2+(D102-Sheet3!$D$526)^2+(E102-Sheet3!$E$526)^2+(F102-Sheet3!$F$526)^2+(G102-Sheet3!$G$526)^2+(H102-Sheet3!$H$526)^2+(I102-Sheet3!$I$526)^2+(J102-Sheet3!$J$526)^2+(K102-Sheet3!$K$526)^2+(L102-Sheet3!$L$526)^2)</f>
        <v>2.9941369208825646</v>
      </c>
      <c r="P102" s="12">
        <f t="shared" si="1"/>
        <v>0</v>
      </c>
      <c r="Q102" s="11">
        <f>IF(P102=Sheet1!M102, 1, 0)</f>
        <v>1</v>
      </c>
    </row>
    <row r="103" spans="1:17" x14ac:dyDescent="0.35">
      <c r="A103" s="6" t="s">
        <v>115</v>
      </c>
      <c r="B103" s="6" t="s">
        <v>119</v>
      </c>
      <c r="C103" s="6">
        <v>0.56188414604385017</v>
      </c>
      <c r="D103" s="6">
        <v>5.1179976779686241E-2</v>
      </c>
      <c r="E103" s="6">
        <v>-0.21727315871630729</v>
      </c>
      <c r="F103" s="6">
        <v>-0.36155835581583057</v>
      </c>
      <c r="G103" s="6">
        <v>-1.0153016259156762</v>
      </c>
      <c r="H103" s="6">
        <v>-0.36423736738798745</v>
      </c>
      <c r="I103" s="6">
        <v>-0.22099525122230665</v>
      </c>
      <c r="J103" s="6">
        <v>-0.55401315692939934</v>
      </c>
      <c r="K103" s="6">
        <v>1.18220062136209E-2</v>
      </c>
      <c r="L103" s="6">
        <v>-0.18725514538900762</v>
      </c>
      <c r="N103" s="8">
        <f>SQRT((C103-Sheet3!$C$525)^2+(D103-Sheet3!$D$525)^2+(E103-Sheet3!$E$525)^2+(F103-Sheet3!$F$525)^2+(G103-Sheet3!$G$525)^2+(H103-Sheet3!$H$525)^2+(I103-Sheet3!$I$525)^2+(J103-Sheet3!$J$525)^2+(K103-Sheet3!$K$525)^2+(L103-Sheet3!$L$525)^2)</f>
        <v>0.97835803473084471</v>
      </c>
      <c r="O103" s="8">
        <f>SQRT((C103-Sheet3!$C$526)^2+(D103-Sheet3!$D$526)^2+(E103-Sheet3!$E$526)^2+(F103-Sheet3!$F$526)^2+(G103-Sheet3!$G$526)^2+(H103-Sheet3!$H$526)^2+(I103-Sheet3!$I$526)^2+(J103-Sheet3!$J$526)^2+(K103-Sheet3!$K$526)^2+(L103-Sheet3!$L$526)^2)</f>
        <v>4.1343942413727968</v>
      </c>
      <c r="P103" s="12">
        <f t="shared" si="1"/>
        <v>0</v>
      </c>
      <c r="Q103" s="11">
        <f>IF(P103=Sheet1!M103, 1, 0)</f>
        <v>1</v>
      </c>
    </row>
    <row r="104" spans="1:17" x14ac:dyDescent="0.35">
      <c r="A104" s="6" t="s">
        <v>115</v>
      </c>
      <c r="B104" s="6" t="s">
        <v>120</v>
      </c>
      <c r="C104" s="6">
        <v>0.21698455345216711</v>
      </c>
      <c r="D104" s="6">
        <v>-0.55645985019444255</v>
      </c>
      <c r="E104" s="6">
        <v>-0.28542567895319798</v>
      </c>
      <c r="F104" s="6">
        <v>-0.44937617572473942</v>
      </c>
      <c r="G104" s="6">
        <v>-0.40556480356879548</v>
      </c>
      <c r="H104" s="6">
        <v>-0.42995076444064573</v>
      </c>
      <c r="I104" s="6">
        <v>-0.12664586659190502</v>
      </c>
      <c r="J104" s="6">
        <v>-0.86527907361953171</v>
      </c>
      <c r="K104" s="6">
        <v>0.16674722078655069</v>
      </c>
      <c r="L104" s="6">
        <v>-0.16572792752246332</v>
      </c>
      <c r="N104" s="8">
        <f>SQRT((C104-Sheet3!$C$525)^2+(D104-Sheet3!$D$525)^2+(E104-Sheet3!$E$525)^2+(F104-Sheet3!$F$525)^2+(G104-Sheet3!$G$525)^2+(H104-Sheet3!$H$525)^2+(I104-Sheet3!$I$525)^2+(J104-Sheet3!$J$525)^2+(K104-Sheet3!$K$525)^2+(L104-Sheet3!$L$525)^2)</f>
        <v>0.64196659383648325</v>
      </c>
      <c r="O104" s="8">
        <f>SQRT((C104-Sheet3!$C$526)^2+(D104-Sheet3!$D$526)^2+(E104-Sheet3!$E$526)^2+(F104-Sheet3!$F$526)^2+(G104-Sheet3!$G$526)^2+(H104-Sheet3!$H$526)^2+(I104-Sheet3!$I$526)^2+(J104-Sheet3!$J$526)^2+(K104-Sheet3!$K$526)^2+(L104-Sheet3!$L$526)^2)</f>
        <v>4.2261588626744526</v>
      </c>
      <c r="P104" s="12">
        <f t="shared" si="1"/>
        <v>0</v>
      </c>
      <c r="Q104" s="11">
        <f>IF(P104=Sheet1!M104, 1, 0)</f>
        <v>1</v>
      </c>
    </row>
    <row r="105" spans="1:17" x14ac:dyDescent="0.35">
      <c r="A105" s="6" t="s">
        <v>115</v>
      </c>
      <c r="B105" s="6" t="s">
        <v>121</v>
      </c>
      <c r="C105" s="6">
        <v>0.47867879685830783</v>
      </c>
      <c r="D105" s="6">
        <v>-0.49508208989402569</v>
      </c>
      <c r="E105" s="6">
        <v>-6.8074398197708746E-2</v>
      </c>
      <c r="F105" s="6">
        <v>-0.28144385344279055</v>
      </c>
      <c r="G105" s="6">
        <v>-0.23716130025394391</v>
      </c>
      <c r="H105" s="6">
        <v>-0.33030340005751657</v>
      </c>
      <c r="I105" s="6">
        <v>-0.36761929490468698</v>
      </c>
      <c r="J105" s="6">
        <v>-0.40597205021092181</v>
      </c>
      <c r="K105" s="6">
        <v>-4.4514435449262854E-2</v>
      </c>
      <c r="L105" s="6">
        <v>0.50491377064235765</v>
      </c>
      <c r="N105" s="8">
        <f>SQRT((C105-Sheet3!$C$525)^2+(D105-Sheet3!$D$525)^2+(E105-Sheet3!$E$525)^2+(F105-Sheet3!$F$525)^2+(G105-Sheet3!$G$525)^2+(H105-Sheet3!$H$525)^2+(I105-Sheet3!$I$525)^2+(J105-Sheet3!$J$525)^2+(K105-Sheet3!$K$525)^2+(L105-Sheet3!$L$525)^2)</f>
        <v>0.9005751760213071</v>
      </c>
      <c r="O105" s="8">
        <f>SQRT((C105-Sheet3!$C$526)^2+(D105-Sheet3!$D$526)^2+(E105-Sheet3!$E$526)^2+(F105-Sheet3!$F$526)^2+(G105-Sheet3!$G$526)^2+(H105-Sheet3!$H$526)^2+(I105-Sheet3!$I$526)^2+(J105-Sheet3!$J$526)^2+(K105-Sheet3!$K$526)^2+(L105-Sheet3!$L$526)^2)</f>
        <v>3.7749908698126804</v>
      </c>
      <c r="P105" s="12">
        <f t="shared" si="1"/>
        <v>0</v>
      </c>
      <c r="Q105" s="11">
        <f>IF(P105=Sheet1!M105, 1, 0)</f>
        <v>1</v>
      </c>
    </row>
    <row r="106" spans="1:17" x14ac:dyDescent="0.35">
      <c r="A106" s="6" t="s">
        <v>115</v>
      </c>
      <c r="B106" s="6" t="s">
        <v>122</v>
      </c>
      <c r="C106" s="6">
        <v>-0.2044102795197725</v>
      </c>
      <c r="D106" s="6">
        <v>-0.6116998344648179</v>
      </c>
      <c r="E106" s="6">
        <v>-0.17122415855624601</v>
      </c>
      <c r="F106" s="6">
        <v>-0.43088821363865459</v>
      </c>
      <c r="G106" s="6">
        <v>-0.17328410934141417</v>
      </c>
      <c r="H106" s="6">
        <v>-0.26943771262349647</v>
      </c>
      <c r="I106" s="6">
        <v>-0.52061829700804085</v>
      </c>
      <c r="J106" s="6">
        <v>-0.4629109374103364</v>
      </c>
      <c r="K106" s="6">
        <v>-0.61413845670731071</v>
      </c>
      <c r="L106" s="6">
        <v>-2.4999541176981343E-2</v>
      </c>
      <c r="N106" s="8">
        <f>SQRT((C106-Sheet3!$C$525)^2+(D106-Sheet3!$D$525)^2+(E106-Sheet3!$E$525)^2+(F106-Sheet3!$F$525)^2+(G106-Sheet3!$G$525)^2+(H106-Sheet3!$H$525)^2+(I106-Sheet3!$I$525)^2+(J106-Sheet3!$J$525)^2+(K106-Sheet3!$K$525)^2+(L106-Sheet3!$L$525)^2)</f>
        <v>1.032758096562659</v>
      </c>
      <c r="O106" s="8">
        <f>SQRT((C106-Sheet3!$C$526)^2+(D106-Sheet3!$D$526)^2+(E106-Sheet3!$E$526)^2+(F106-Sheet3!$F$526)^2+(G106-Sheet3!$G$526)^2+(H106-Sheet3!$H$526)^2+(I106-Sheet3!$I$526)^2+(J106-Sheet3!$J$526)^2+(K106-Sheet3!$K$526)^2+(L106-Sheet3!$L$526)^2)</f>
        <v>3.843025070329924</v>
      </c>
      <c r="P106" s="12">
        <f t="shared" si="1"/>
        <v>0</v>
      </c>
      <c r="Q106" s="11">
        <f>IF(P106=Sheet1!M106, 1, 0)</f>
        <v>1</v>
      </c>
    </row>
    <row r="107" spans="1:17" x14ac:dyDescent="0.35">
      <c r="A107" s="6" t="s">
        <v>115</v>
      </c>
      <c r="B107" s="6" t="s">
        <v>123</v>
      </c>
      <c r="C107" s="6">
        <v>-0.1547554743606587</v>
      </c>
      <c r="D107" s="6">
        <v>-0.36005101723310823</v>
      </c>
      <c r="E107" s="6">
        <v>-0.6409239601888711</v>
      </c>
      <c r="F107" s="6">
        <v>-0.70666698142277395</v>
      </c>
      <c r="G107" s="6">
        <v>-0.75108233623202991</v>
      </c>
      <c r="H107" s="6">
        <v>-1.1312527559370484</v>
      </c>
      <c r="I107" s="6">
        <v>-0.51105585937658093</v>
      </c>
      <c r="J107" s="6">
        <v>-0.69446241202128833</v>
      </c>
      <c r="K107" s="6">
        <v>1.0493514735050644</v>
      </c>
      <c r="L107" s="6">
        <v>-0.33388025213452982</v>
      </c>
      <c r="N107" s="8">
        <f>SQRT((C107-Sheet3!$C$525)^2+(D107-Sheet3!$D$525)^2+(E107-Sheet3!$E$525)^2+(F107-Sheet3!$F$525)^2+(G107-Sheet3!$G$525)^2+(H107-Sheet3!$H$525)^2+(I107-Sheet3!$I$525)^2+(J107-Sheet3!$J$525)^2+(K107-Sheet3!$K$525)^2+(L107-Sheet3!$L$525)^2)</f>
        <v>1.5448802494116665</v>
      </c>
      <c r="O107" s="8">
        <f>SQRT((C107-Sheet3!$C$526)^2+(D107-Sheet3!$D$526)^2+(E107-Sheet3!$E$526)^2+(F107-Sheet3!$F$526)^2+(G107-Sheet3!$G$526)^2+(H107-Sheet3!$H$526)^2+(I107-Sheet3!$I$526)^2+(J107-Sheet3!$J$526)^2+(K107-Sheet3!$K$526)^2+(L107-Sheet3!$L$526)^2)</f>
        <v>4.9495761323493177</v>
      </c>
      <c r="P107" s="12">
        <f t="shared" si="1"/>
        <v>0</v>
      </c>
      <c r="Q107" s="11">
        <f>IF(P107=Sheet1!M107, 1, 0)</f>
        <v>1</v>
      </c>
    </row>
    <row r="108" spans="1:17" x14ac:dyDescent="0.35">
      <c r="A108" s="6" t="s">
        <v>115</v>
      </c>
      <c r="B108" s="6" t="s">
        <v>124</v>
      </c>
      <c r="C108" s="6">
        <v>-0.22454060593562952</v>
      </c>
      <c r="D108" s="6">
        <v>-0.5380465221043178</v>
      </c>
      <c r="E108" s="6">
        <v>0.44435887558345316</v>
      </c>
      <c r="F108" s="6">
        <v>-5.3425654381058903E-2</v>
      </c>
      <c r="G108" s="6">
        <v>-0.14134551388514929</v>
      </c>
      <c r="H108" s="6">
        <v>0.35861000019125433</v>
      </c>
      <c r="I108" s="6">
        <v>0.52168740482105491</v>
      </c>
      <c r="J108" s="6">
        <v>-0.71344204108775977</v>
      </c>
      <c r="K108" s="6">
        <v>0.28880951105613251</v>
      </c>
      <c r="L108" s="6">
        <v>-0.23847644077404145</v>
      </c>
      <c r="N108" s="8">
        <f>SQRT((C108-Sheet3!$C$525)^2+(D108-Sheet3!$D$525)^2+(E108-Sheet3!$E$525)^2+(F108-Sheet3!$F$525)^2+(G108-Sheet3!$G$525)^2+(H108-Sheet3!$H$525)^2+(I108-Sheet3!$I$525)^2+(J108-Sheet3!$J$525)^2+(K108-Sheet3!$K$525)^2+(L108-Sheet3!$L$525)^2)</f>
        <v>1.4217478355917754</v>
      </c>
      <c r="O108" s="8">
        <f>SQRT((C108-Sheet3!$C$526)^2+(D108-Sheet3!$D$526)^2+(E108-Sheet3!$E$526)^2+(F108-Sheet3!$F$526)^2+(G108-Sheet3!$G$526)^2+(H108-Sheet3!$H$526)^2+(I108-Sheet3!$I$526)^2+(J108-Sheet3!$J$526)^2+(K108-Sheet3!$K$526)^2+(L108-Sheet3!$L$526)^2)</f>
        <v>3.4144049879939935</v>
      </c>
      <c r="P108" s="12">
        <f t="shared" si="1"/>
        <v>0</v>
      </c>
      <c r="Q108" s="11">
        <f>IF(P108=Sheet1!M108, 1, 0)</f>
        <v>1</v>
      </c>
    </row>
    <row r="109" spans="1:17" x14ac:dyDescent="0.35">
      <c r="A109" s="6" t="s">
        <v>115</v>
      </c>
      <c r="B109" s="6" t="s">
        <v>125</v>
      </c>
      <c r="C109" s="6">
        <v>0.20759040112476715</v>
      </c>
      <c r="D109" s="6">
        <v>-0.34777546517302454</v>
      </c>
      <c r="E109" s="6">
        <v>4.7600690204365192E-2</v>
      </c>
      <c r="F109" s="6">
        <v>-0.42472555960995823</v>
      </c>
      <c r="G109" s="6">
        <v>-1.1778981118748444</v>
      </c>
      <c r="H109" s="6">
        <v>-0.49997323670987165</v>
      </c>
      <c r="I109" s="6">
        <v>-0.80366645089924482</v>
      </c>
      <c r="J109" s="6">
        <v>-0.75519722503399711</v>
      </c>
      <c r="K109" s="6">
        <v>-0.15405751646042634</v>
      </c>
      <c r="L109" s="6">
        <v>-0.29647846209393397</v>
      </c>
      <c r="N109" s="8">
        <f>SQRT((C109-Sheet3!$C$525)^2+(D109-Sheet3!$D$525)^2+(E109-Sheet3!$E$525)^2+(F109-Sheet3!$F$525)^2+(G109-Sheet3!$G$525)^2+(H109-Sheet3!$H$525)^2+(I109-Sheet3!$I$525)^2+(J109-Sheet3!$J$525)^2+(K109-Sheet3!$K$525)^2+(L109-Sheet3!$L$525)^2)</f>
        <v>1.3077621633121379</v>
      </c>
      <c r="O109" s="8">
        <f>SQRT((C109-Sheet3!$C$526)^2+(D109-Sheet3!$D$526)^2+(E109-Sheet3!$E$526)^2+(F109-Sheet3!$F$526)^2+(G109-Sheet3!$G$526)^2+(H109-Sheet3!$H$526)^2+(I109-Sheet3!$I$526)^2+(J109-Sheet3!$J$526)^2+(K109-Sheet3!$K$526)^2+(L109-Sheet3!$L$526)^2)</f>
        <v>4.4767329031319747</v>
      </c>
      <c r="P109" s="12">
        <f t="shared" si="1"/>
        <v>0</v>
      </c>
      <c r="Q109" s="11">
        <f>IF(P109=Sheet1!M109, 1, 0)</f>
        <v>1</v>
      </c>
    </row>
    <row r="110" spans="1:17" x14ac:dyDescent="0.35">
      <c r="A110" s="6" t="s">
        <v>115</v>
      </c>
      <c r="B110" s="6" t="s">
        <v>126</v>
      </c>
      <c r="C110" s="6">
        <v>0.14451537835508185</v>
      </c>
      <c r="D110" s="6">
        <v>-0.48894431386398413</v>
      </c>
      <c r="E110" s="6">
        <v>-0.3406844791452715</v>
      </c>
      <c r="F110" s="6">
        <v>-0.69896366388690512</v>
      </c>
      <c r="G110" s="6">
        <v>-1.3143630197334311</v>
      </c>
      <c r="H110" s="6">
        <v>-1.3736382368689848</v>
      </c>
      <c r="I110" s="6">
        <v>-2.1207328606722804</v>
      </c>
      <c r="J110" s="6">
        <v>-1.0057283287114205</v>
      </c>
      <c r="K110" s="6">
        <v>0.4437347256290623</v>
      </c>
      <c r="L110" s="6">
        <v>-0.38359363763643073</v>
      </c>
      <c r="N110" s="8">
        <f>SQRT((C110-Sheet3!$C$525)^2+(D110-Sheet3!$D$525)^2+(E110-Sheet3!$E$525)^2+(F110-Sheet3!$F$525)^2+(G110-Sheet3!$G$525)^2+(H110-Sheet3!$H$525)^2+(I110-Sheet3!$I$525)^2+(J110-Sheet3!$J$525)^2+(K110-Sheet3!$K$525)^2+(L110-Sheet3!$L$525)^2)</f>
        <v>2.5958914026042446</v>
      </c>
      <c r="O110" s="8">
        <f>SQRT((C110-Sheet3!$C$526)^2+(D110-Sheet3!$D$526)^2+(E110-Sheet3!$E$526)^2+(F110-Sheet3!$F$526)^2+(G110-Sheet3!$G$526)^2+(H110-Sheet3!$H$526)^2+(I110-Sheet3!$I$526)^2+(J110-Sheet3!$J$526)^2+(K110-Sheet3!$K$526)^2+(L110-Sheet3!$L$526)^2)</f>
        <v>5.8027805313569036</v>
      </c>
      <c r="P110" s="12">
        <f t="shared" si="1"/>
        <v>0</v>
      </c>
      <c r="Q110" s="11">
        <f>IF(P110=Sheet1!M110, 1, 0)</f>
        <v>1</v>
      </c>
    </row>
    <row r="111" spans="1:17" x14ac:dyDescent="0.35">
      <c r="A111" s="6" t="s">
        <v>115</v>
      </c>
      <c r="B111" s="6" t="s">
        <v>127</v>
      </c>
      <c r="C111" s="6">
        <v>8.5466420868568094E-2</v>
      </c>
      <c r="D111" s="6">
        <v>-0.85107309963644484</v>
      </c>
      <c r="E111" s="6">
        <v>-0.7790709606690549</v>
      </c>
      <c r="F111" s="6">
        <v>-0.77753750275277267</v>
      </c>
      <c r="G111" s="6">
        <v>-0.38524024282390151</v>
      </c>
      <c r="H111" s="6">
        <v>0.92148295035541805</v>
      </c>
      <c r="I111" s="6">
        <v>0.15002732887832532</v>
      </c>
      <c r="J111" s="6">
        <v>-0.55021723111610521</v>
      </c>
      <c r="K111" s="6">
        <v>0.57362152168515534</v>
      </c>
      <c r="L111" s="6">
        <v>-0.35822821387746212</v>
      </c>
      <c r="N111" s="8">
        <f>SQRT((C111-Sheet3!$C$525)^2+(D111-Sheet3!$D$525)^2+(E111-Sheet3!$E$525)^2+(F111-Sheet3!$F$525)^2+(G111-Sheet3!$G$525)^2+(H111-Sheet3!$H$525)^2+(I111-Sheet3!$I$525)^2+(J111-Sheet3!$J$525)^2+(K111-Sheet3!$K$525)^2+(L111-Sheet3!$L$525)^2)</f>
        <v>1.5012474677876122</v>
      </c>
      <c r="O111" s="8">
        <f>SQRT((C111-Sheet3!$C$526)^2+(D111-Sheet3!$D$526)^2+(E111-Sheet3!$E$526)^2+(F111-Sheet3!$F$526)^2+(G111-Sheet3!$G$526)^2+(H111-Sheet3!$H$526)^2+(I111-Sheet3!$I$526)^2+(J111-Sheet3!$J$526)^2+(K111-Sheet3!$K$526)^2+(L111-Sheet3!$L$526)^2)</f>
        <v>4.4736825941382881</v>
      </c>
      <c r="P111" s="12">
        <f t="shared" si="1"/>
        <v>0</v>
      </c>
      <c r="Q111" s="11">
        <f>IF(P111=Sheet1!M111, 1, 0)</f>
        <v>1</v>
      </c>
    </row>
    <row r="112" spans="1:17" x14ac:dyDescent="0.35">
      <c r="A112" s="6" t="s">
        <v>115</v>
      </c>
      <c r="B112" s="6" t="s">
        <v>128</v>
      </c>
      <c r="C112" s="6">
        <v>1.0517220888297032</v>
      </c>
      <c r="D112" s="6">
        <v>-0.82652199551627803</v>
      </c>
      <c r="E112" s="6">
        <v>-0.17306611856264845</v>
      </c>
      <c r="F112" s="6">
        <v>-0.76983418521690161</v>
      </c>
      <c r="G112" s="6">
        <v>-1.1314419730293648</v>
      </c>
      <c r="H112" s="6">
        <v>-0.6087773859282074</v>
      </c>
      <c r="I112" s="6">
        <v>-0.30641969406334596</v>
      </c>
      <c r="J112" s="6">
        <v>0.63031569681842048</v>
      </c>
      <c r="K112" s="6">
        <v>3.5295523573154505E-2</v>
      </c>
      <c r="L112" s="6">
        <v>-0.3397014788338279</v>
      </c>
      <c r="N112" s="8">
        <f>SQRT((C112-Sheet3!$C$525)^2+(D112-Sheet3!$D$525)^2+(E112-Sheet3!$E$525)^2+(F112-Sheet3!$F$525)^2+(G112-Sheet3!$G$525)^2+(H112-Sheet3!$H$525)^2+(I112-Sheet3!$I$525)^2+(J112-Sheet3!$J$525)^2+(K112-Sheet3!$K$525)^2+(L112-Sheet3!$L$525)^2)</f>
        <v>1.7348969138461223</v>
      </c>
      <c r="O112" s="8">
        <f>SQRT((C112-Sheet3!$C$526)^2+(D112-Sheet3!$D$526)^2+(E112-Sheet3!$E$526)^2+(F112-Sheet3!$F$526)^2+(G112-Sheet3!$G$526)^2+(H112-Sheet3!$H$526)^2+(I112-Sheet3!$I$526)^2+(J112-Sheet3!$J$526)^2+(K112-Sheet3!$K$526)^2+(L112-Sheet3!$L$526)^2)</f>
        <v>4.6470519161011925</v>
      </c>
      <c r="P112" s="12">
        <f t="shared" si="1"/>
        <v>0</v>
      </c>
      <c r="Q112" s="11">
        <f>IF(P112=Sheet1!M112, 1, 0)</f>
        <v>0</v>
      </c>
    </row>
    <row r="113" spans="1:17" x14ac:dyDescent="0.35">
      <c r="A113" s="6" t="s">
        <v>115</v>
      </c>
      <c r="B113" s="6" t="s">
        <v>129</v>
      </c>
      <c r="C113" s="6">
        <v>-0.12523099561740172</v>
      </c>
      <c r="D113" s="6">
        <v>1.4199040314789877</v>
      </c>
      <c r="E113" s="6">
        <v>1.6132666956464488</v>
      </c>
      <c r="F113" s="6">
        <v>1.3547407911758476</v>
      </c>
      <c r="G113" s="6">
        <v>0.39290008283783068</v>
      </c>
      <c r="H113" s="6">
        <v>0.91609660633470791</v>
      </c>
      <c r="I113" s="6">
        <v>0.78369819592304879</v>
      </c>
      <c r="J113" s="6">
        <v>1.9171345475251862</v>
      </c>
      <c r="K113" s="6">
        <v>-0.86608754303298674</v>
      </c>
      <c r="L113" s="6">
        <v>1.7820549147100104</v>
      </c>
      <c r="N113" s="8">
        <f>SQRT((C113-Sheet3!$C$525)^2+(D113-Sheet3!$D$525)^2+(E113-Sheet3!$E$525)^2+(F113-Sheet3!$F$525)^2+(G113-Sheet3!$G$525)^2+(H113-Sheet3!$H$525)^2+(I113-Sheet3!$I$525)^2+(J113-Sheet3!$J$525)^2+(K113-Sheet3!$K$525)^2+(L113-Sheet3!$L$525)^2)</f>
        <v>4.799002428486749</v>
      </c>
      <c r="O113" s="8">
        <f>SQRT((C113-Sheet3!$C$526)^2+(D113-Sheet3!$D$526)^2+(E113-Sheet3!$E$526)^2+(F113-Sheet3!$F$526)^2+(G113-Sheet3!$G$526)^2+(H113-Sheet3!$H$526)^2+(I113-Sheet3!$I$526)^2+(J113-Sheet3!$J$526)^2+(K113-Sheet3!$K$526)^2+(L113-Sheet3!$L$526)^2)</f>
        <v>1.6397715501337715</v>
      </c>
      <c r="P113" s="12">
        <f t="shared" si="1"/>
        <v>1</v>
      </c>
      <c r="Q113" s="11">
        <f>IF(P113=Sheet1!M113, 1, 0)</f>
        <v>0</v>
      </c>
    </row>
    <row r="114" spans="1:17" x14ac:dyDescent="0.35">
      <c r="A114" s="6" t="s">
        <v>115</v>
      </c>
      <c r="B114" s="6" t="s">
        <v>130</v>
      </c>
      <c r="C114" s="6">
        <v>-9.8171241664884133E-3</v>
      </c>
      <c r="D114" s="6">
        <v>0.94115750113573471</v>
      </c>
      <c r="E114" s="6">
        <v>0.89416550914693171</v>
      </c>
      <c r="F114" s="6">
        <v>0.73077207077043549</v>
      </c>
      <c r="G114" s="6">
        <v>0.2361106142343459</v>
      </c>
      <c r="H114" s="6">
        <v>0.97642365936665676</v>
      </c>
      <c r="I114" s="6">
        <v>0.55037471771543389</v>
      </c>
      <c r="J114" s="6">
        <v>0.30386607687511136</v>
      </c>
      <c r="K114" s="6">
        <v>-8.5217088313108893E-3</v>
      </c>
      <c r="L114" s="6">
        <v>-0.34314027645343559</v>
      </c>
      <c r="N114" s="8">
        <f>SQRT((C114-Sheet3!$C$525)^2+(D114-Sheet3!$D$525)^2+(E114-Sheet3!$E$525)^2+(F114-Sheet3!$F$525)^2+(G114-Sheet3!$G$525)^2+(H114-Sheet3!$H$525)^2+(I114-Sheet3!$I$525)^2+(J114-Sheet3!$J$525)^2+(K114-Sheet3!$K$525)^2+(L114-Sheet3!$L$525)^2)</f>
        <v>2.6885456229799258</v>
      </c>
      <c r="O114" s="8">
        <f>SQRT((C114-Sheet3!$C$526)^2+(D114-Sheet3!$D$526)^2+(E114-Sheet3!$E$526)^2+(F114-Sheet3!$F$526)^2+(G114-Sheet3!$G$526)^2+(H114-Sheet3!$H$526)^2+(I114-Sheet3!$I$526)^2+(J114-Sheet3!$J$526)^2+(K114-Sheet3!$K$526)^2+(L114-Sheet3!$L$526)^2)</f>
        <v>1.892345976968131</v>
      </c>
      <c r="P114" s="12">
        <f t="shared" si="1"/>
        <v>1</v>
      </c>
      <c r="Q114" s="11">
        <f>IF(P114=Sheet1!M114, 1, 0)</f>
        <v>0</v>
      </c>
    </row>
    <row r="115" spans="1:17" x14ac:dyDescent="0.35">
      <c r="A115" s="6" t="s">
        <v>115</v>
      </c>
      <c r="B115" s="6" t="s">
        <v>131</v>
      </c>
      <c r="C115" s="6">
        <v>-0.38558321726248529</v>
      </c>
      <c r="D115" s="6">
        <v>0.59130426742335718</v>
      </c>
      <c r="E115" s="6">
        <v>-0.53335349581496794</v>
      </c>
      <c r="F115" s="6">
        <v>-0.19208537002670484</v>
      </c>
      <c r="G115" s="6">
        <v>-0.81495952714455966</v>
      </c>
      <c r="H115" s="6">
        <v>-0.99874869302759006</v>
      </c>
      <c r="I115" s="6">
        <v>0.51148747134749817</v>
      </c>
      <c r="J115" s="6">
        <v>-1.2980146163350814</v>
      </c>
      <c r="K115" s="6">
        <v>0.74106594551650573</v>
      </c>
      <c r="L115" s="6">
        <v>-0.41020327614889868</v>
      </c>
      <c r="N115" s="8">
        <f>SQRT((C115-Sheet3!$C$525)^2+(D115-Sheet3!$D$525)^2+(E115-Sheet3!$E$525)^2+(F115-Sheet3!$F$525)^2+(G115-Sheet3!$G$525)^2+(H115-Sheet3!$H$525)^2+(I115-Sheet3!$I$525)^2+(J115-Sheet3!$J$525)^2+(K115-Sheet3!$K$525)^2+(L115-Sheet3!$L$525)^2)</f>
        <v>2.005101262060013</v>
      </c>
      <c r="O115" s="8">
        <f>SQRT((C115-Sheet3!$C$526)^2+(D115-Sheet3!$D$526)^2+(E115-Sheet3!$E$526)^2+(F115-Sheet3!$F$526)^2+(G115-Sheet3!$G$526)^2+(H115-Sheet3!$H$526)^2+(I115-Sheet3!$I$526)^2+(J115-Sheet3!$J$526)^2+(K115-Sheet3!$K$526)^2+(L115-Sheet3!$L$526)^2)</f>
        <v>4.5046026537261925</v>
      </c>
      <c r="P115" s="12">
        <f t="shared" si="1"/>
        <v>0</v>
      </c>
      <c r="Q115" s="11">
        <f>IF(P115=Sheet1!M115, 1, 0)</f>
        <v>1</v>
      </c>
    </row>
    <row r="116" spans="1:17" x14ac:dyDescent="0.35">
      <c r="A116" s="6" t="s">
        <v>115</v>
      </c>
      <c r="B116" s="6" t="s">
        <v>132</v>
      </c>
      <c r="C116" s="6">
        <v>0.12841111722239637</v>
      </c>
      <c r="D116" s="6">
        <v>0.89819306892544259</v>
      </c>
      <c r="E116" s="6">
        <v>1.0838873898063841</v>
      </c>
      <c r="F116" s="6">
        <v>0.7646666679282601</v>
      </c>
      <c r="G116" s="6">
        <v>-7.7468322972619519E-2</v>
      </c>
      <c r="H116" s="6">
        <v>0.4469460421308934</v>
      </c>
      <c r="I116" s="6">
        <v>0.69891124892410617</v>
      </c>
      <c r="J116" s="6">
        <v>0.45949903522017715</v>
      </c>
      <c r="K116" s="6">
        <v>0.64717187607836468</v>
      </c>
      <c r="L116" s="6">
        <v>-0.36553421967475019</v>
      </c>
      <c r="N116" s="8">
        <f>SQRT((C116-Sheet3!$C$525)^2+(D116-Sheet3!$D$525)^2+(E116-Sheet3!$E$525)^2+(F116-Sheet3!$F$525)^2+(G116-Sheet3!$G$525)^2+(H116-Sheet3!$H$525)^2+(I116-Sheet3!$I$525)^2+(J116-Sheet3!$J$525)^2+(K116-Sheet3!$K$525)^2+(L116-Sheet3!$L$525)^2)</f>
        <v>2.6716310133766048</v>
      </c>
      <c r="O116" s="8">
        <f>SQRT((C116-Sheet3!$C$526)^2+(D116-Sheet3!$D$526)^2+(E116-Sheet3!$E$526)^2+(F116-Sheet3!$F$526)^2+(G116-Sheet3!$G$526)^2+(H116-Sheet3!$H$526)^2+(I116-Sheet3!$I$526)^2+(J116-Sheet3!$J$526)^2+(K116-Sheet3!$K$526)^2+(L116-Sheet3!$L$526)^2)</f>
        <v>2.2744563890739351</v>
      </c>
      <c r="P116" s="12">
        <f t="shared" si="1"/>
        <v>1</v>
      </c>
      <c r="Q116" s="11">
        <f>IF(P116=Sheet1!M116, 1, 0)</f>
        <v>0</v>
      </c>
    </row>
    <row r="117" spans="1:17" x14ac:dyDescent="0.35">
      <c r="A117" s="6" t="s">
        <v>133</v>
      </c>
      <c r="B117" s="6" t="s">
        <v>134</v>
      </c>
      <c r="C117" s="6">
        <v>0.79002784542356252</v>
      </c>
      <c r="D117" s="6">
        <v>0.51151317903281446</v>
      </c>
      <c r="E117" s="6">
        <v>-0.15059420648453856</v>
      </c>
      <c r="F117" s="6">
        <v>0.12683197595828277</v>
      </c>
      <c r="G117" s="6">
        <v>-0.50138058993759016</v>
      </c>
      <c r="H117" s="6">
        <v>-0.13262457449747053</v>
      </c>
      <c r="I117" s="6">
        <v>-1.7159230009404907</v>
      </c>
      <c r="J117" s="6">
        <v>-0.95258536732530041</v>
      </c>
      <c r="K117" s="6">
        <v>0.70194341658394743</v>
      </c>
      <c r="L117" s="6">
        <v>-0.3807400676864568</v>
      </c>
      <c r="N117" s="8">
        <f>SQRT((C117-Sheet3!$C$525)^2+(D117-Sheet3!$D$525)^2+(E117-Sheet3!$E$525)^2+(F117-Sheet3!$F$525)^2+(G117-Sheet3!$G$525)^2+(H117-Sheet3!$H$525)^2+(I117-Sheet3!$I$525)^2+(J117-Sheet3!$J$525)^2+(K117-Sheet3!$K$525)^2+(L117-Sheet3!$L$525)^2)</f>
        <v>2.0871013868819395</v>
      </c>
      <c r="O117" s="8">
        <f>SQRT((C117-Sheet3!$C$526)^2+(D117-Sheet3!$D$526)^2+(E117-Sheet3!$E$526)^2+(F117-Sheet3!$F$526)^2+(G117-Sheet3!$G$526)^2+(H117-Sheet3!$H$526)^2+(I117-Sheet3!$I$526)^2+(J117-Sheet3!$J$526)^2+(K117-Sheet3!$K$526)^2+(L117-Sheet3!$L$526)^2)</f>
        <v>4.6368592967414717</v>
      </c>
      <c r="P117" s="12">
        <f t="shared" si="1"/>
        <v>0</v>
      </c>
      <c r="Q117" s="11">
        <f>IF(P117=Sheet1!M117, 1, 0)</f>
        <v>1</v>
      </c>
    </row>
    <row r="118" spans="1:17" x14ac:dyDescent="0.35">
      <c r="A118" s="6" t="s">
        <v>133</v>
      </c>
      <c r="B118" s="6" t="s">
        <v>135</v>
      </c>
      <c r="C118" s="6">
        <v>0.48002081861936491</v>
      </c>
      <c r="D118" s="6">
        <v>-6.5437767791105925E-2</v>
      </c>
      <c r="E118" s="6">
        <v>-6.5866196337902743E-4</v>
      </c>
      <c r="F118" s="6">
        <v>0.12991330297262987</v>
      </c>
      <c r="G118" s="6">
        <v>-0.26329287835452542</v>
      </c>
      <c r="H118" s="6">
        <v>-0.30714212076846453</v>
      </c>
      <c r="I118" s="6">
        <v>-1.2792383491038359</v>
      </c>
      <c r="J118" s="6">
        <v>-0.99054462545824329</v>
      </c>
      <c r="K118" s="6">
        <v>1.0368322642466461</v>
      </c>
      <c r="L118" s="6">
        <v>-0.32783966953421007</v>
      </c>
      <c r="N118" s="8">
        <f>SQRT((C118-Sheet3!$C$525)^2+(D118-Sheet3!$D$525)^2+(E118-Sheet3!$E$525)^2+(F118-Sheet3!$F$525)^2+(G118-Sheet3!$G$525)^2+(H118-Sheet3!$H$525)^2+(I118-Sheet3!$I$525)^2+(J118-Sheet3!$J$525)^2+(K118-Sheet3!$K$525)^2+(L118-Sheet3!$L$525)^2)</f>
        <v>1.6889712570836168</v>
      </c>
      <c r="O118" s="8">
        <f>SQRT((C118-Sheet3!$C$526)^2+(D118-Sheet3!$D$526)^2+(E118-Sheet3!$E$526)^2+(F118-Sheet3!$F$526)^2+(G118-Sheet3!$G$526)^2+(H118-Sheet3!$H$526)^2+(I118-Sheet3!$I$526)^2+(J118-Sheet3!$J$526)^2+(K118-Sheet3!$K$526)^2+(L118-Sheet3!$L$526)^2)</f>
        <v>4.4890254644088774</v>
      </c>
      <c r="P118" s="12">
        <f t="shared" si="1"/>
        <v>0</v>
      </c>
      <c r="Q118" s="11">
        <f>IF(P118=Sheet1!M118, 1, 0)</f>
        <v>1</v>
      </c>
    </row>
    <row r="119" spans="1:17" x14ac:dyDescent="0.35">
      <c r="A119" s="6" t="s">
        <v>133</v>
      </c>
      <c r="B119" s="6" t="s">
        <v>136</v>
      </c>
      <c r="C119" s="6">
        <v>-8.8996408068859195E-2</v>
      </c>
      <c r="D119" s="6">
        <v>-0.21274439251210708</v>
      </c>
      <c r="E119" s="6">
        <v>3.139144214802362E-2</v>
      </c>
      <c r="F119" s="6">
        <v>-9.9645559596274205E-2</v>
      </c>
      <c r="G119" s="6">
        <v>-0.40266129489095587</v>
      </c>
      <c r="H119" s="6">
        <v>0.22395139967351183</v>
      </c>
      <c r="I119" s="6">
        <v>-2.0416833762522142</v>
      </c>
      <c r="J119" s="6">
        <v>-0.5881764892490482</v>
      </c>
      <c r="K119" s="6">
        <v>-0.28863901598842656</v>
      </c>
      <c r="L119" s="6">
        <v>-0.34557686542029004</v>
      </c>
      <c r="N119" s="8">
        <f>SQRT((C119-Sheet3!$C$525)^2+(D119-Sheet3!$D$525)^2+(E119-Sheet3!$E$525)^2+(F119-Sheet3!$F$525)^2+(G119-Sheet3!$G$525)^2+(H119-Sheet3!$H$525)^2+(I119-Sheet3!$I$525)^2+(J119-Sheet3!$J$525)^2+(K119-Sheet3!$K$525)^2+(L119-Sheet3!$L$525)^2)</f>
        <v>2.041224072001925</v>
      </c>
      <c r="O119" s="8">
        <f>SQRT((C119-Sheet3!$C$526)^2+(D119-Sheet3!$D$526)^2+(E119-Sheet3!$E$526)^2+(F119-Sheet3!$F$526)^2+(G119-Sheet3!$G$526)^2+(H119-Sheet3!$H$526)^2+(I119-Sheet3!$I$526)^2+(J119-Sheet3!$J$526)^2+(K119-Sheet3!$K$526)^2+(L119-Sheet3!$L$526)^2)</f>
        <v>4.376190145315598</v>
      </c>
      <c r="P119" s="12">
        <f t="shared" si="1"/>
        <v>0</v>
      </c>
      <c r="Q119" s="11">
        <f>IF(P119=Sheet1!M119, 1, 0)</f>
        <v>1</v>
      </c>
    </row>
    <row r="120" spans="1:17" x14ac:dyDescent="0.35">
      <c r="A120" s="6" t="s">
        <v>133</v>
      </c>
      <c r="B120" s="6" t="s">
        <v>137</v>
      </c>
      <c r="C120" s="6">
        <v>0.85176084643219074</v>
      </c>
      <c r="D120" s="6">
        <v>-3.4748887640896946E-2</v>
      </c>
      <c r="E120" s="6">
        <v>-0.62139918412100503</v>
      </c>
      <c r="F120" s="6">
        <v>-0.42472555960995823</v>
      </c>
      <c r="G120" s="6">
        <v>-0.84980163127866415</v>
      </c>
      <c r="H120" s="6">
        <v>7.6904207908136818E-2</v>
      </c>
      <c r="I120" s="6">
        <v>6.7790365247773279E-2</v>
      </c>
      <c r="J120" s="6">
        <v>-0.61095204412881376</v>
      </c>
      <c r="K120" s="6">
        <v>-2.8865423876240456E-2</v>
      </c>
      <c r="L120" s="6">
        <v>-0.41018534822328651</v>
      </c>
      <c r="N120" s="8">
        <f>SQRT((C120-Sheet3!$C$525)^2+(D120-Sheet3!$D$525)^2+(E120-Sheet3!$E$525)^2+(F120-Sheet3!$F$525)^2+(G120-Sheet3!$G$525)^2+(H120-Sheet3!$H$525)^2+(I120-Sheet3!$I$525)^2+(J120-Sheet3!$J$525)^2+(K120-Sheet3!$K$525)^2+(L120-Sheet3!$L$525)^2)</f>
        <v>1.1087243451933737</v>
      </c>
      <c r="O120" s="8">
        <f>SQRT((C120-Sheet3!$C$526)^2+(D120-Sheet3!$D$526)^2+(E120-Sheet3!$E$526)^2+(F120-Sheet3!$F$526)^2+(G120-Sheet3!$G$526)^2+(H120-Sheet3!$H$526)^2+(I120-Sheet3!$I$526)^2+(J120-Sheet3!$J$526)^2+(K120-Sheet3!$K$526)^2+(L120-Sheet3!$L$526)^2)</f>
        <v>4.2924773006066133</v>
      </c>
      <c r="P120" s="12">
        <f t="shared" si="1"/>
        <v>0</v>
      </c>
      <c r="Q120" s="11">
        <f>IF(P120=Sheet1!M120, 1, 0)</f>
        <v>1</v>
      </c>
    </row>
    <row r="121" spans="1:17" x14ac:dyDescent="0.35">
      <c r="A121" s="6" t="s">
        <v>133</v>
      </c>
      <c r="B121" s="6" t="s">
        <v>138</v>
      </c>
      <c r="C121" s="6">
        <v>0.86518106404276174</v>
      </c>
      <c r="D121" s="6">
        <v>-0.26798437678248238</v>
      </c>
      <c r="E121" s="6">
        <v>-0.76212492861015235</v>
      </c>
      <c r="F121" s="6">
        <v>-0.44629484871039232</v>
      </c>
      <c r="G121" s="6">
        <v>-0.51009111597111734</v>
      </c>
      <c r="H121" s="6">
        <v>0.38177127948030637</v>
      </c>
      <c r="I121" s="6">
        <v>-2.4286433524052793</v>
      </c>
      <c r="J121" s="6">
        <v>-0.61474796994210812</v>
      </c>
      <c r="K121" s="6">
        <v>0.10415117449445663</v>
      </c>
      <c r="L121" s="6">
        <v>-0.3976556505620516</v>
      </c>
      <c r="N121" s="8">
        <f>SQRT((C121-Sheet3!$C$525)^2+(D121-Sheet3!$D$525)^2+(E121-Sheet3!$E$525)^2+(F121-Sheet3!$F$525)^2+(G121-Sheet3!$G$525)^2+(H121-Sheet3!$H$525)^2+(I121-Sheet3!$I$525)^2+(J121-Sheet3!$J$525)^2+(K121-Sheet3!$K$525)^2+(L121-Sheet3!$L$525)^2)</f>
        <v>2.4516540762703514</v>
      </c>
      <c r="O121" s="8">
        <f>SQRT((C121-Sheet3!$C$526)^2+(D121-Sheet3!$D$526)^2+(E121-Sheet3!$E$526)^2+(F121-Sheet3!$F$526)^2+(G121-Sheet3!$G$526)^2+(H121-Sheet3!$H$526)^2+(I121-Sheet3!$I$526)^2+(J121-Sheet3!$J$526)^2+(K121-Sheet3!$K$526)^2+(L121-Sheet3!$L$526)^2)</f>
        <v>5.2883127465738875</v>
      </c>
      <c r="P121" s="12">
        <f t="shared" si="1"/>
        <v>0</v>
      </c>
      <c r="Q121" s="11">
        <f>IF(P121=Sheet1!M121, 1, 0)</f>
        <v>1</v>
      </c>
    </row>
    <row r="122" spans="1:17" x14ac:dyDescent="0.35">
      <c r="A122" s="6" t="s">
        <v>133</v>
      </c>
      <c r="B122" s="6" t="s">
        <v>139</v>
      </c>
      <c r="C122" s="6">
        <v>-4.6051711715030925E-2</v>
      </c>
      <c r="D122" s="6">
        <v>-8.3851095881230658E-2</v>
      </c>
      <c r="E122" s="6">
        <v>2.9549482141621172E-2</v>
      </c>
      <c r="F122" s="6">
        <v>-0.19824802405540123</v>
      </c>
      <c r="G122" s="6">
        <v>-0.84980163127866415</v>
      </c>
      <c r="H122" s="6">
        <v>0.5164298799980489</v>
      </c>
      <c r="I122" s="6">
        <v>-0.58309288953357719</v>
      </c>
      <c r="J122" s="6">
        <v>-0.52364575042304495</v>
      </c>
      <c r="K122" s="6">
        <v>-0.83791932220154486</v>
      </c>
      <c r="L122" s="6">
        <v>-0.38727149515921888</v>
      </c>
      <c r="N122" s="8">
        <f>SQRT((C122-Sheet3!$C$525)^2+(D122-Sheet3!$D$525)^2+(E122-Sheet3!$E$525)^2+(F122-Sheet3!$F$525)^2+(G122-Sheet3!$G$525)^2+(H122-Sheet3!$H$525)^2+(I122-Sheet3!$I$525)^2+(J122-Sheet3!$J$525)^2+(K122-Sheet3!$K$525)^2+(L122-Sheet3!$L$525)^2)</f>
        <v>1.5512629157120608</v>
      </c>
      <c r="O122" s="8">
        <f>SQRT((C122-Sheet3!$C$526)^2+(D122-Sheet3!$D$526)^2+(E122-Sheet3!$E$526)^2+(F122-Sheet3!$F$526)^2+(G122-Sheet3!$G$526)^2+(H122-Sheet3!$H$526)^2+(I122-Sheet3!$I$526)^2+(J122-Sheet3!$J$526)^2+(K122-Sheet3!$K$526)^2+(L122-Sheet3!$L$526)^2)</f>
        <v>3.7739327615344802</v>
      </c>
      <c r="P122" s="12">
        <f t="shared" si="1"/>
        <v>0</v>
      </c>
      <c r="Q122" s="11">
        <f>IF(P122=Sheet1!M122, 1, 0)</f>
        <v>1</v>
      </c>
    </row>
    <row r="123" spans="1:17" x14ac:dyDescent="0.35">
      <c r="A123" s="6" t="s">
        <v>133</v>
      </c>
      <c r="B123" s="6" t="s">
        <v>140</v>
      </c>
      <c r="C123" s="6">
        <v>-3.6657559387630961E-2</v>
      </c>
      <c r="D123" s="6">
        <v>-0.15750440824173179</v>
      </c>
      <c r="E123" s="6">
        <v>0.36552298730942828</v>
      </c>
      <c r="F123" s="6">
        <v>-0.38004631790191756</v>
      </c>
      <c r="G123" s="6">
        <v>-1.8166700210001441</v>
      </c>
      <c r="H123" s="6">
        <v>-1.3817177529000497</v>
      </c>
      <c r="I123" s="6">
        <v>-1.7701101475187617</v>
      </c>
      <c r="J123" s="6">
        <v>-0.71344204108775977</v>
      </c>
      <c r="K123" s="6">
        <v>0.39835259206729601</v>
      </c>
      <c r="L123" s="6">
        <v>-0.41313242337968759</v>
      </c>
      <c r="N123" s="8">
        <f>SQRT((C123-Sheet3!$C$525)^2+(D123-Sheet3!$D$525)^2+(E123-Sheet3!$E$525)^2+(F123-Sheet3!$F$525)^2+(G123-Sheet3!$G$525)^2+(H123-Sheet3!$H$525)^2+(I123-Sheet3!$I$525)^2+(J123-Sheet3!$J$525)^2+(K123-Sheet3!$K$525)^2+(L123-Sheet3!$L$525)^2)</f>
        <v>2.6506806403299237</v>
      </c>
      <c r="O123" s="8">
        <f>SQRT((C123-Sheet3!$C$526)^2+(D123-Sheet3!$D$526)^2+(E123-Sheet3!$E$526)^2+(F123-Sheet3!$F$526)^2+(G123-Sheet3!$G$526)^2+(H123-Sheet3!$H$526)^2+(I123-Sheet3!$I$526)^2+(J123-Sheet3!$J$526)^2+(K123-Sheet3!$K$526)^2+(L123-Sheet3!$L$526)^2)</f>
        <v>5.390794305466919</v>
      </c>
      <c r="P123" s="12">
        <f t="shared" si="1"/>
        <v>0</v>
      </c>
      <c r="Q123" s="11">
        <f>IF(P123=Sheet1!M123, 1, 0)</f>
        <v>1</v>
      </c>
    </row>
    <row r="124" spans="1:17" x14ac:dyDescent="0.35">
      <c r="A124" s="6" t="s">
        <v>133</v>
      </c>
      <c r="B124" s="6" t="s">
        <v>141</v>
      </c>
      <c r="C124" s="6">
        <v>0.34313459899153748</v>
      </c>
      <c r="D124" s="6">
        <v>-8.9988871911273333E-2</v>
      </c>
      <c r="E124" s="6">
        <v>-0.34915749517472278</v>
      </c>
      <c r="F124" s="6">
        <v>-0.20132935106974834</v>
      </c>
      <c r="G124" s="6">
        <v>-0.45782795976995844</v>
      </c>
      <c r="H124" s="6">
        <v>-0.55599121452525291</v>
      </c>
      <c r="I124" s="6">
        <v>-1.4335123428913839</v>
      </c>
      <c r="J124" s="6">
        <v>-1.203116471002724</v>
      </c>
      <c r="K124" s="6">
        <v>0.9585872063815295</v>
      </c>
      <c r="L124" s="6">
        <v>-0.39846230273950839</v>
      </c>
      <c r="N124" s="8">
        <f>SQRT((C124-Sheet3!$C$525)^2+(D124-Sheet3!$D$525)^2+(E124-Sheet3!$E$525)^2+(F124-Sheet3!$F$525)^2+(G124-Sheet3!$G$525)^2+(H124-Sheet3!$H$525)^2+(I124-Sheet3!$I$525)^2+(J124-Sheet3!$J$525)^2+(K124-Sheet3!$K$525)^2+(L124-Sheet3!$L$525)^2)</f>
        <v>1.7718932998891985</v>
      </c>
      <c r="O124" s="8">
        <f>SQRT((C124-Sheet3!$C$526)^2+(D124-Sheet3!$D$526)^2+(E124-Sheet3!$E$526)^2+(F124-Sheet3!$F$526)^2+(G124-Sheet3!$G$526)^2+(H124-Sheet3!$H$526)^2+(I124-Sheet3!$I$526)^2+(J124-Sheet3!$J$526)^2+(K124-Sheet3!$K$526)^2+(L124-Sheet3!$L$526)^2)</f>
        <v>4.9254402302553961</v>
      </c>
      <c r="P124" s="12">
        <f t="shared" si="1"/>
        <v>0</v>
      </c>
      <c r="Q124" s="11">
        <f>IF(P124=Sheet1!M124, 1, 0)</f>
        <v>1</v>
      </c>
    </row>
    <row r="125" spans="1:17" x14ac:dyDescent="0.35">
      <c r="A125" s="6" t="s">
        <v>133</v>
      </c>
      <c r="B125" s="6" t="s">
        <v>142</v>
      </c>
      <c r="C125" s="6">
        <v>-0.34800660795288568</v>
      </c>
      <c r="D125" s="6">
        <v>-0.58714873034465098</v>
      </c>
      <c r="E125" s="6">
        <v>-0.31452864705435668</v>
      </c>
      <c r="F125" s="6">
        <v>-0.30301314254322465</v>
      </c>
      <c r="G125" s="6">
        <v>-0.42588936431369356</v>
      </c>
      <c r="H125" s="6">
        <v>0.16308571223949248</v>
      </c>
      <c r="I125" s="6">
        <v>-1.4073750133653939</v>
      </c>
      <c r="J125" s="6">
        <v>-0.37560464370456742</v>
      </c>
      <c r="K125" s="6">
        <v>-0.3355860507074982</v>
      </c>
      <c r="L125" s="6">
        <v>-0.39726936436066201</v>
      </c>
      <c r="N125" s="8">
        <f>SQRT((C125-Sheet3!$C$525)^2+(D125-Sheet3!$D$525)^2+(E125-Sheet3!$E$525)^2+(F125-Sheet3!$F$525)^2+(G125-Sheet3!$G$525)^2+(H125-Sheet3!$H$525)^2+(I125-Sheet3!$I$525)^2+(J125-Sheet3!$J$525)^2+(K125-Sheet3!$K$525)^2+(L125-Sheet3!$L$525)^2)</f>
        <v>1.4988910249118423</v>
      </c>
      <c r="O125" s="8">
        <f>SQRT((C125-Sheet3!$C$526)^2+(D125-Sheet3!$D$526)^2+(E125-Sheet3!$E$526)^2+(F125-Sheet3!$F$526)^2+(G125-Sheet3!$G$526)^2+(H125-Sheet3!$H$526)^2+(I125-Sheet3!$I$526)^2+(J125-Sheet3!$J$526)^2+(K125-Sheet3!$K$526)^2+(L125-Sheet3!$L$526)^2)</f>
        <v>4.2452707523303248</v>
      </c>
      <c r="P125" s="12">
        <f t="shared" si="1"/>
        <v>0</v>
      </c>
      <c r="Q125" s="11">
        <f>IF(P125=Sheet1!M125, 1, 0)</f>
        <v>1</v>
      </c>
    </row>
    <row r="126" spans="1:17" x14ac:dyDescent="0.35">
      <c r="A126" s="6" t="s">
        <v>133</v>
      </c>
      <c r="B126" s="6" t="s">
        <v>143</v>
      </c>
      <c r="C126" s="6">
        <v>0.75379325787502005</v>
      </c>
      <c r="D126" s="6">
        <v>2.0643705146333677</v>
      </c>
      <c r="E126" s="6">
        <v>1.3937050628832766</v>
      </c>
      <c r="F126" s="6">
        <v>1.6351415494814909</v>
      </c>
      <c r="G126" s="6">
        <v>0.15771587993260558</v>
      </c>
      <c r="H126" s="6">
        <v>1.0017394762639924</v>
      </c>
      <c r="I126" s="6">
        <v>0.45092536634825392</v>
      </c>
      <c r="J126" s="6">
        <v>0.48986644172653154</v>
      </c>
      <c r="K126" s="6">
        <v>-0.63291727059493941</v>
      </c>
      <c r="L126" s="6">
        <v>-0.12810490102920816</v>
      </c>
      <c r="N126" s="8">
        <f>SQRT((C126-Sheet3!$C$525)^2+(D126-Sheet3!$D$525)^2+(E126-Sheet3!$E$525)^2+(F126-Sheet3!$F$525)^2+(G126-Sheet3!$G$525)^2+(H126-Sheet3!$H$525)^2+(I126-Sheet3!$I$525)^2+(J126-Sheet3!$J$525)^2+(K126-Sheet3!$K$525)^2+(L126-Sheet3!$L$525)^2)</f>
        <v>4.0849138419712911</v>
      </c>
      <c r="O126" s="8">
        <f>SQRT((C126-Sheet3!$C$526)^2+(D126-Sheet3!$D$526)^2+(E126-Sheet3!$E$526)^2+(F126-Sheet3!$F$526)^2+(G126-Sheet3!$G$526)^2+(H126-Sheet3!$H$526)^2+(I126-Sheet3!$I$526)^2+(J126-Sheet3!$J$526)^2+(K126-Sheet3!$K$526)^2+(L126-Sheet3!$L$526)^2)</f>
        <v>2.232116145369341</v>
      </c>
      <c r="P126" s="12">
        <f t="shared" si="1"/>
        <v>1</v>
      </c>
      <c r="Q126" s="11">
        <f>IF(P126=Sheet1!M126, 1, 0)</f>
        <v>0</v>
      </c>
    </row>
    <row r="127" spans="1:17" x14ac:dyDescent="0.35">
      <c r="A127" s="6" t="s">
        <v>144</v>
      </c>
      <c r="B127" s="6" t="s">
        <v>145</v>
      </c>
      <c r="C127" s="6">
        <v>7.3388225019053926E-2</v>
      </c>
      <c r="D127" s="6">
        <v>-0.22501994457219024</v>
      </c>
      <c r="E127" s="6">
        <v>-0.13106943041667257</v>
      </c>
      <c r="F127" s="6">
        <v>-0.31225712358626595</v>
      </c>
      <c r="G127" s="6">
        <v>-0.58267883291717426</v>
      </c>
      <c r="H127" s="6">
        <v>-3.7824919732979537E-2</v>
      </c>
      <c r="I127" s="6">
        <v>-0.90375329810852245</v>
      </c>
      <c r="J127" s="6">
        <v>-0.84629944455306005</v>
      </c>
      <c r="K127" s="6">
        <v>2.1541716905605091</v>
      </c>
      <c r="L127" s="6">
        <v>-0.3533505017248047</v>
      </c>
      <c r="N127" s="8">
        <f>SQRT((C127-Sheet3!$C$525)^2+(D127-Sheet3!$D$525)^2+(E127-Sheet3!$E$525)^2+(F127-Sheet3!$F$525)^2+(G127-Sheet3!$G$525)^2+(H127-Sheet3!$H$525)^2+(I127-Sheet3!$I$525)^2+(J127-Sheet3!$J$525)^2+(K127-Sheet3!$K$525)^2+(L127-Sheet3!$L$525)^2)</f>
        <v>2.2083778272508003</v>
      </c>
      <c r="O127" s="8">
        <f>SQRT((C127-Sheet3!$C$526)^2+(D127-Sheet3!$D$526)^2+(E127-Sheet3!$E$526)^2+(F127-Sheet3!$F$526)^2+(G127-Sheet3!$G$526)^2+(H127-Sheet3!$H$526)^2+(I127-Sheet3!$I$526)^2+(J127-Sheet3!$J$526)^2+(K127-Sheet3!$K$526)^2+(L127-Sheet3!$L$526)^2)</f>
        <v>4.9637555136478104</v>
      </c>
      <c r="P127" s="12">
        <f t="shared" si="1"/>
        <v>0</v>
      </c>
      <c r="Q127" s="11">
        <f>IF(P127=Sheet1!M127, 1, 0)</f>
        <v>1</v>
      </c>
    </row>
    <row r="128" spans="1:17" x14ac:dyDescent="0.35">
      <c r="A128" s="6" t="s">
        <v>144</v>
      </c>
      <c r="B128" s="6" t="s">
        <v>146</v>
      </c>
      <c r="C128" s="6">
        <v>-6.2155972847716408E-2</v>
      </c>
      <c r="D128" s="6">
        <v>-0.67307759476523532</v>
      </c>
      <c r="E128" s="6">
        <v>-0.39004900731685721</v>
      </c>
      <c r="F128" s="6">
        <v>-0.50484006198299824</v>
      </c>
      <c r="G128" s="6">
        <v>-0.28652094777726311</v>
      </c>
      <c r="H128" s="6">
        <v>-0.44395525889449122</v>
      </c>
      <c r="I128" s="6">
        <v>-1.3538253626292205</v>
      </c>
      <c r="J128" s="6">
        <v>-0.80834018642011707</v>
      </c>
      <c r="K128" s="6">
        <v>-0.11024028405596094</v>
      </c>
      <c r="L128" s="6">
        <v>-0.23066627997772018</v>
      </c>
      <c r="N128" s="8">
        <f>SQRT((C128-Sheet3!$C$525)^2+(D128-Sheet3!$D$525)^2+(E128-Sheet3!$E$525)^2+(F128-Sheet3!$F$525)^2+(G128-Sheet3!$G$525)^2+(H128-Sheet3!$H$525)^2+(I128-Sheet3!$I$525)^2+(J128-Sheet3!$J$525)^2+(K128-Sheet3!$K$525)^2+(L128-Sheet3!$L$525)^2)</f>
        <v>1.3594892297837893</v>
      </c>
      <c r="O128" s="8">
        <f>SQRT((C128-Sheet3!$C$526)^2+(D128-Sheet3!$D$526)^2+(E128-Sheet3!$E$526)^2+(F128-Sheet3!$F$526)^2+(G128-Sheet3!$G$526)^2+(H128-Sheet3!$H$526)^2+(I128-Sheet3!$I$526)^2+(J128-Sheet3!$J$526)^2+(K128-Sheet3!$K$526)^2+(L128-Sheet3!$L$526)^2)</f>
        <v>4.6082981130926584</v>
      </c>
      <c r="P128" s="12">
        <f t="shared" si="1"/>
        <v>0</v>
      </c>
      <c r="Q128" s="11">
        <f>IF(P128=Sheet1!M128, 1, 0)</f>
        <v>1</v>
      </c>
    </row>
    <row r="129" spans="1:17" x14ac:dyDescent="0.35">
      <c r="A129" s="6" t="s">
        <v>144</v>
      </c>
      <c r="B129" s="6" t="s">
        <v>147</v>
      </c>
      <c r="C129" s="6">
        <v>0.25724520628388092</v>
      </c>
      <c r="D129" s="6">
        <v>-0.45211765768373352</v>
      </c>
      <c r="E129" s="6">
        <v>-0.14506832646533119</v>
      </c>
      <c r="F129" s="6">
        <v>-0.22135797666300996</v>
      </c>
      <c r="G129" s="6">
        <v>-6.8757796939092355E-2</v>
      </c>
      <c r="H129" s="6">
        <v>0.92633065997405695</v>
      </c>
      <c r="I129" s="6">
        <v>0.17743965008850993</v>
      </c>
      <c r="J129" s="6">
        <v>7.9906453890747658E-2</v>
      </c>
      <c r="K129" s="6">
        <v>-0.53432849768489332</v>
      </c>
      <c r="L129" s="6">
        <v>0.17921940270797443</v>
      </c>
      <c r="N129" s="8">
        <f>SQRT((C129-Sheet3!$C$525)^2+(D129-Sheet3!$D$525)^2+(E129-Sheet3!$E$525)^2+(F129-Sheet3!$F$525)^2+(G129-Sheet3!$G$525)^2+(H129-Sheet3!$H$525)^2+(I129-Sheet3!$I$525)^2+(J129-Sheet3!$J$525)^2+(K129-Sheet3!$K$525)^2+(L129-Sheet3!$L$525)^2)</f>
        <v>1.5533523376908358</v>
      </c>
      <c r="O129" s="8">
        <f>SQRT((C129-Sheet3!$C$526)^2+(D129-Sheet3!$D$526)^2+(E129-Sheet3!$E$526)^2+(F129-Sheet3!$F$526)^2+(G129-Sheet3!$G$526)^2+(H129-Sheet3!$H$526)^2+(I129-Sheet3!$I$526)^2+(J129-Sheet3!$J$526)^2+(K129-Sheet3!$K$526)^2+(L129-Sheet3!$L$526)^2)</f>
        <v>3.1838575025757123</v>
      </c>
      <c r="P129" s="12">
        <f t="shared" si="1"/>
        <v>0</v>
      </c>
      <c r="Q129" s="11">
        <f>IF(P129=Sheet1!M129, 1, 0)</f>
        <v>1</v>
      </c>
    </row>
    <row r="130" spans="1:17" x14ac:dyDescent="0.35">
      <c r="A130" s="6" t="s">
        <v>144</v>
      </c>
      <c r="B130" s="6" t="s">
        <v>148</v>
      </c>
      <c r="C130" s="6">
        <v>0.3766851430179658</v>
      </c>
      <c r="D130" s="6">
        <v>-0.40915322547344196</v>
      </c>
      <c r="E130" s="6">
        <v>-0.11007108634368462</v>
      </c>
      <c r="F130" s="6">
        <v>-4.1100346323668296E-2</v>
      </c>
      <c r="G130" s="6">
        <v>0.32611938324745715</v>
      </c>
      <c r="H130" s="6">
        <v>0.48949815989450041</v>
      </c>
      <c r="I130" s="6">
        <v>-5.0146365540228978E-2</v>
      </c>
      <c r="J130" s="6">
        <v>-0.76278907666058571</v>
      </c>
      <c r="K130" s="6">
        <v>-0.12432439447168243</v>
      </c>
      <c r="L130" s="6">
        <v>0.14702417061640474</v>
      </c>
      <c r="N130" s="8">
        <f>SQRT((C130-Sheet3!$C$525)^2+(D130-Sheet3!$D$525)^2+(E130-Sheet3!$E$525)^2+(F130-Sheet3!$F$525)^2+(G130-Sheet3!$G$525)^2+(H130-Sheet3!$H$525)^2+(I130-Sheet3!$I$525)^2+(J130-Sheet3!$J$525)^2+(K130-Sheet3!$K$525)^2+(L130-Sheet3!$L$525)^2)</f>
        <v>1.2204607908992511</v>
      </c>
      <c r="O130" s="8">
        <f>SQRT((C130-Sheet3!$C$526)^2+(D130-Sheet3!$D$526)^2+(E130-Sheet3!$E$526)^2+(F130-Sheet3!$F$526)^2+(G130-Sheet3!$G$526)^2+(H130-Sheet3!$H$526)^2+(I130-Sheet3!$I$526)^2+(J130-Sheet3!$J$526)^2+(K130-Sheet3!$K$526)^2+(L130-Sheet3!$L$526)^2)</f>
        <v>3.4702240618001805</v>
      </c>
      <c r="P130" s="12">
        <f t="shared" si="1"/>
        <v>0</v>
      </c>
      <c r="Q130" s="11">
        <f>IF(P130=Sheet1!M130, 1, 0)</f>
        <v>1</v>
      </c>
    </row>
    <row r="131" spans="1:17" x14ac:dyDescent="0.35">
      <c r="A131" s="6" t="s">
        <v>144</v>
      </c>
      <c r="B131" s="6" t="s">
        <v>149</v>
      </c>
      <c r="C131" s="6">
        <v>-3.7999581148688066E-2</v>
      </c>
      <c r="D131" s="6">
        <v>-0.5196331940141925</v>
      </c>
      <c r="E131" s="6">
        <v>0.3441562512351598</v>
      </c>
      <c r="F131" s="6">
        <v>4.6717473585242759E-2</v>
      </c>
      <c r="G131" s="6">
        <v>6.1900093563810932E-2</v>
      </c>
      <c r="H131" s="6">
        <v>0.11676315366138909</v>
      </c>
      <c r="I131" s="6">
        <v>-0.39758159948326027</v>
      </c>
      <c r="J131" s="6">
        <v>-0.28450242418550464</v>
      </c>
      <c r="K131" s="6">
        <v>0.43747512099985425</v>
      </c>
      <c r="L131" s="6">
        <v>0.55885733168302165</v>
      </c>
      <c r="N131" s="8">
        <f>SQRT((C131-Sheet3!$C$525)^2+(D131-Sheet3!$D$525)^2+(E131-Sheet3!$E$525)^2+(F131-Sheet3!$F$525)^2+(G131-Sheet3!$G$525)^2+(H131-Sheet3!$H$525)^2+(I131-Sheet3!$I$525)^2+(J131-Sheet3!$J$525)^2+(K131-Sheet3!$K$525)^2+(L131-Sheet3!$L$525)^2)</f>
        <v>1.3036761327886286</v>
      </c>
      <c r="O131" s="8">
        <f>SQRT((C131-Sheet3!$C$526)^2+(D131-Sheet3!$D$526)^2+(E131-Sheet3!$E$526)^2+(F131-Sheet3!$F$526)^2+(G131-Sheet3!$G$526)^2+(H131-Sheet3!$H$526)^2+(I131-Sheet3!$I$526)^2+(J131-Sheet3!$J$526)^2+(K131-Sheet3!$K$526)^2+(L131-Sheet3!$L$526)^2)</f>
        <v>3.2784436151666858</v>
      </c>
      <c r="P131" s="12">
        <f t="shared" ref="P131:P194" si="2">IF(N131&lt;=O131, 0, 1)</f>
        <v>0</v>
      </c>
      <c r="Q131" s="11">
        <f>IF(P131=Sheet1!M131, 1, 0)</f>
        <v>1</v>
      </c>
    </row>
    <row r="132" spans="1:17" x14ac:dyDescent="0.35">
      <c r="A132" s="6" t="s">
        <v>144</v>
      </c>
      <c r="B132" s="6" t="s">
        <v>150</v>
      </c>
      <c r="C132" s="6">
        <v>0.98730504429896082</v>
      </c>
      <c r="D132" s="6">
        <v>-5.9299991761064347E-2</v>
      </c>
      <c r="E132" s="6">
        <v>-0.58492837599423653</v>
      </c>
      <c r="F132" s="6">
        <v>-0.31379778709344058</v>
      </c>
      <c r="G132" s="6">
        <v>-0.103599901073201</v>
      </c>
      <c r="H132" s="6">
        <v>-0.11700417683741206</v>
      </c>
      <c r="I132" s="6">
        <v>-1.4252248969441188</v>
      </c>
      <c r="J132" s="6">
        <v>0.41015199964735133</v>
      </c>
      <c r="K132" s="6">
        <v>-0.4326099224602411</v>
      </c>
      <c r="L132" s="6">
        <v>-0.10941019093429626</v>
      </c>
      <c r="N132" s="8">
        <f>SQRT((C132-Sheet3!$C$525)^2+(D132-Sheet3!$D$525)^2+(E132-Sheet3!$E$525)^2+(F132-Sheet3!$F$525)^2+(G132-Sheet3!$G$525)^2+(H132-Sheet3!$H$525)^2+(I132-Sheet3!$I$525)^2+(J132-Sheet3!$J$525)^2+(K132-Sheet3!$K$525)^2+(L132-Sheet3!$L$525)^2)</f>
        <v>1.7834125274595976</v>
      </c>
      <c r="O132" s="8">
        <f>SQRT((C132-Sheet3!$C$526)^2+(D132-Sheet3!$D$526)^2+(E132-Sheet3!$E$526)^2+(F132-Sheet3!$F$526)^2+(G132-Sheet3!$G$526)^2+(H132-Sheet3!$H$526)^2+(I132-Sheet3!$I$526)^2+(J132-Sheet3!$J$526)^2+(K132-Sheet3!$K$526)^2+(L132-Sheet3!$L$526)^2)</f>
        <v>4.1772996088533469</v>
      </c>
      <c r="P132" s="12">
        <f t="shared" si="2"/>
        <v>0</v>
      </c>
      <c r="Q132" s="11">
        <f>IF(P132=Sheet1!M132, 1, 0)</f>
        <v>1</v>
      </c>
    </row>
    <row r="133" spans="1:17" x14ac:dyDescent="0.35">
      <c r="A133" s="6" t="s">
        <v>144</v>
      </c>
      <c r="B133" s="6" t="s">
        <v>151</v>
      </c>
      <c r="C133" s="6">
        <v>0.10962281256759644</v>
      </c>
      <c r="D133" s="6">
        <v>-0.44597988165369196</v>
      </c>
      <c r="E133" s="6">
        <v>-0.42430946343594278</v>
      </c>
      <c r="F133" s="6">
        <v>-0.3630990193230052</v>
      </c>
      <c r="G133" s="6">
        <v>-5.7143762227725561E-2</v>
      </c>
      <c r="H133" s="6">
        <v>7.8520111114349797E-2</v>
      </c>
      <c r="I133" s="6">
        <v>-1.2760508698933488</v>
      </c>
      <c r="J133" s="6">
        <v>-0.64511537644846251</v>
      </c>
      <c r="K133" s="6">
        <v>0.83183021264004053</v>
      </c>
      <c r="L133" s="6">
        <v>-0.25549545398970647</v>
      </c>
      <c r="N133" s="8">
        <f>SQRT((C133-Sheet3!$C$525)^2+(D133-Sheet3!$D$525)^2+(E133-Sheet3!$E$525)^2+(F133-Sheet3!$F$525)^2+(G133-Sheet3!$G$525)^2+(H133-Sheet3!$H$525)^2+(I133-Sheet3!$I$525)^2+(J133-Sheet3!$J$525)^2+(K133-Sheet3!$K$525)^2+(L133-Sheet3!$L$525)^2)</f>
        <v>1.3413866970536596</v>
      </c>
      <c r="O133" s="8">
        <f>SQRT((C133-Sheet3!$C$526)^2+(D133-Sheet3!$D$526)^2+(E133-Sheet3!$E$526)^2+(F133-Sheet3!$F$526)^2+(G133-Sheet3!$G$526)^2+(H133-Sheet3!$H$526)^2+(I133-Sheet3!$I$526)^2+(J133-Sheet3!$J$526)^2+(K133-Sheet3!$K$526)^2+(L133-Sheet3!$L$526)^2)</f>
        <v>4.45425297852504</v>
      </c>
      <c r="P133" s="12">
        <f t="shared" si="2"/>
        <v>0</v>
      </c>
      <c r="Q133" s="11">
        <f>IF(P133=Sheet1!M133, 1, 0)</f>
        <v>1</v>
      </c>
    </row>
    <row r="134" spans="1:17" x14ac:dyDescent="0.35">
      <c r="A134" s="6" t="s">
        <v>144</v>
      </c>
      <c r="B134" s="6" t="s">
        <v>152</v>
      </c>
      <c r="C134" s="6">
        <v>-0.34934862971394282</v>
      </c>
      <c r="D134" s="6">
        <v>-0.54418429813435942</v>
      </c>
      <c r="E134" s="6">
        <v>0.15111884256418295</v>
      </c>
      <c r="F134" s="6">
        <v>-0.18438205249083597</v>
      </c>
      <c r="G134" s="6">
        <v>0.10254921505360297</v>
      </c>
      <c r="H134" s="6">
        <v>0.41085753719213836</v>
      </c>
      <c r="I134" s="6">
        <v>-0.28601982711623164</v>
      </c>
      <c r="J134" s="6">
        <v>-0.3642168662646848</v>
      </c>
      <c r="K134" s="6">
        <v>-0.17909593497726528</v>
      </c>
      <c r="L134" s="6">
        <v>-0.12330485565918529</v>
      </c>
      <c r="N134" s="8">
        <f>SQRT((C134-Sheet3!$C$525)^2+(D134-Sheet3!$D$525)^2+(E134-Sheet3!$E$525)^2+(F134-Sheet3!$F$525)^2+(G134-Sheet3!$G$525)^2+(H134-Sheet3!$H$525)^2+(I134-Sheet3!$I$525)^2+(J134-Sheet3!$J$525)^2+(K134-Sheet3!$K$525)^2+(L134-Sheet3!$L$525)^2)</f>
        <v>1.1488078306929304</v>
      </c>
      <c r="O134" s="8">
        <f>SQRT((C134-Sheet3!$C$526)^2+(D134-Sheet3!$D$526)^2+(E134-Sheet3!$E$526)^2+(F134-Sheet3!$F$526)^2+(G134-Sheet3!$G$526)^2+(H134-Sheet3!$H$526)^2+(I134-Sheet3!$I$526)^2+(J134-Sheet3!$J$526)^2+(K134-Sheet3!$K$526)^2+(L134-Sheet3!$L$526)^2)</f>
        <v>3.3149209093459913</v>
      </c>
      <c r="P134" s="12">
        <f t="shared" si="2"/>
        <v>0</v>
      </c>
      <c r="Q134" s="11">
        <f>IF(P134=Sheet1!M134, 1, 0)</f>
        <v>1</v>
      </c>
    </row>
    <row r="135" spans="1:17" x14ac:dyDescent="0.35">
      <c r="A135" s="6" t="s">
        <v>144</v>
      </c>
      <c r="B135" s="6" t="s">
        <v>153</v>
      </c>
      <c r="C135" s="6">
        <v>0.38071120830113708</v>
      </c>
      <c r="D135" s="6">
        <v>-0.44597988165369196</v>
      </c>
      <c r="E135" s="6">
        <v>-0.8807471530224702</v>
      </c>
      <c r="F135" s="6">
        <v>-0.5834139008488658</v>
      </c>
      <c r="G135" s="6">
        <v>-0.14715253124083269</v>
      </c>
      <c r="H135" s="6">
        <v>0.35160775296433194</v>
      </c>
      <c r="I135" s="6">
        <v>0.12325250351023832</v>
      </c>
      <c r="J135" s="6">
        <v>-0.33005353394503589</v>
      </c>
      <c r="K135" s="6">
        <v>-0.63291727059493941</v>
      </c>
      <c r="L135" s="6">
        <v>-0.21880394830264746</v>
      </c>
      <c r="N135" s="8">
        <f>SQRT((C135-Sheet3!$C$525)^2+(D135-Sheet3!$D$525)^2+(E135-Sheet3!$E$525)^2+(F135-Sheet3!$F$525)^2+(G135-Sheet3!$G$525)^2+(H135-Sheet3!$H$525)^2+(I135-Sheet3!$I$525)^2+(J135-Sheet3!$J$525)^2+(K135-Sheet3!$K$525)^2+(L135-Sheet3!$L$525)^2)</f>
        <v>1.2050208687524417</v>
      </c>
      <c r="O135" s="8">
        <f>SQRT((C135-Sheet3!$C$526)^2+(D135-Sheet3!$D$526)^2+(E135-Sheet3!$E$526)^2+(F135-Sheet3!$F$526)^2+(G135-Sheet3!$G$526)^2+(H135-Sheet3!$H$526)^2+(I135-Sheet3!$I$526)^2+(J135-Sheet3!$J$526)^2+(K135-Sheet3!$K$526)^2+(L135-Sheet3!$L$526)^2)</f>
        <v>3.9999096385183237</v>
      </c>
      <c r="P135" s="12">
        <f t="shared" si="2"/>
        <v>0</v>
      </c>
      <c r="Q135" s="11">
        <f>IF(P135=Sheet1!M135, 1, 0)</f>
        <v>1</v>
      </c>
    </row>
    <row r="136" spans="1:17" x14ac:dyDescent="0.35">
      <c r="A136" s="6" t="s">
        <v>144</v>
      </c>
      <c r="B136" s="6" t="s">
        <v>154</v>
      </c>
      <c r="C136" s="6">
        <v>-0.29029967222742903</v>
      </c>
      <c r="D136" s="6">
        <v>-2.8611111610855368E-2</v>
      </c>
      <c r="E136" s="6">
        <v>-8.3948939902693219E-3</v>
      </c>
      <c r="F136" s="6">
        <v>8.0612070743067463E-2</v>
      </c>
      <c r="G136" s="6">
        <v>0.17804044067749952</v>
      </c>
      <c r="H136" s="6">
        <v>0.63062037323709397</v>
      </c>
      <c r="I136" s="6">
        <v>0.73588600776575075</v>
      </c>
      <c r="J136" s="6">
        <v>-7.9522430267612701E-2</v>
      </c>
      <c r="K136" s="6">
        <v>-0.38096818426926449</v>
      </c>
      <c r="L136" s="6">
        <v>-0.29449262045960378</v>
      </c>
      <c r="N136" s="8">
        <f>SQRT((C136-Sheet3!$C$525)^2+(D136-Sheet3!$D$525)^2+(E136-Sheet3!$E$525)^2+(F136-Sheet3!$F$525)^2+(G136-Sheet3!$G$525)^2+(H136-Sheet3!$H$525)^2+(I136-Sheet3!$I$525)^2+(J136-Sheet3!$J$525)^2+(K136-Sheet3!$K$525)^2+(L136-Sheet3!$L$525)^2)</f>
        <v>1.6980232246106191</v>
      </c>
      <c r="O136" s="8">
        <f>SQRT((C136-Sheet3!$C$526)^2+(D136-Sheet3!$D$526)^2+(E136-Sheet3!$E$526)^2+(F136-Sheet3!$F$526)^2+(G136-Sheet3!$G$526)^2+(H136-Sheet3!$H$526)^2+(I136-Sheet3!$I$526)^2+(J136-Sheet3!$J$526)^2+(K136-Sheet3!$K$526)^2+(L136-Sheet3!$L$526)^2)</f>
        <v>2.7313762750104869</v>
      </c>
      <c r="P136" s="12">
        <f t="shared" si="2"/>
        <v>0</v>
      </c>
      <c r="Q136" s="11">
        <f>IF(P136=Sheet1!M136, 1, 0)</f>
        <v>1</v>
      </c>
    </row>
    <row r="137" spans="1:17" x14ac:dyDescent="0.35">
      <c r="A137" s="6" t="s">
        <v>144</v>
      </c>
      <c r="B137" s="6" t="s">
        <v>155</v>
      </c>
      <c r="C137" s="6">
        <v>-0.63519926481911193</v>
      </c>
      <c r="D137" s="6">
        <v>-0.83265977154631954</v>
      </c>
      <c r="E137" s="6">
        <v>-0.86380112096356765</v>
      </c>
      <c r="F137" s="6">
        <v>-0.90695323735537514</v>
      </c>
      <c r="G137" s="6">
        <v>-0.40556480356879548</v>
      </c>
      <c r="H137" s="6">
        <v>9.5756411980621223E-2</v>
      </c>
      <c r="I137" s="6">
        <v>-0.31024466911592991</v>
      </c>
      <c r="J137" s="6">
        <v>-0.62233982156869672</v>
      </c>
      <c r="K137" s="6">
        <v>-3.9819731977357914E-2</v>
      </c>
      <c r="L137" s="6">
        <v>-0.31043236419540871</v>
      </c>
      <c r="N137" s="8">
        <f>SQRT((C137-Sheet3!$C$525)^2+(D137-Sheet3!$D$525)^2+(E137-Sheet3!$E$525)^2+(F137-Sheet3!$F$525)^2+(G137-Sheet3!$G$525)^2+(H137-Sheet3!$H$525)^2+(I137-Sheet3!$I$525)^2+(J137-Sheet3!$J$525)^2+(K137-Sheet3!$K$525)^2+(L137-Sheet3!$L$525)^2)</f>
        <v>1.318327372312649</v>
      </c>
      <c r="O137" s="8">
        <f>SQRT((C137-Sheet3!$C$526)^2+(D137-Sheet3!$D$526)^2+(E137-Sheet3!$E$526)^2+(F137-Sheet3!$F$526)^2+(G137-Sheet3!$G$526)^2+(H137-Sheet3!$H$526)^2+(I137-Sheet3!$I$526)^2+(J137-Sheet3!$J$526)^2+(K137-Sheet3!$K$526)^2+(L137-Sheet3!$L$526)^2)</f>
        <v>4.5187033293352172</v>
      </c>
      <c r="P137" s="12">
        <f t="shared" si="2"/>
        <v>0</v>
      </c>
      <c r="Q137" s="11">
        <f>IF(P137=Sheet1!M137, 1, 0)</f>
        <v>1</v>
      </c>
    </row>
    <row r="138" spans="1:17" x14ac:dyDescent="0.35">
      <c r="A138" s="6" t="s">
        <v>144</v>
      </c>
      <c r="B138" s="6" t="s">
        <v>156</v>
      </c>
      <c r="C138" s="6">
        <v>-0.53052156745665557</v>
      </c>
      <c r="D138" s="6">
        <v>-0.64238871461502689</v>
      </c>
      <c r="E138" s="6">
        <v>-0.70097185639759096</v>
      </c>
      <c r="F138" s="6">
        <v>-0.57108859279147517</v>
      </c>
      <c r="G138" s="6">
        <v>0.10835623240928637</v>
      </c>
      <c r="H138" s="6">
        <v>-0.10084514477528311</v>
      </c>
      <c r="I138" s="6">
        <v>-2.6983040936124398</v>
      </c>
      <c r="J138" s="6">
        <v>-0.64891130226175675</v>
      </c>
      <c r="K138" s="6">
        <v>0.44686452794366632</v>
      </c>
      <c r="L138" s="6">
        <v>-0.29239018462373983</v>
      </c>
      <c r="N138" s="8">
        <f>SQRT((C138-Sheet3!$C$525)^2+(D138-Sheet3!$D$525)^2+(E138-Sheet3!$E$525)^2+(F138-Sheet3!$F$525)^2+(G138-Sheet3!$G$525)^2+(H138-Sheet3!$H$525)^2+(I138-Sheet3!$I$525)^2+(J138-Sheet3!$J$525)^2+(K138-Sheet3!$K$525)^2+(L138-Sheet3!$L$525)^2)</f>
        <v>2.6970162496679508</v>
      </c>
      <c r="O138" s="8">
        <f>SQRT((C138-Sheet3!$C$526)^2+(D138-Sheet3!$D$526)^2+(E138-Sheet3!$E$526)^2+(F138-Sheet3!$F$526)^2+(G138-Sheet3!$G$526)^2+(H138-Sheet3!$H$526)^2+(I138-Sheet3!$I$526)^2+(J138-Sheet3!$J$526)^2+(K138-Sheet3!$K$526)^2+(L138-Sheet3!$L$526)^2)</f>
        <v>5.3283120021439832</v>
      </c>
      <c r="P138" s="12">
        <f t="shared" si="2"/>
        <v>0</v>
      </c>
      <c r="Q138" s="11">
        <f>IF(P138=Sheet1!M138, 1, 0)</f>
        <v>1</v>
      </c>
    </row>
    <row r="139" spans="1:17" x14ac:dyDescent="0.35">
      <c r="A139" s="6" t="s">
        <v>144</v>
      </c>
      <c r="B139" s="6" t="s">
        <v>157</v>
      </c>
      <c r="C139" s="6">
        <v>0.34045055546942327</v>
      </c>
      <c r="D139" s="6">
        <v>-0.15136663221169019</v>
      </c>
      <c r="E139" s="6">
        <v>-0.66008034425545659</v>
      </c>
      <c r="F139" s="6">
        <v>-0.86689598616885621</v>
      </c>
      <c r="G139" s="6">
        <v>-1.7411787953762454</v>
      </c>
      <c r="H139" s="6">
        <v>-2.8129500495701707E-2</v>
      </c>
      <c r="I139" s="6">
        <v>-0.67616728247978353</v>
      </c>
      <c r="J139" s="6">
        <v>-0.75140129922070276</v>
      </c>
      <c r="K139" s="6">
        <v>0.80679179412320379</v>
      </c>
      <c r="L139" s="6">
        <v>-0.39347173659357432</v>
      </c>
      <c r="N139" s="8">
        <f>SQRT((C139-Sheet3!$C$525)^2+(D139-Sheet3!$D$525)^2+(E139-Sheet3!$E$525)^2+(F139-Sheet3!$F$525)^2+(G139-Sheet3!$G$525)^2+(H139-Sheet3!$H$525)^2+(I139-Sheet3!$I$525)^2+(J139-Sheet3!$J$525)^2+(K139-Sheet3!$K$525)^2+(L139-Sheet3!$L$525)^2)</f>
        <v>1.8405059687713641</v>
      </c>
      <c r="O139" s="8">
        <f>SQRT((C139-Sheet3!$C$526)^2+(D139-Sheet3!$D$526)^2+(E139-Sheet3!$E$526)^2+(F139-Sheet3!$F$526)^2+(G139-Sheet3!$G$526)^2+(H139-Sheet3!$H$526)^2+(I139-Sheet3!$I$526)^2+(J139-Sheet3!$J$526)^2+(K139-Sheet3!$K$526)^2+(L139-Sheet3!$L$526)^2)</f>
        <v>5.1853773115933874</v>
      </c>
      <c r="P139" s="12">
        <f t="shared" si="2"/>
        <v>0</v>
      </c>
      <c r="Q139" s="11">
        <f>IF(P139=Sheet1!M139, 1, 0)</f>
        <v>1</v>
      </c>
    </row>
    <row r="140" spans="1:17" x14ac:dyDescent="0.35">
      <c r="A140" s="6" t="s">
        <v>144</v>
      </c>
      <c r="B140" s="6" t="s">
        <v>158</v>
      </c>
      <c r="C140" s="6">
        <v>-0.42450184833314225</v>
      </c>
      <c r="D140" s="6">
        <v>1.5426595520798214</v>
      </c>
      <c r="E140" s="6">
        <v>0.70812754850028414</v>
      </c>
      <c r="F140" s="6">
        <v>1.1791051513580277</v>
      </c>
      <c r="G140" s="6">
        <v>0.51194393862936305</v>
      </c>
      <c r="H140" s="6">
        <v>0.98288727219150862</v>
      </c>
      <c r="I140" s="6">
        <v>0.84999776350116807</v>
      </c>
      <c r="J140" s="6">
        <v>1.4388478950501051</v>
      </c>
      <c r="K140" s="6">
        <v>-0.35749466690972864</v>
      </c>
      <c r="L140" s="6">
        <v>0.3730600835852288</v>
      </c>
      <c r="N140" s="8">
        <f>SQRT((C140-Sheet3!$C$525)^2+(D140-Sheet3!$D$525)^2+(E140-Sheet3!$E$525)^2+(F140-Sheet3!$F$525)^2+(G140-Sheet3!$G$525)^2+(H140-Sheet3!$H$525)^2+(I140-Sheet3!$I$525)^2+(J140-Sheet3!$J$525)^2+(K140-Sheet3!$K$525)^2+(L140-Sheet3!$L$525)^2)</f>
        <v>3.808348675771724</v>
      </c>
      <c r="O140" s="8">
        <f>SQRT((C140-Sheet3!$C$526)^2+(D140-Sheet3!$D$526)^2+(E140-Sheet3!$E$526)^2+(F140-Sheet3!$F$526)^2+(G140-Sheet3!$G$526)^2+(H140-Sheet3!$H$526)^2+(I140-Sheet3!$I$526)^2+(J140-Sheet3!$J$526)^2+(K140-Sheet3!$K$526)^2+(L140-Sheet3!$L$526)^2)</f>
        <v>1.0099672882806008</v>
      </c>
      <c r="P140" s="12">
        <f t="shared" si="2"/>
        <v>1</v>
      </c>
      <c r="Q140" s="11">
        <f>IF(P140=Sheet1!M140, 1, 0)</f>
        <v>0</v>
      </c>
    </row>
    <row r="141" spans="1:17" x14ac:dyDescent="0.35">
      <c r="A141" s="6" t="s">
        <v>144</v>
      </c>
      <c r="B141" s="6" t="s">
        <v>159</v>
      </c>
      <c r="C141" s="6">
        <v>-0.44865824003217064</v>
      </c>
      <c r="D141" s="6">
        <v>1.5549351041399058</v>
      </c>
      <c r="E141" s="6">
        <v>0.58618979607644195</v>
      </c>
      <c r="F141" s="6">
        <v>1.1652391797934625</v>
      </c>
      <c r="G141" s="6">
        <v>0.58162814689757625</v>
      </c>
      <c r="H141" s="6">
        <v>0.93925788562376</v>
      </c>
      <c r="I141" s="6">
        <v>0.59882440171482954</v>
      </c>
      <c r="J141" s="6">
        <v>-2.2583543068198139E-2</v>
      </c>
      <c r="K141" s="6">
        <v>-0.4310450213029402</v>
      </c>
      <c r="L141" s="6">
        <v>-0.36787124387990067</v>
      </c>
      <c r="N141" s="8">
        <f>SQRT((C141-Sheet3!$C$525)^2+(D141-Sheet3!$D$525)^2+(E141-Sheet3!$E$525)^2+(F141-Sheet3!$F$525)^2+(G141-Sheet3!$G$525)^2+(H141-Sheet3!$H$525)^2+(I141-Sheet3!$I$525)^2+(J141-Sheet3!$J$525)^2+(K141-Sheet3!$K$525)^2+(L141-Sheet3!$L$525)^2)</f>
        <v>3.2444786340032303</v>
      </c>
      <c r="O141" s="8">
        <f>SQRT((C141-Sheet3!$C$526)^2+(D141-Sheet3!$D$526)^2+(E141-Sheet3!$E$526)^2+(F141-Sheet3!$F$526)^2+(G141-Sheet3!$G$526)^2+(H141-Sheet3!$H$526)^2+(I141-Sheet3!$I$526)^2+(J141-Sheet3!$J$526)^2+(K141-Sheet3!$K$526)^2+(L141-Sheet3!$L$526)^2)</f>
        <v>1.8283339247887382</v>
      </c>
      <c r="P141" s="12">
        <f t="shared" si="2"/>
        <v>1</v>
      </c>
      <c r="Q141" s="11">
        <f>IF(P141=Sheet1!M141, 1, 0)</f>
        <v>0</v>
      </c>
    </row>
    <row r="142" spans="1:17" x14ac:dyDescent="0.35">
      <c r="A142" s="6" t="s">
        <v>160</v>
      </c>
      <c r="B142" s="6" t="s">
        <v>161</v>
      </c>
      <c r="C142" s="6">
        <v>-1.0015712055877091</v>
      </c>
      <c r="D142" s="6">
        <v>-0.11453997603143964</v>
      </c>
      <c r="E142" s="6">
        <v>0.77333293272693093</v>
      </c>
      <c r="F142" s="6">
        <v>0.39028543568501156</v>
      </c>
      <c r="G142" s="6">
        <v>0.43064569564977895</v>
      </c>
      <c r="H142" s="6">
        <v>0.99796903544949589</v>
      </c>
      <c r="I142" s="6">
        <v>-1.3321505039979122</v>
      </c>
      <c r="J142" s="6">
        <v>0.34562126082134836</v>
      </c>
      <c r="K142" s="6">
        <v>-1.0617001876957779</v>
      </c>
      <c r="L142" s="6">
        <v>-0.23465894184464939</v>
      </c>
      <c r="N142" s="8">
        <f>SQRT((C142-Sheet3!$C$525)^2+(D142-Sheet3!$D$525)^2+(E142-Sheet3!$E$525)^2+(F142-Sheet3!$F$525)^2+(G142-Sheet3!$G$525)^2+(H142-Sheet3!$H$525)^2+(I142-Sheet3!$I$525)^2+(J142-Sheet3!$J$525)^2+(K142-Sheet3!$K$525)^2+(L142-Sheet3!$L$525)^2)</f>
        <v>2.931347603946139</v>
      </c>
      <c r="O142" s="8">
        <f>SQRT((C142-Sheet3!$C$526)^2+(D142-Sheet3!$D$526)^2+(E142-Sheet3!$E$526)^2+(F142-Sheet3!$F$526)^2+(G142-Sheet3!$G$526)^2+(H142-Sheet3!$H$526)^2+(I142-Sheet3!$I$526)^2+(J142-Sheet3!$J$526)^2+(K142-Sheet3!$K$526)^2+(L142-Sheet3!$L$526)^2)</f>
        <v>2.9852201989592864</v>
      </c>
      <c r="P142" s="12">
        <f t="shared" si="2"/>
        <v>0</v>
      </c>
      <c r="Q142" s="11">
        <f>IF(P142=Sheet1!M142, 1, 0)</f>
        <v>1</v>
      </c>
    </row>
    <row r="143" spans="1:17" x14ac:dyDescent="0.35">
      <c r="A143" s="6" t="s">
        <v>160</v>
      </c>
      <c r="B143" s="6" t="s">
        <v>162</v>
      </c>
      <c r="C143" s="6">
        <v>-0.68753811350034011</v>
      </c>
      <c r="D143" s="6">
        <v>2.0491096629478348E-2</v>
      </c>
      <c r="E143" s="6">
        <v>1.1929314221854093</v>
      </c>
      <c r="F143" s="6">
        <v>0.40723273426392392</v>
      </c>
      <c r="G143" s="6">
        <v>0.41903166093840805</v>
      </c>
      <c r="H143" s="6">
        <v>0.93548744480926282</v>
      </c>
      <c r="I143" s="6">
        <v>-1.2001888646837695</v>
      </c>
      <c r="J143" s="6">
        <v>-0.5881764892490482</v>
      </c>
      <c r="K143" s="6">
        <v>-0.49833577106693916</v>
      </c>
      <c r="L143" s="6">
        <v>-0.318734080294791</v>
      </c>
      <c r="N143" s="8">
        <f>SQRT((C143-Sheet3!$C$525)^2+(D143-Sheet3!$D$525)^2+(E143-Sheet3!$E$525)^2+(F143-Sheet3!$F$525)^2+(G143-Sheet3!$G$525)^2+(H143-Sheet3!$H$525)^2+(I143-Sheet3!$I$525)^2+(J143-Sheet3!$J$525)^2+(K143-Sheet3!$K$525)^2+(L143-Sheet3!$L$525)^2)</f>
        <v>2.6944716719875319</v>
      </c>
      <c r="O143" s="8">
        <f>SQRT((C143-Sheet3!$C$526)^2+(D143-Sheet3!$D$526)^2+(E143-Sheet3!$E$526)^2+(F143-Sheet3!$F$526)^2+(G143-Sheet3!$G$526)^2+(H143-Sheet3!$H$526)^2+(I143-Sheet3!$I$526)^2+(J143-Sheet3!$J$526)^2+(K143-Sheet3!$K$526)^2+(L143-Sheet3!$L$526)^2)</f>
        <v>3.1601120506571587</v>
      </c>
      <c r="P143" s="12">
        <f t="shared" si="2"/>
        <v>0</v>
      </c>
      <c r="Q143" s="11">
        <f>IF(P143=Sheet1!M143, 1, 0)</f>
        <v>1</v>
      </c>
    </row>
    <row r="144" spans="1:17" x14ac:dyDescent="0.35">
      <c r="A144" s="6" t="s">
        <v>160</v>
      </c>
      <c r="B144" s="6" t="s">
        <v>163</v>
      </c>
      <c r="C144" s="6">
        <v>-1.2780276883654784</v>
      </c>
      <c r="D144" s="6">
        <v>-0.6116998344648179</v>
      </c>
      <c r="E144" s="6">
        <v>0.71623217252845495</v>
      </c>
      <c r="F144" s="6">
        <v>-5.0344327366711801E-2</v>
      </c>
      <c r="G144" s="6">
        <v>0.12287377579849693</v>
      </c>
      <c r="H144" s="6">
        <v>0.68879288866075861</v>
      </c>
      <c r="I144" s="6">
        <v>-0.31598213169480499</v>
      </c>
      <c r="J144" s="6">
        <v>-0.46670686322363059</v>
      </c>
      <c r="K144" s="6">
        <v>-0.54528280578600863</v>
      </c>
      <c r="L144" s="6">
        <v>-0.24305687950282431</v>
      </c>
      <c r="N144" s="8">
        <f>SQRT((C144-Sheet3!$C$525)^2+(D144-Sheet3!$D$525)^2+(E144-Sheet3!$E$525)^2+(F144-Sheet3!$F$525)^2+(G144-Sheet3!$G$525)^2+(H144-Sheet3!$H$525)^2+(I144-Sheet3!$I$525)^2+(J144-Sheet3!$J$525)^2+(K144-Sheet3!$K$525)^2+(L144-Sheet3!$L$525)^2)</f>
        <v>2.2506648224666295</v>
      </c>
      <c r="O144" s="8">
        <f>SQRT((C144-Sheet3!$C$526)^2+(D144-Sheet3!$D$526)^2+(E144-Sheet3!$E$526)^2+(F144-Sheet3!$F$526)^2+(G144-Sheet3!$G$526)^2+(H144-Sheet3!$H$526)^2+(I144-Sheet3!$I$526)^2+(J144-Sheet3!$J$526)^2+(K144-Sheet3!$K$526)^2+(L144-Sheet3!$L$526)^2)</f>
        <v>3.2438310717217047</v>
      </c>
      <c r="P144" s="12">
        <f t="shared" si="2"/>
        <v>0</v>
      </c>
      <c r="Q144" s="11">
        <f>IF(P144=Sheet1!M144, 1, 0)</f>
        <v>1</v>
      </c>
    </row>
    <row r="145" spans="1:17" x14ac:dyDescent="0.35">
      <c r="A145" s="6" t="s">
        <v>160</v>
      </c>
      <c r="B145" s="6" t="s">
        <v>164</v>
      </c>
      <c r="C145" s="6">
        <v>-0.95862650923388082</v>
      </c>
      <c r="D145" s="6">
        <v>-0.75900645918581899</v>
      </c>
      <c r="E145" s="6">
        <v>0.96526516539406637</v>
      </c>
      <c r="F145" s="6">
        <v>0.14840126505871687</v>
      </c>
      <c r="G145" s="6">
        <v>0.5409790254077842</v>
      </c>
      <c r="H145" s="6">
        <v>0.83260827401370774</v>
      </c>
      <c r="I145" s="6">
        <v>-0.4976684466925379</v>
      </c>
      <c r="J145" s="6">
        <v>-4.1563172134669542E-2</v>
      </c>
      <c r="K145" s="6">
        <v>-0.50459537569614943</v>
      </c>
      <c r="L145" s="6">
        <v>-0.33384345600748666</v>
      </c>
      <c r="N145" s="8">
        <f>SQRT((C145-Sheet3!$C$525)^2+(D145-Sheet3!$D$525)^2+(E145-Sheet3!$E$525)^2+(F145-Sheet3!$F$525)^2+(G145-Sheet3!$G$525)^2+(H145-Sheet3!$H$525)^2+(I145-Sheet3!$I$525)^2+(J145-Sheet3!$J$525)^2+(K145-Sheet3!$K$525)^2+(L145-Sheet3!$L$525)^2)</f>
        <v>2.442177095331632</v>
      </c>
      <c r="O145" s="8">
        <f>SQRT((C145-Sheet3!$C$526)^2+(D145-Sheet3!$D$526)^2+(E145-Sheet3!$E$526)^2+(F145-Sheet3!$F$526)^2+(G145-Sheet3!$G$526)^2+(H145-Sheet3!$H$526)^2+(I145-Sheet3!$I$526)^2+(J145-Sheet3!$J$526)^2+(K145-Sheet3!$K$526)^2+(L145-Sheet3!$L$526)^2)</f>
        <v>3.0181792586121086</v>
      </c>
      <c r="P145" s="12">
        <f t="shared" si="2"/>
        <v>0</v>
      </c>
      <c r="Q145" s="11">
        <f>IF(P145=Sheet1!M145, 1, 0)</f>
        <v>1</v>
      </c>
    </row>
    <row r="146" spans="1:17" x14ac:dyDescent="0.35">
      <c r="A146" s="6" t="s">
        <v>160</v>
      </c>
      <c r="B146" s="6" t="s">
        <v>165</v>
      </c>
      <c r="C146" s="6">
        <v>-1.1518776428261079</v>
      </c>
      <c r="D146" s="6">
        <v>-1.0597574846578628</v>
      </c>
      <c r="E146" s="6">
        <v>0.53166777988692937</v>
      </c>
      <c r="F146" s="6">
        <v>-0.44167285818887053</v>
      </c>
      <c r="G146" s="6">
        <v>-0.37943322546821812</v>
      </c>
      <c r="H146" s="6">
        <v>0.3332941832939188</v>
      </c>
      <c r="I146" s="6">
        <v>-1.0191400455281341</v>
      </c>
      <c r="J146" s="6">
        <v>8.7498305517336422E-2</v>
      </c>
      <c r="K146" s="6">
        <v>-7.8942260909916143E-2</v>
      </c>
      <c r="L146" s="6">
        <v>-0.32781196274008217</v>
      </c>
      <c r="N146" s="8">
        <f>SQRT((C146-Sheet3!$C$525)^2+(D146-Sheet3!$D$525)^2+(E146-Sheet3!$E$525)^2+(F146-Sheet3!$F$525)^2+(G146-Sheet3!$G$525)^2+(H146-Sheet3!$H$525)^2+(I146-Sheet3!$I$525)^2+(J146-Sheet3!$J$525)^2+(K146-Sheet3!$K$525)^2+(L146-Sheet3!$L$525)^2)</f>
        <v>2.0913805876454905</v>
      </c>
      <c r="O146" s="8">
        <f>SQRT((C146-Sheet3!$C$526)^2+(D146-Sheet3!$D$526)^2+(E146-Sheet3!$E$526)^2+(F146-Sheet3!$F$526)^2+(G146-Sheet3!$G$526)^2+(H146-Sheet3!$H$526)^2+(I146-Sheet3!$I$526)^2+(J146-Sheet3!$J$526)^2+(K146-Sheet3!$K$526)^2+(L146-Sheet3!$L$526)^2)</f>
        <v>3.9562387010603541</v>
      </c>
      <c r="P146" s="12">
        <f t="shared" si="2"/>
        <v>0</v>
      </c>
      <c r="Q146" s="11">
        <f>IF(P146=Sheet1!M146, 1, 0)</f>
        <v>1</v>
      </c>
    </row>
    <row r="147" spans="1:17" x14ac:dyDescent="0.35">
      <c r="A147" s="6" t="s">
        <v>160</v>
      </c>
      <c r="B147" s="6" t="s">
        <v>166</v>
      </c>
      <c r="C147" s="6">
        <v>-0.68082800469505445</v>
      </c>
      <c r="D147" s="6">
        <v>2.0491096629478348E-2</v>
      </c>
      <c r="E147" s="6">
        <v>0.52872064387668538</v>
      </c>
      <c r="F147" s="6">
        <v>0.23005643093893152</v>
      </c>
      <c r="G147" s="6">
        <v>0.70938252872263574</v>
      </c>
      <c r="H147" s="6">
        <v>0.66024526535099715</v>
      </c>
      <c r="I147" s="6">
        <v>-1.6018112452050728</v>
      </c>
      <c r="J147" s="6">
        <v>-0.48568649229010219</v>
      </c>
      <c r="K147" s="6">
        <v>-3.6689929662751655E-2</v>
      </c>
      <c r="L147" s="6">
        <v>-0.33955297793950889</v>
      </c>
      <c r="N147" s="8">
        <f>SQRT((C147-Sheet3!$C$525)^2+(D147-Sheet3!$D$525)^2+(E147-Sheet3!$E$525)^2+(F147-Sheet3!$F$525)^2+(G147-Sheet3!$G$525)^2+(H147-Sheet3!$H$525)^2+(I147-Sheet3!$I$525)^2+(J147-Sheet3!$J$525)^2+(K147-Sheet3!$K$525)^2+(L147-Sheet3!$L$525)^2)</f>
        <v>2.410428733272425</v>
      </c>
      <c r="O147" s="8">
        <f>SQRT((C147-Sheet3!$C$526)^2+(D147-Sheet3!$D$526)^2+(E147-Sheet3!$E$526)^2+(F147-Sheet3!$F$526)^2+(G147-Sheet3!$G$526)^2+(H147-Sheet3!$H$526)^2+(I147-Sheet3!$I$526)^2+(J147-Sheet3!$J$526)^2+(K147-Sheet3!$K$526)^2+(L147-Sheet3!$L$526)^2)</f>
        <v>3.4969199957433315</v>
      </c>
      <c r="P147" s="12">
        <f t="shared" si="2"/>
        <v>0</v>
      </c>
      <c r="Q147" s="11">
        <f>IF(P147=Sheet1!M147, 1, 0)</f>
        <v>1</v>
      </c>
    </row>
    <row r="148" spans="1:17" x14ac:dyDescent="0.35">
      <c r="A148" s="6" t="s">
        <v>160</v>
      </c>
      <c r="B148" s="6" t="s">
        <v>167</v>
      </c>
      <c r="C148" s="6">
        <v>-1.0082813143929947</v>
      </c>
      <c r="D148" s="6">
        <v>1.0393619176164022</v>
      </c>
      <c r="E148" s="6">
        <v>1.9860794009423048</v>
      </c>
      <c r="F148" s="6">
        <v>1.3316308385682389</v>
      </c>
      <c r="G148" s="6">
        <v>1.0897421655199746</v>
      </c>
      <c r="H148" s="6">
        <v>1.0545256476669476</v>
      </c>
      <c r="I148" s="6">
        <v>0.71166116576605254</v>
      </c>
      <c r="J148" s="6">
        <v>0.66447902913806911</v>
      </c>
      <c r="K148" s="6">
        <v>-0.67360470068480072</v>
      </c>
      <c r="L148" s="6">
        <v>-0.25809932847223815</v>
      </c>
      <c r="N148" s="8">
        <f>SQRT((C148-Sheet3!$C$525)^2+(D148-Sheet3!$D$525)^2+(E148-Sheet3!$E$525)^2+(F148-Sheet3!$F$525)^2+(G148-Sheet3!$G$525)^2+(H148-Sheet3!$H$525)^2+(I148-Sheet3!$I$525)^2+(J148-Sheet3!$J$525)^2+(K148-Sheet3!$K$525)^2+(L148-Sheet3!$L$525)^2)</f>
        <v>4.228851786438792</v>
      </c>
      <c r="O148" s="8">
        <f>SQRT((C148-Sheet3!$C$526)^2+(D148-Sheet3!$D$526)^2+(E148-Sheet3!$E$526)^2+(F148-Sheet3!$F$526)^2+(G148-Sheet3!$G$526)^2+(H148-Sheet3!$H$526)^2+(I148-Sheet3!$I$526)^2+(J148-Sheet3!$J$526)^2+(K148-Sheet3!$K$526)^2+(L148-Sheet3!$L$526)^2)</f>
        <v>1.4426869286117687</v>
      </c>
      <c r="P148" s="12">
        <f t="shared" si="2"/>
        <v>1</v>
      </c>
      <c r="Q148" s="11">
        <f>IF(P148=Sheet1!M148, 1, 0)</f>
        <v>0</v>
      </c>
    </row>
    <row r="149" spans="1:17" x14ac:dyDescent="0.35">
      <c r="A149" s="6" t="s">
        <v>168</v>
      </c>
      <c r="B149" s="6" t="s">
        <v>169</v>
      </c>
      <c r="C149" s="6">
        <v>-0.72779876633205409</v>
      </c>
      <c r="D149" s="6">
        <v>-0.15750440824173179</v>
      </c>
      <c r="E149" s="6">
        <v>0.57255929202906375</v>
      </c>
      <c r="F149" s="6">
        <v>0.27319500913979972</v>
      </c>
      <c r="G149" s="6">
        <v>0.42193516961625177</v>
      </c>
      <c r="H149" s="6">
        <v>0.84445823085926897</v>
      </c>
      <c r="I149" s="6">
        <v>0.18891457524626096</v>
      </c>
      <c r="J149" s="6">
        <v>0.81252013585654681</v>
      </c>
      <c r="K149" s="6">
        <v>-1.3465121983248018</v>
      </c>
      <c r="L149" s="6">
        <v>-0.26393137879096173</v>
      </c>
      <c r="N149" s="8">
        <f>SQRT((C149-Sheet3!$C$525)^2+(D149-Sheet3!$D$525)^2+(E149-Sheet3!$E$525)^2+(F149-Sheet3!$F$525)^2+(G149-Sheet3!$G$525)^2+(H149-Sheet3!$H$525)^2+(I149-Sheet3!$I$525)^2+(J149-Sheet3!$J$525)^2+(K149-Sheet3!$K$525)^2+(L149-Sheet3!$L$525)^2)</f>
        <v>2.7588270638515091</v>
      </c>
      <c r="O149" s="8">
        <f>SQRT((C149-Sheet3!$C$526)^2+(D149-Sheet3!$D$526)^2+(E149-Sheet3!$E$526)^2+(F149-Sheet3!$F$526)^2+(G149-Sheet3!$G$526)^2+(H149-Sheet3!$H$526)^2+(I149-Sheet3!$I$526)^2+(J149-Sheet3!$J$526)^2+(K149-Sheet3!$K$526)^2+(L149-Sheet3!$L$526)^2)</f>
        <v>2.2954861976726204</v>
      </c>
      <c r="P149" s="12">
        <f t="shared" si="2"/>
        <v>1</v>
      </c>
      <c r="Q149" s="11">
        <f>IF(P149=Sheet1!M149, 1, 0)</f>
        <v>0</v>
      </c>
    </row>
    <row r="150" spans="1:17" x14ac:dyDescent="0.35">
      <c r="A150" s="6" t="s">
        <v>168</v>
      </c>
      <c r="B150" s="6" t="s">
        <v>170</v>
      </c>
      <c r="C150" s="6">
        <v>-0.7855057020575108</v>
      </c>
      <c r="D150" s="6">
        <v>0.1432466172303121</v>
      </c>
      <c r="E150" s="6">
        <v>1.4986967832482163</v>
      </c>
      <c r="F150" s="6">
        <v>0.7153654356986956</v>
      </c>
      <c r="G150" s="6">
        <v>0.23320710555650215</v>
      </c>
      <c r="H150" s="6">
        <v>0.13776989534215694</v>
      </c>
      <c r="I150" s="6">
        <v>-0.54165565979725194</v>
      </c>
      <c r="J150" s="6">
        <v>1.3515416013443362</v>
      </c>
      <c r="K150" s="6">
        <v>-0.9818902286733594</v>
      </c>
      <c r="L150" s="6">
        <v>-0.16779925067623339</v>
      </c>
      <c r="N150" s="8">
        <f>SQRT((C150-Sheet3!$C$525)^2+(D150-Sheet3!$D$525)^2+(E150-Sheet3!$E$525)^2+(F150-Sheet3!$F$525)^2+(G150-Sheet3!$G$525)^2+(H150-Sheet3!$H$525)^2+(I150-Sheet3!$I$525)^2+(J150-Sheet3!$J$525)^2+(K150-Sheet3!$K$525)^2+(L150-Sheet3!$L$525)^2)</f>
        <v>3.2503252691489157</v>
      </c>
      <c r="O150" s="8">
        <f>SQRT((C150-Sheet3!$C$526)^2+(D150-Sheet3!$D$526)^2+(E150-Sheet3!$E$526)^2+(F150-Sheet3!$F$526)^2+(G150-Sheet3!$G$526)^2+(H150-Sheet3!$H$526)^2+(I150-Sheet3!$I$526)^2+(J150-Sheet3!$J$526)^2+(K150-Sheet3!$K$526)^2+(L150-Sheet3!$L$526)^2)</f>
        <v>2.1842490593325103</v>
      </c>
      <c r="P150" s="12">
        <f t="shared" si="2"/>
        <v>1</v>
      </c>
      <c r="Q150" s="11">
        <f>IF(P150=Sheet1!M150, 1, 0)</f>
        <v>0</v>
      </c>
    </row>
    <row r="151" spans="1:17" x14ac:dyDescent="0.35">
      <c r="A151" s="6" t="s">
        <v>168</v>
      </c>
      <c r="B151" s="6" t="s">
        <v>171</v>
      </c>
      <c r="C151" s="6">
        <v>-0.98278290093290921</v>
      </c>
      <c r="D151" s="6">
        <v>0.29669101798135483</v>
      </c>
      <c r="E151" s="6">
        <v>1.6158454396554121</v>
      </c>
      <c r="F151" s="6">
        <v>0.48734723663696611</v>
      </c>
      <c r="G151" s="6">
        <v>-1.262099863532268</v>
      </c>
      <c r="H151" s="6">
        <v>-0.34969423853207149</v>
      </c>
      <c r="I151" s="6">
        <v>-0.247132580748296</v>
      </c>
      <c r="J151" s="6">
        <v>3.4355344131216416E-2</v>
      </c>
      <c r="K151" s="6">
        <v>0.44529962678636542</v>
      </c>
      <c r="L151" s="6">
        <v>-0.15292389916733301</v>
      </c>
      <c r="N151" s="8">
        <f>SQRT((C151-Sheet3!$C$525)^2+(D151-Sheet3!$D$525)^2+(E151-Sheet3!$E$525)^2+(F151-Sheet3!$F$525)^2+(G151-Sheet3!$G$525)^2+(H151-Sheet3!$H$525)^2+(I151-Sheet3!$I$525)^2+(J151-Sheet3!$J$525)^2+(K151-Sheet3!$K$525)^2+(L151-Sheet3!$L$525)^2)</f>
        <v>2.7770636999572029</v>
      </c>
      <c r="O151" s="8">
        <f>SQRT((C151-Sheet3!$C$526)^2+(D151-Sheet3!$D$526)^2+(E151-Sheet3!$E$526)^2+(F151-Sheet3!$F$526)^2+(G151-Sheet3!$G$526)^2+(H151-Sheet3!$H$526)^2+(I151-Sheet3!$I$526)^2+(J151-Sheet3!$J$526)^2+(K151-Sheet3!$K$526)^2+(L151-Sheet3!$L$526)^2)</f>
        <v>3.3621450535938511</v>
      </c>
      <c r="P151" s="12">
        <f t="shared" si="2"/>
        <v>0</v>
      </c>
      <c r="Q151" s="11">
        <f>IF(P151=Sheet1!M151, 1, 0)</f>
        <v>1</v>
      </c>
    </row>
    <row r="152" spans="1:17" x14ac:dyDescent="0.35">
      <c r="A152" s="6" t="s">
        <v>168</v>
      </c>
      <c r="B152" s="6" t="s">
        <v>172</v>
      </c>
      <c r="C152" s="6">
        <v>0.22235264049639553</v>
      </c>
      <c r="D152" s="6">
        <v>-0.95541529214715393</v>
      </c>
      <c r="E152" s="6">
        <v>0.59429442010461264</v>
      </c>
      <c r="F152" s="6">
        <v>-0.63117446957125567</v>
      </c>
      <c r="G152" s="6">
        <v>-2.1099243974622133</v>
      </c>
      <c r="H152" s="6">
        <v>-0.48596874225602615</v>
      </c>
      <c r="I152" s="6">
        <v>-0.24777007659039363</v>
      </c>
      <c r="J152" s="6">
        <v>-0.3148698306918587</v>
      </c>
      <c r="K152" s="6">
        <v>-0.77845307822405707</v>
      </c>
      <c r="L152" s="6">
        <v>-0.39684927001983133</v>
      </c>
      <c r="N152" s="8">
        <f>SQRT((C152-Sheet3!$C$525)^2+(D152-Sheet3!$D$525)^2+(E152-Sheet3!$E$525)^2+(F152-Sheet3!$F$525)^2+(G152-Sheet3!$G$525)^2+(H152-Sheet3!$H$525)^2+(I152-Sheet3!$I$525)^2+(J152-Sheet3!$J$525)^2+(K152-Sheet3!$K$525)^2+(L152-Sheet3!$L$525)^2)</f>
        <v>2.3983437069277658</v>
      </c>
      <c r="O152" s="8">
        <f>SQRT((C152-Sheet3!$C$526)^2+(D152-Sheet3!$D$526)^2+(E152-Sheet3!$E$526)^2+(F152-Sheet3!$F$526)^2+(G152-Sheet3!$G$526)^2+(H152-Sheet3!$H$526)^2+(I152-Sheet3!$I$526)^2+(J152-Sheet3!$J$526)^2+(K152-Sheet3!$K$526)^2+(L152-Sheet3!$L$526)^2)</f>
        <v>4.8951097619756414</v>
      </c>
      <c r="P152" s="12">
        <f t="shared" si="2"/>
        <v>0</v>
      </c>
      <c r="Q152" s="11">
        <f>IF(P152=Sheet1!M152, 1, 0)</f>
        <v>1</v>
      </c>
    </row>
    <row r="153" spans="1:17" x14ac:dyDescent="0.35">
      <c r="A153" s="6" t="s">
        <v>168</v>
      </c>
      <c r="B153" s="6" t="s">
        <v>173</v>
      </c>
      <c r="C153" s="6">
        <v>-0.69559024406668291</v>
      </c>
      <c r="D153" s="6">
        <v>-0.67307759476523532</v>
      </c>
      <c r="E153" s="6">
        <v>0.59871512411997863</v>
      </c>
      <c r="F153" s="6">
        <v>-0.10734887713214306</v>
      </c>
      <c r="G153" s="6">
        <v>-0.66688058457460209</v>
      </c>
      <c r="H153" s="6">
        <v>-2.3377938165760215</v>
      </c>
      <c r="I153" s="6">
        <v>-4.1199198214894333</v>
      </c>
      <c r="J153" s="6">
        <v>-1.4384638714269702</v>
      </c>
      <c r="K153" s="6">
        <v>0.1307544941685965</v>
      </c>
      <c r="L153" s="6">
        <v>-0.22682776066002291</v>
      </c>
      <c r="N153" s="8">
        <f>SQRT((C153-Sheet3!$C$525)^2+(D153-Sheet3!$D$525)^2+(E153-Sheet3!$E$525)^2+(F153-Sheet3!$F$525)^2+(G153-Sheet3!$G$525)^2+(H153-Sheet3!$H$525)^2+(I153-Sheet3!$I$525)^2+(J153-Sheet3!$J$525)^2+(K153-Sheet3!$K$525)^2+(L153-Sheet3!$L$525)^2)</f>
        <v>4.8010632808427367</v>
      </c>
      <c r="O153" s="8">
        <f>SQRT((C153-Sheet3!$C$526)^2+(D153-Sheet3!$D$526)^2+(E153-Sheet3!$E$526)^2+(F153-Sheet3!$F$526)^2+(G153-Sheet3!$G$526)^2+(H153-Sheet3!$H$526)^2+(I153-Sheet3!$I$526)^2+(J153-Sheet3!$J$526)^2+(K153-Sheet3!$K$526)^2+(L153-Sheet3!$L$526)^2)</f>
        <v>6.9729553412649388</v>
      </c>
      <c r="P153" s="12">
        <f t="shared" si="2"/>
        <v>0</v>
      </c>
      <c r="Q153" s="11">
        <f>IF(P153=Sheet1!M153, 1, 0)</f>
        <v>1</v>
      </c>
    </row>
    <row r="154" spans="1:17" x14ac:dyDescent="0.35">
      <c r="A154" s="6" t="s">
        <v>168</v>
      </c>
      <c r="B154" s="6" t="s">
        <v>174</v>
      </c>
      <c r="C154" s="6">
        <v>-0.96936268332233788</v>
      </c>
      <c r="D154" s="6">
        <v>1.6654150726806562</v>
      </c>
      <c r="E154" s="6">
        <v>2.8400120599104812</v>
      </c>
      <c r="F154" s="6">
        <v>1.7245000328975744</v>
      </c>
      <c r="G154" s="6">
        <v>1.0752246221307642</v>
      </c>
      <c r="H154" s="6">
        <v>1.1110822598843992</v>
      </c>
      <c r="I154" s="6">
        <v>0.66894894434553287</v>
      </c>
      <c r="J154" s="6">
        <v>2.497911196959214</v>
      </c>
      <c r="K154" s="6">
        <v>0.24968698212357429</v>
      </c>
      <c r="L154" s="6">
        <v>1.8618480370812447</v>
      </c>
      <c r="N154" s="8">
        <f>SQRT((C154-Sheet3!$C$525)^2+(D154-Sheet3!$D$525)^2+(E154-Sheet3!$E$525)^2+(F154-Sheet3!$F$525)^2+(G154-Sheet3!$G$525)^2+(H154-Sheet3!$H$525)^2+(I154-Sheet3!$I$525)^2+(J154-Sheet3!$J$525)^2+(K154-Sheet3!$K$525)^2+(L154-Sheet3!$L$525)^2)</f>
        <v>6.0700406436938223</v>
      </c>
      <c r="O154" s="8">
        <f>SQRT((C154-Sheet3!$C$526)^2+(D154-Sheet3!$D$526)^2+(E154-Sheet3!$E$526)^2+(F154-Sheet3!$F$526)^2+(G154-Sheet3!$G$526)^2+(H154-Sheet3!$H$526)^2+(I154-Sheet3!$I$526)^2+(J154-Sheet3!$J$526)^2+(K154-Sheet3!$K$526)^2+(L154-Sheet3!$L$526)^2)</f>
        <v>2.6989899018075403</v>
      </c>
      <c r="P154" s="12">
        <f t="shared" si="2"/>
        <v>1</v>
      </c>
      <c r="Q154" s="11">
        <f>IF(P154=Sheet1!M154, 1, 0)</f>
        <v>0</v>
      </c>
    </row>
    <row r="155" spans="1:17" x14ac:dyDescent="0.35">
      <c r="A155" s="6" t="s">
        <v>168</v>
      </c>
      <c r="B155" s="6" t="s">
        <v>175</v>
      </c>
      <c r="C155" s="6">
        <v>-0.36276884732451409</v>
      </c>
      <c r="D155" s="6">
        <v>1.1191530060069437</v>
      </c>
      <c r="E155" s="6">
        <v>1.8840348165876091</v>
      </c>
      <c r="F155" s="6">
        <v>1.3870947248264998</v>
      </c>
      <c r="G155" s="6">
        <v>0.73261059814537755</v>
      </c>
      <c r="H155" s="6">
        <v>0.39146669871758344</v>
      </c>
      <c r="I155" s="6">
        <v>0.41586309503290225</v>
      </c>
      <c r="J155" s="6">
        <v>0.47468273847335435</v>
      </c>
      <c r="K155" s="6">
        <v>-1.3934592330438713</v>
      </c>
      <c r="L155" s="6">
        <v>-0.16598723469827575</v>
      </c>
      <c r="N155" s="8">
        <f>SQRT((C155-Sheet3!$C$525)^2+(D155-Sheet3!$D$525)^2+(E155-Sheet3!$E$525)^2+(F155-Sheet3!$F$525)^2+(G155-Sheet3!$G$525)^2+(H155-Sheet3!$H$525)^2+(I155-Sheet3!$I$525)^2+(J155-Sheet3!$J$525)^2+(K155-Sheet3!$K$525)^2+(L155-Sheet3!$L$525)^2)</f>
        <v>3.9411792147658384</v>
      </c>
      <c r="O155" s="8">
        <f>SQRT((C155-Sheet3!$C$526)^2+(D155-Sheet3!$D$526)^2+(E155-Sheet3!$E$526)^2+(F155-Sheet3!$F$526)^2+(G155-Sheet3!$G$526)^2+(H155-Sheet3!$H$526)^2+(I155-Sheet3!$I$526)^2+(J155-Sheet3!$J$526)^2+(K155-Sheet3!$K$526)^2+(L155-Sheet3!$L$526)^2)</f>
        <v>1.6373655602421995</v>
      </c>
      <c r="P155" s="12">
        <f t="shared" si="2"/>
        <v>1</v>
      </c>
      <c r="Q155" s="11">
        <f>IF(P155=Sheet1!M155, 1, 0)</f>
        <v>0</v>
      </c>
    </row>
    <row r="156" spans="1:17" x14ac:dyDescent="0.35">
      <c r="A156" s="6" t="s">
        <v>176</v>
      </c>
      <c r="B156" s="6" t="s">
        <v>177</v>
      </c>
      <c r="C156" s="6">
        <v>0.37400109949585159</v>
      </c>
      <c r="D156" s="6">
        <v>0.22917548165089638</v>
      </c>
      <c r="E156" s="6">
        <v>0.83338082893565091</v>
      </c>
      <c r="F156" s="6">
        <v>0.33482154942675274</v>
      </c>
      <c r="G156" s="6">
        <v>-0.19360867008631225</v>
      </c>
      <c r="H156" s="6">
        <v>0.35268502176847366</v>
      </c>
      <c r="I156" s="6">
        <v>0.57906203060981287</v>
      </c>
      <c r="J156" s="6">
        <v>1.3363578980911595</v>
      </c>
      <c r="K156" s="6">
        <v>-0.62822256712303226</v>
      </c>
      <c r="L156" s="6">
        <v>-0.38269013704963545</v>
      </c>
      <c r="N156" s="8">
        <f>SQRT((C156-Sheet3!$C$525)^2+(D156-Sheet3!$D$525)^2+(E156-Sheet3!$E$525)^2+(F156-Sheet3!$F$525)^2+(G156-Sheet3!$G$525)^2+(H156-Sheet3!$H$525)^2+(I156-Sheet3!$I$525)^2+(J156-Sheet3!$J$525)^2+(K156-Sheet3!$K$525)^2+(L156-Sheet3!$L$525)^2)</f>
        <v>2.5938835525582196</v>
      </c>
      <c r="O156" s="8">
        <f>SQRT((C156-Sheet3!$C$526)^2+(D156-Sheet3!$D$526)^2+(E156-Sheet3!$E$526)^2+(F156-Sheet3!$F$526)^2+(G156-Sheet3!$G$526)^2+(H156-Sheet3!$H$526)^2+(I156-Sheet3!$I$526)^2+(J156-Sheet3!$J$526)^2+(K156-Sheet3!$K$526)^2+(L156-Sheet3!$L$526)^2)</f>
        <v>2.3649397481339673</v>
      </c>
      <c r="P156" s="12">
        <f t="shared" si="2"/>
        <v>1</v>
      </c>
      <c r="Q156" s="11">
        <f>IF(P156=Sheet1!M156, 1, 0)</f>
        <v>0</v>
      </c>
    </row>
    <row r="157" spans="1:17" x14ac:dyDescent="0.35">
      <c r="A157" s="6" t="s">
        <v>176</v>
      </c>
      <c r="B157" s="6" t="s">
        <v>178</v>
      </c>
      <c r="C157" s="6">
        <v>-1.1693239257198504</v>
      </c>
      <c r="D157" s="6">
        <v>1.9661660981527</v>
      </c>
      <c r="E157" s="6">
        <v>4.9965788354064706</v>
      </c>
      <c r="F157" s="6">
        <v>2.3068708386092931</v>
      </c>
      <c r="G157" s="6">
        <v>1.3191193510695163</v>
      </c>
      <c r="H157" s="6">
        <v>1.0399825188110317</v>
      </c>
      <c r="I157" s="6">
        <v>0.94498464397366644</v>
      </c>
      <c r="J157" s="6">
        <v>0.86186717142937253</v>
      </c>
      <c r="K157" s="6">
        <v>-1.2557479312012669</v>
      </c>
      <c r="L157" s="6">
        <v>8.5133565675385334</v>
      </c>
      <c r="N157" s="8">
        <f>SQRT((C157-Sheet3!$C$525)^2+(D157-Sheet3!$D$525)^2+(E157-Sheet3!$E$525)^2+(F157-Sheet3!$F$525)^2+(G157-Sheet3!$G$525)^2+(H157-Sheet3!$H$525)^2+(I157-Sheet3!$I$525)^2+(J157-Sheet3!$J$525)^2+(K157-Sheet3!$K$525)^2+(L157-Sheet3!$L$525)^2)</f>
        <v>11.332486568808317</v>
      </c>
      <c r="O157" s="8">
        <f>SQRT((C157-Sheet3!$C$526)^2+(D157-Sheet3!$D$526)^2+(E157-Sheet3!$E$526)^2+(F157-Sheet3!$F$526)^2+(G157-Sheet3!$G$526)^2+(H157-Sheet3!$H$526)^2+(I157-Sheet3!$I$526)^2+(J157-Sheet3!$J$526)^2+(K157-Sheet3!$K$526)^2+(L157-Sheet3!$L$526)^2)</f>
        <v>8.8130253562876</v>
      </c>
      <c r="P157" s="12">
        <f t="shared" si="2"/>
        <v>1</v>
      </c>
      <c r="Q157" s="11">
        <f>IF(P157=Sheet1!M157, 1, 0)</f>
        <v>0</v>
      </c>
    </row>
    <row r="158" spans="1:17" x14ac:dyDescent="0.35">
      <c r="A158" s="6" t="s">
        <v>176</v>
      </c>
      <c r="B158" s="6" t="s">
        <v>179</v>
      </c>
      <c r="C158" s="6">
        <v>-1.0726983589237371</v>
      </c>
      <c r="D158" s="6">
        <v>1.9845794262428249</v>
      </c>
      <c r="E158" s="6">
        <v>2.7291260675250535</v>
      </c>
      <c r="F158" s="6">
        <v>2.0095227817247374</v>
      </c>
      <c r="G158" s="6">
        <v>1.4178386461161547</v>
      </c>
      <c r="H158" s="6">
        <v>1.0518324756565929</v>
      </c>
      <c r="I158" s="6">
        <v>0.92075980197396912</v>
      </c>
      <c r="J158" s="6">
        <v>1.2035004946258592</v>
      </c>
      <c r="K158" s="6">
        <v>-1.3480770994821039</v>
      </c>
      <c r="L158" s="6">
        <v>6.098797322843228</v>
      </c>
      <c r="N158" s="8">
        <f>SQRT((C158-Sheet3!$C$525)^2+(D158-Sheet3!$D$525)^2+(E158-Sheet3!$E$525)^2+(F158-Sheet3!$F$525)^2+(G158-Sheet3!$G$525)^2+(H158-Sheet3!$H$525)^2+(I158-Sheet3!$I$525)^2+(J158-Sheet3!$J$525)^2+(K158-Sheet3!$K$525)^2+(L158-Sheet3!$L$525)^2)</f>
        <v>8.5278796137127859</v>
      </c>
      <c r="O158" s="8">
        <f>SQRT((C158-Sheet3!$C$526)^2+(D158-Sheet3!$D$526)^2+(E158-Sheet3!$E$526)^2+(F158-Sheet3!$F$526)^2+(G158-Sheet3!$G$526)^2+(H158-Sheet3!$H$526)^2+(I158-Sheet3!$I$526)^2+(J158-Sheet3!$J$526)^2+(K158-Sheet3!$K$526)^2+(L158-Sheet3!$L$526)^2)</f>
        <v>5.7878114058510493</v>
      </c>
      <c r="P158" s="12">
        <f t="shared" si="2"/>
        <v>1</v>
      </c>
      <c r="Q158" s="11">
        <f>IF(P158=Sheet1!M158, 1, 0)</f>
        <v>0</v>
      </c>
    </row>
    <row r="159" spans="1:17" x14ac:dyDescent="0.35">
      <c r="A159" s="6" t="s">
        <v>176</v>
      </c>
      <c r="B159" s="6" t="s">
        <v>180</v>
      </c>
      <c r="C159" s="6">
        <v>-0.98412492269396634</v>
      </c>
      <c r="D159" s="6">
        <v>1.8127216974016573</v>
      </c>
      <c r="E159" s="6">
        <v>2.5935578110538331</v>
      </c>
      <c r="F159" s="6">
        <v>1.7922892272132238</v>
      </c>
      <c r="G159" s="6">
        <v>1.3162158423916726</v>
      </c>
      <c r="H159" s="6">
        <v>0.66563160937170729</v>
      </c>
      <c r="I159" s="6">
        <v>0.94753462734205607</v>
      </c>
      <c r="J159" s="6">
        <v>1.0212960555877328</v>
      </c>
      <c r="K159" s="6">
        <v>-0.98502003098796342</v>
      </c>
      <c r="L159" s="6">
        <v>9.1544620291523184</v>
      </c>
      <c r="N159" s="8">
        <f>SQRT((C159-Sheet3!$C$525)^2+(D159-Sheet3!$D$525)^2+(E159-Sheet3!$E$525)^2+(F159-Sheet3!$F$525)^2+(G159-Sheet3!$G$525)^2+(H159-Sheet3!$H$525)^2+(I159-Sheet3!$I$525)^2+(J159-Sheet3!$J$525)^2+(K159-Sheet3!$K$525)^2+(L159-Sheet3!$L$525)^2)</f>
        <v>10.737300395653889</v>
      </c>
      <c r="O159" s="8">
        <f>SQRT((C159-Sheet3!$C$526)^2+(D159-Sheet3!$D$526)^2+(E159-Sheet3!$E$526)^2+(F159-Sheet3!$F$526)^2+(G159-Sheet3!$G$526)^2+(H159-Sheet3!$H$526)^2+(I159-Sheet3!$I$526)^2+(J159-Sheet3!$J$526)^2+(K159-Sheet3!$K$526)^2+(L159-Sheet3!$L$526)^2)</f>
        <v>8.6013120358830655</v>
      </c>
      <c r="P159" s="12">
        <f t="shared" si="2"/>
        <v>1</v>
      </c>
      <c r="Q159" s="11">
        <f>IF(P159=Sheet1!M159, 1, 0)</f>
        <v>0</v>
      </c>
    </row>
    <row r="160" spans="1:17" x14ac:dyDescent="0.35">
      <c r="A160" s="6" t="s">
        <v>176</v>
      </c>
      <c r="B160" s="6" t="s">
        <v>181</v>
      </c>
      <c r="C160" s="6">
        <v>-1.0686722936405657</v>
      </c>
      <c r="D160" s="6">
        <v>1.4383173595691123</v>
      </c>
      <c r="E160" s="6">
        <v>3.8593527274535977</v>
      </c>
      <c r="F160" s="6">
        <v>1.8231024973567014</v>
      </c>
      <c r="G160" s="6">
        <v>1.1710404084995587</v>
      </c>
      <c r="H160" s="6">
        <v>1.1067731846678317</v>
      </c>
      <c r="I160" s="6">
        <v>0.94753462734205607</v>
      </c>
      <c r="J160" s="6">
        <v>1.5185623371292858</v>
      </c>
      <c r="K160" s="6">
        <v>-0.97876042635875427</v>
      </c>
      <c r="L160" s="6">
        <v>6.386729963153571</v>
      </c>
      <c r="N160" s="8">
        <f>SQRT((C160-Sheet3!$C$525)^2+(D160-Sheet3!$D$525)^2+(E160-Sheet3!$E$525)^2+(F160-Sheet3!$F$525)^2+(G160-Sheet3!$G$525)^2+(H160-Sheet3!$H$525)^2+(I160-Sheet3!$I$525)^2+(J160-Sheet3!$J$525)^2+(K160-Sheet3!$K$525)^2+(L160-Sheet3!$L$525)^2)</f>
        <v>9.0065987604394646</v>
      </c>
      <c r="O160" s="8">
        <f>SQRT((C160-Sheet3!$C$526)^2+(D160-Sheet3!$D$526)^2+(E160-Sheet3!$E$526)^2+(F160-Sheet3!$F$526)^2+(G160-Sheet3!$G$526)^2+(H160-Sheet3!$H$526)^2+(I160-Sheet3!$I$526)^2+(J160-Sheet3!$J$526)^2+(K160-Sheet3!$K$526)^2+(L160-Sheet3!$L$526)^2)</f>
        <v>6.3316095964940775</v>
      </c>
      <c r="P160" s="12">
        <f t="shared" si="2"/>
        <v>1</v>
      </c>
      <c r="Q160" s="11">
        <f>IF(P160=Sheet1!M160, 1, 0)</f>
        <v>0</v>
      </c>
    </row>
    <row r="161" spans="1:17" x14ac:dyDescent="0.35">
      <c r="A161" s="6" t="s">
        <v>176</v>
      </c>
      <c r="B161" s="6" t="s">
        <v>182</v>
      </c>
      <c r="C161" s="6">
        <v>-0.67545991765082591</v>
      </c>
      <c r="D161" s="6">
        <v>1.4567306876592383</v>
      </c>
      <c r="E161" s="6">
        <v>3.1082014368426782</v>
      </c>
      <c r="F161" s="6">
        <v>1.6305195589599693</v>
      </c>
      <c r="G161" s="6">
        <v>1.0723211134529202</v>
      </c>
      <c r="H161" s="6">
        <v>0.72218822158915907</v>
      </c>
      <c r="I161" s="6">
        <v>0.94753462734205607</v>
      </c>
      <c r="J161" s="6">
        <v>1.8146445505662405</v>
      </c>
      <c r="K161" s="6">
        <v>-0.57501592777475252</v>
      </c>
      <c r="L161" s="6">
        <v>6.4551088266199272</v>
      </c>
      <c r="N161" s="8">
        <f>SQRT((C161-Sheet3!$C$525)^2+(D161-Sheet3!$D$525)^2+(E161-Sheet3!$E$525)^2+(F161-Sheet3!$F$525)^2+(G161-Sheet3!$G$525)^2+(H161-Sheet3!$H$525)^2+(I161-Sheet3!$I$525)^2+(J161-Sheet3!$J$525)^2+(K161-Sheet3!$K$525)^2+(L161-Sheet3!$L$525)^2)</f>
        <v>8.5981562162899259</v>
      </c>
      <c r="O161" s="8">
        <f>SQRT((C161-Sheet3!$C$526)^2+(D161-Sheet3!$D$526)^2+(E161-Sheet3!$E$526)^2+(F161-Sheet3!$F$526)^2+(G161-Sheet3!$G$526)^2+(H161-Sheet3!$H$526)^2+(I161-Sheet3!$I$526)^2+(J161-Sheet3!$J$526)^2+(K161-Sheet3!$K$526)^2+(L161-Sheet3!$L$526)^2)</f>
        <v>6.0907626749531003</v>
      </c>
      <c r="P161" s="12">
        <f t="shared" si="2"/>
        <v>1</v>
      </c>
      <c r="Q161" s="11">
        <f>IF(P161=Sheet1!M161, 1, 0)</f>
        <v>0</v>
      </c>
    </row>
    <row r="162" spans="1:17" x14ac:dyDescent="0.35">
      <c r="A162" s="6" t="s">
        <v>183</v>
      </c>
      <c r="B162" s="6" t="s">
        <v>184</v>
      </c>
      <c r="C162" s="6">
        <v>-0.5560199809167411</v>
      </c>
      <c r="D162" s="6">
        <v>-7.771331985118908E-2</v>
      </c>
      <c r="E162" s="6">
        <v>3.139144214802362E-2</v>
      </c>
      <c r="F162" s="6">
        <v>0.10372202335067403</v>
      </c>
      <c r="G162" s="6">
        <v>0.49452288656230869</v>
      </c>
      <c r="H162" s="6">
        <v>-0.71596563194033092</v>
      </c>
      <c r="I162" s="6">
        <v>0.42670052434855654</v>
      </c>
      <c r="J162" s="6">
        <v>2.7180748941302828</v>
      </c>
      <c r="K162" s="6">
        <v>-1.0820439027407085</v>
      </c>
      <c r="L162" s="6">
        <v>2.875542472386635</v>
      </c>
      <c r="N162" s="8">
        <f>SQRT((C162-Sheet3!$C$525)^2+(D162-Sheet3!$D$525)^2+(E162-Sheet3!$E$525)^2+(F162-Sheet3!$F$525)^2+(G162-Sheet3!$G$525)^2+(H162-Sheet3!$H$525)^2+(I162-Sheet3!$I$525)^2+(J162-Sheet3!$J$525)^2+(K162-Sheet3!$K$525)^2+(L162-Sheet3!$L$525)^2)</f>
        <v>4.7761863217382876</v>
      </c>
      <c r="O162" s="8">
        <f>SQRT((C162-Sheet3!$C$526)^2+(D162-Sheet3!$D$526)^2+(E162-Sheet3!$E$526)^2+(F162-Sheet3!$F$526)^2+(G162-Sheet3!$G$526)^2+(H162-Sheet3!$H$526)^2+(I162-Sheet3!$I$526)^2+(J162-Sheet3!$J$526)^2+(K162-Sheet3!$K$526)^2+(L162-Sheet3!$L$526)^2)</f>
        <v>3.7208483367528933</v>
      </c>
      <c r="P162" s="12">
        <f t="shared" si="2"/>
        <v>1</v>
      </c>
      <c r="Q162" s="11">
        <f>IF(P162=Sheet1!M162, 1, 0)</f>
        <v>0</v>
      </c>
    </row>
    <row r="163" spans="1:17" x14ac:dyDescent="0.35">
      <c r="A163" s="6" t="s">
        <v>183</v>
      </c>
      <c r="B163" s="6" t="s">
        <v>185</v>
      </c>
      <c r="C163" s="6">
        <v>-0.61372691664219781</v>
      </c>
      <c r="D163" s="6">
        <v>-0.82038421948623641</v>
      </c>
      <c r="E163" s="6">
        <v>-0.5433000798495411</v>
      </c>
      <c r="F163" s="6">
        <v>-0.44013219468169812</v>
      </c>
      <c r="G163" s="6">
        <v>0.45097025639467292</v>
      </c>
      <c r="H163" s="6">
        <v>-0.69226571824920835</v>
      </c>
      <c r="I163" s="6">
        <v>-0.24203261401151765</v>
      </c>
      <c r="J163" s="6">
        <v>1.6893789987275287</v>
      </c>
      <c r="K163" s="6">
        <v>-0.70959742730275266</v>
      </c>
      <c r="L163" s="6">
        <v>0.54263195304847733</v>
      </c>
      <c r="N163" s="8">
        <f>SQRT((C163-Sheet3!$C$525)^2+(D163-Sheet3!$D$525)^2+(E163-Sheet3!$E$525)^2+(F163-Sheet3!$F$525)^2+(G163-Sheet3!$G$525)^2+(H163-Sheet3!$H$525)^2+(I163-Sheet3!$I$525)^2+(J163-Sheet3!$J$525)^2+(K163-Sheet3!$K$525)^2+(L163-Sheet3!$L$525)^2)</f>
        <v>2.6773639165502234</v>
      </c>
      <c r="O163" s="8">
        <f>SQRT((C163-Sheet3!$C$526)^2+(D163-Sheet3!$D$526)^2+(E163-Sheet3!$E$526)^2+(F163-Sheet3!$F$526)^2+(G163-Sheet3!$G$526)^2+(H163-Sheet3!$H$526)^2+(I163-Sheet3!$I$526)^2+(J163-Sheet3!$J$526)^2+(K163-Sheet3!$K$526)^2+(L163-Sheet3!$L$526)^2)</f>
        <v>3.6386649593698595</v>
      </c>
      <c r="P163" s="12">
        <f t="shared" si="2"/>
        <v>0</v>
      </c>
      <c r="Q163" s="11">
        <f>IF(P163=Sheet1!M163, 1, 0)</f>
        <v>1</v>
      </c>
    </row>
    <row r="164" spans="1:17" x14ac:dyDescent="0.35">
      <c r="A164" s="6" t="s">
        <v>183</v>
      </c>
      <c r="B164" s="6" t="s">
        <v>186</v>
      </c>
      <c r="C164" s="6">
        <v>-0.14670334379431585</v>
      </c>
      <c r="D164" s="6">
        <v>-0.76514423521586061</v>
      </c>
      <c r="E164" s="6">
        <v>-0.8372768968713723</v>
      </c>
      <c r="F164" s="6">
        <v>-0.67277238426494923</v>
      </c>
      <c r="G164" s="6">
        <v>0.1925579840667101</v>
      </c>
      <c r="H164" s="6">
        <v>-1.0062895746565834</v>
      </c>
      <c r="I164" s="6">
        <v>7.0977844458259623E-2</v>
      </c>
      <c r="J164" s="6">
        <v>1.6172564082749372</v>
      </c>
      <c r="K164" s="6">
        <v>-0.2323025743255428</v>
      </c>
      <c r="L164" s="6">
        <v>0.22845441766329597</v>
      </c>
      <c r="N164" s="8">
        <f>SQRT((C164-Sheet3!$C$525)^2+(D164-Sheet3!$D$525)^2+(E164-Sheet3!$E$525)^2+(F164-Sheet3!$F$525)^2+(G164-Sheet3!$G$525)^2+(H164-Sheet3!$H$525)^2+(I164-Sheet3!$I$525)^2+(J164-Sheet3!$J$525)^2+(K164-Sheet3!$K$525)^2+(L164-Sheet3!$L$525)^2)</f>
        <v>2.3951145071325359</v>
      </c>
      <c r="O164" s="8">
        <f>SQRT((C164-Sheet3!$C$526)^2+(D164-Sheet3!$D$526)^2+(E164-Sheet3!$E$526)^2+(F164-Sheet3!$F$526)^2+(G164-Sheet3!$G$526)^2+(H164-Sheet3!$H$526)^2+(I164-Sheet3!$I$526)^2+(J164-Sheet3!$J$526)^2+(K164-Sheet3!$K$526)^2+(L164-Sheet3!$L$526)^2)</f>
        <v>4.0357493778906663</v>
      </c>
      <c r="P164" s="12">
        <f t="shared" si="2"/>
        <v>0</v>
      </c>
      <c r="Q164" s="11">
        <f>IF(P164=Sheet1!M164, 1, 0)</f>
        <v>1</v>
      </c>
    </row>
    <row r="165" spans="1:17" x14ac:dyDescent="0.35">
      <c r="A165" s="6" t="s">
        <v>183</v>
      </c>
      <c r="B165" s="6" t="s">
        <v>187</v>
      </c>
      <c r="C165" s="6">
        <v>-0.68753811350034011</v>
      </c>
      <c r="D165" s="6">
        <v>0.38875765843198068</v>
      </c>
      <c r="E165" s="6">
        <v>-6.5529339838668712E-3</v>
      </c>
      <c r="F165" s="6">
        <v>0.43188335037870729</v>
      </c>
      <c r="G165" s="6">
        <v>1.1797509345330859</v>
      </c>
      <c r="H165" s="6">
        <v>-0.68364756781607228</v>
      </c>
      <c r="I165" s="6">
        <v>0.88824751402700619</v>
      </c>
      <c r="J165" s="6">
        <v>1.2376638269455078</v>
      </c>
      <c r="K165" s="6">
        <v>-0.67986430531400877</v>
      </c>
      <c r="L165" s="6">
        <v>1.295137407202702</v>
      </c>
      <c r="N165" s="8">
        <f>SQRT((C165-Sheet3!$C$525)^2+(D165-Sheet3!$D$525)^2+(E165-Sheet3!$E$525)^2+(F165-Sheet3!$F$525)^2+(G165-Sheet3!$G$525)^2+(H165-Sheet3!$H$525)^2+(I165-Sheet3!$I$525)^2+(J165-Sheet3!$J$525)^2+(K165-Sheet3!$K$525)^2+(L165-Sheet3!$L$525)^2)</f>
        <v>3.3452646832982138</v>
      </c>
      <c r="O165" s="8">
        <f>SQRT((C165-Sheet3!$C$526)^2+(D165-Sheet3!$D$526)^2+(E165-Sheet3!$E$526)^2+(F165-Sheet3!$F$526)^2+(G165-Sheet3!$G$526)^2+(H165-Sheet3!$H$526)^2+(I165-Sheet3!$I$526)^2+(J165-Sheet3!$J$526)^2+(K165-Sheet3!$K$526)^2+(L165-Sheet3!$L$526)^2)</f>
        <v>2.250201900731148</v>
      </c>
      <c r="P165" s="12">
        <f t="shared" si="2"/>
        <v>1</v>
      </c>
      <c r="Q165" s="11">
        <f>IF(P165=Sheet1!M165, 1, 0)</f>
        <v>0</v>
      </c>
    </row>
    <row r="166" spans="1:17" x14ac:dyDescent="0.35">
      <c r="A166" s="6" t="s">
        <v>183</v>
      </c>
      <c r="B166" s="6" t="s">
        <v>188</v>
      </c>
      <c r="C166" s="6">
        <v>-0.21783049713034378</v>
      </c>
      <c r="D166" s="6">
        <v>-0.55645985019444255</v>
      </c>
      <c r="E166" s="6">
        <v>-0.87080056898789693</v>
      </c>
      <c r="F166" s="6">
        <v>-0.53565333212647581</v>
      </c>
      <c r="G166" s="6">
        <v>0.56130358615268228</v>
      </c>
      <c r="H166" s="6">
        <v>-1.8029298553195483</v>
      </c>
      <c r="I166" s="6">
        <v>-0.49639345500834353</v>
      </c>
      <c r="J166" s="6">
        <v>1.3743171562241023</v>
      </c>
      <c r="K166" s="6">
        <v>-1.0491809784373596</v>
      </c>
      <c r="L166" s="6">
        <v>0.37646791478787001</v>
      </c>
      <c r="N166" s="8">
        <f>SQRT((C166-Sheet3!$C$525)^2+(D166-Sheet3!$D$525)^2+(E166-Sheet3!$E$525)^2+(F166-Sheet3!$F$525)^2+(G166-Sheet3!$G$525)^2+(H166-Sheet3!$H$525)^2+(I166-Sheet3!$I$525)^2+(J166-Sheet3!$J$525)^2+(K166-Sheet3!$K$525)^2+(L166-Sheet3!$L$525)^2)</f>
        <v>2.933904187086589</v>
      </c>
      <c r="O166" s="8">
        <f>SQRT((C166-Sheet3!$C$526)^2+(D166-Sheet3!$D$526)^2+(E166-Sheet3!$E$526)^2+(F166-Sheet3!$F$526)^2+(G166-Sheet3!$G$526)^2+(H166-Sheet3!$H$526)^2+(I166-Sheet3!$I$526)^2+(J166-Sheet3!$J$526)^2+(K166-Sheet3!$K$526)^2+(L166-Sheet3!$L$526)^2)</f>
        <v>4.34601676592768</v>
      </c>
      <c r="P166" s="12">
        <f t="shared" si="2"/>
        <v>0</v>
      </c>
      <c r="Q166" s="11">
        <f>IF(P166=Sheet1!M166, 1, 0)</f>
        <v>1</v>
      </c>
    </row>
    <row r="167" spans="1:17" x14ac:dyDescent="0.35">
      <c r="A167" s="6" t="s">
        <v>183</v>
      </c>
      <c r="B167" s="6" t="s">
        <v>189</v>
      </c>
      <c r="C167" s="6">
        <v>-0.15072940907748716</v>
      </c>
      <c r="D167" s="6">
        <v>-0.58714873034465098</v>
      </c>
      <c r="E167" s="6">
        <v>-0.91942831315692164</v>
      </c>
      <c r="F167" s="6">
        <v>-0.62038982502103757</v>
      </c>
      <c r="G167" s="6">
        <v>3.8299200069645666E-3</v>
      </c>
      <c r="H167" s="6">
        <v>-1.5002173213556629</v>
      </c>
      <c r="I167" s="6">
        <v>7.8657560906266067E-3</v>
      </c>
      <c r="J167" s="6">
        <v>0.41774385127394009</v>
      </c>
      <c r="K167" s="6">
        <v>-0.20100455117949576</v>
      </c>
      <c r="L167" s="6">
        <v>6.7185789635758039E-2</v>
      </c>
      <c r="N167" s="8">
        <f>SQRT((C167-Sheet3!$C$525)^2+(D167-Sheet3!$D$525)^2+(E167-Sheet3!$E$525)^2+(F167-Sheet3!$F$525)^2+(G167-Sheet3!$G$525)^2+(H167-Sheet3!$H$525)^2+(I167-Sheet3!$I$525)^2+(J167-Sheet3!$J$525)^2+(K167-Sheet3!$K$525)^2+(L167-Sheet3!$L$525)^2)</f>
        <v>1.7726119529209532</v>
      </c>
      <c r="O167" s="8">
        <f>SQRT((C167-Sheet3!$C$526)^2+(D167-Sheet3!$D$526)^2+(E167-Sheet3!$E$526)^2+(F167-Sheet3!$F$526)^2+(G167-Sheet3!$G$526)^2+(H167-Sheet3!$H$526)^2+(I167-Sheet3!$I$526)^2+(J167-Sheet3!$J$526)^2+(K167-Sheet3!$K$526)^2+(L167-Sheet3!$L$526)^2)</f>
        <v>4.3073339668669197</v>
      </c>
      <c r="P167" s="12">
        <f t="shared" si="2"/>
        <v>0</v>
      </c>
      <c r="Q167" s="11">
        <f>IF(P167=Sheet1!M167, 1, 0)</f>
        <v>1</v>
      </c>
    </row>
    <row r="168" spans="1:17" x14ac:dyDescent="0.35">
      <c r="A168" s="6" t="s">
        <v>183</v>
      </c>
      <c r="B168" s="6" t="s">
        <v>190</v>
      </c>
      <c r="C168" s="6">
        <v>-0.57749232909365533</v>
      </c>
      <c r="D168" s="6">
        <v>-0.32936213708289924</v>
      </c>
      <c r="E168" s="6">
        <v>-0.39262775132582062</v>
      </c>
      <c r="F168" s="6">
        <v>0.15456391908741327</v>
      </c>
      <c r="G168" s="6">
        <v>0.68615445929989805</v>
      </c>
      <c r="H168" s="6">
        <v>-0.57161161218531054</v>
      </c>
      <c r="I168" s="6">
        <v>0.31768873534991754</v>
      </c>
      <c r="J168" s="6">
        <v>1.9201181156748245E-4</v>
      </c>
      <c r="K168" s="6">
        <v>5.72041397753872E-2</v>
      </c>
      <c r="L168" s="6">
        <v>1.6942861687715773E-2</v>
      </c>
      <c r="N168" s="8">
        <f>SQRT((C168-Sheet3!$C$525)^2+(D168-Sheet3!$D$525)^2+(E168-Sheet3!$E$525)^2+(F168-Sheet3!$F$525)^2+(G168-Sheet3!$G$525)^2+(H168-Sheet3!$H$525)^2+(I168-Sheet3!$I$525)^2+(J168-Sheet3!$J$525)^2+(K168-Sheet3!$K$525)^2+(L168-Sheet3!$L$525)^2)</f>
        <v>1.5540162873802188</v>
      </c>
      <c r="O168" s="8">
        <f>SQRT((C168-Sheet3!$C$526)^2+(D168-Sheet3!$D$526)^2+(E168-Sheet3!$E$526)^2+(F168-Sheet3!$F$526)^2+(G168-Sheet3!$G$526)^2+(H168-Sheet3!$H$526)^2+(I168-Sheet3!$I$526)^2+(J168-Sheet3!$J$526)^2+(K168-Sheet3!$K$526)^2+(L168-Sheet3!$L$526)^2)</f>
        <v>3.1576541648785117</v>
      </c>
      <c r="P168" s="12">
        <f t="shared" si="2"/>
        <v>0</v>
      </c>
      <c r="Q168" s="11">
        <f>IF(P168=Sheet1!M168, 1, 0)</f>
        <v>1</v>
      </c>
    </row>
    <row r="169" spans="1:17" x14ac:dyDescent="0.35">
      <c r="A169" s="6" t="s">
        <v>183</v>
      </c>
      <c r="B169" s="6" t="s">
        <v>191</v>
      </c>
      <c r="C169" s="6">
        <v>0.11096483432865353</v>
      </c>
      <c r="D169" s="6">
        <v>-0.39073989738331666</v>
      </c>
      <c r="E169" s="6">
        <v>-0.3373689511337471</v>
      </c>
      <c r="F169" s="6">
        <v>-3.3397028787799446E-2</v>
      </c>
      <c r="G169" s="6">
        <v>1.1971719866001402</v>
      </c>
      <c r="H169" s="6">
        <v>0.20348329239481522</v>
      </c>
      <c r="I169" s="6">
        <v>0.59053695576756482</v>
      </c>
      <c r="J169" s="6">
        <v>2.5130949002123906</v>
      </c>
      <c r="K169" s="6">
        <v>-0.8833014557633122</v>
      </c>
      <c r="L169" s="6">
        <v>-9.363169405390992E-2</v>
      </c>
      <c r="N169" s="8">
        <f>SQRT((C169-Sheet3!$C$525)^2+(D169-Sheet3!$D$525)^2+(E169-Sheet3!$E$525)^2+(F169-Sheet3!$F$525)^2+(G169-Sheet3!$G$525)^2+(H169-Sheet3!$H$525)^2+(I169-Sheet3!$I$525)^2+(J169-Sheet3!$J$525)^2+(K169-Sheet3!$K$525)^2+(L169-Sheet3!$L$525)^2)</f>
        <v>3.5176996627376989</v>
      </c>
      <c r="O169" s="8">
        <f>SQRT((C169-Sheet3!$C$526)^2+(D169-Sheet3!$D$526)^2+(E169-Sheet3!$E$526)^2+(F169-Sheet3!$F$526)^2+(G169-Sheet3!$G$526)^2+(H169-Sheet3!$H$526)^2+(I169-Sheet3!$I$526)^2+(J169-Sheet3!$J$526)^2+(K169-Sheet3!$K$526)^2+(L169-Sheet3!$L$526)^2)</f>
        <v>3.1797075391622132</v>
      </c>
      <c r="P169" s="12">
        <f t="shared" si="2"/>
        <v>1</v>
      </c>
      <c r="Q169" s="11">
        <f>IF(P169=Sheet1!M169, 1, 0)</f>
        <v>0</v>
      </c>
    </row>
    <row r="170" spans="1:17" x14ac:dyDescent="0.35">
      <c r="A170" s="6" t="s">
        <v>183</v>
      </c>
      <c r="B170" s="6" t="s">
        <v>192</v>
      </c>
      <c r="C170" s="6">
        <v>3.6030934440831001E-3</v>
      </c>
      <c r="D170" s="6">
        <v>-0.82038421948623641</v>
      </c>
      <c r="E170" s="6">
        <v>1.5918978094243034E-2</v>
      </c>
      <c r="F170" s="6">
        <v>-0.12429617571105542</v>
      </c>
      <c r="G170" s="6">
        <v>0.73261059814537755</v>
      </c>
      <c r="H170" s="6">
        <v>0.33437145209806052</v>
      </c>
      <c r="I170" s="6">
        <v>0.72696106597638843</v>
      </c>
      <c r="J170" s="6">
        <v>2.0196245444841328</v>
      </c>
      <c r="K170" s="6">
        <v>-0.77845307822405707</v>
      </c>
      <c r="L170" s="6">
        <v>0.25417695817825253</v>
      </c>
      <c r="N170" s="8">
        <f>SQRT((C170-Sheet3!$C$525)^2+(D170-Sheet3!$D$525)^2+(E170-Sheet3!$E$525)^2+(F170-Sheet3!$F$525)^2+(G170-Sheet3!$G$525)^2+(H170-Sheet3!$H$525)^2+(I170-Sheet3!$I$525)^2+(J170-Sheet3!$J$525)^2+(K170-Sheet3!$K$525)^2+(L170-Sheet3!$L$525)^2)</f>
        <v>3.0598445404456935</v>
      </c>
      <c r="O170" s="8">
        <f>SQRT((C170-Sheet3!$C$526)^2+(D170-Sheet3!$D$526)^2+(E170-Sheet3!$E$526)^2+(F170-Sheet3!$F$526)^2+(G170-Sheet3!$G$526)^2+(H170-Sheet3!$H$526)^2+(I170-Sheet3!$I$526)^2+(J170-Sheet3!$J$526)^2+(K170-Sheet3!$K$526)^2+(L170-Sheet3!$L$526)^2)</f>
        <v>2.9846584444286264</v>
      </c>
      <c r="P170" s="12">
        <f t="shared" si="2"/>
        <v>1</v>
      </c>
      <c r="Q170" s="11">
        <f>IF(P170=Sheet1!M170, 1, 0)</f>
        <v>0</v>
      </c>
    </row>
    <row r="171" spans="1:17" x14ac:dyDescent="0.35">
      <c r="A171" s="6" t="s">
        <v>183</v>
      </c>
      <c r="B171" s="6" t="s">
        <v>193</v>
      </c>
      <c r="C171" s="6">
        <v>7.6291587272544108E-3</v>
      </c>
      <c r="D171" s="6">
        <v>-0.69149092285536051</v>
      </c>
      <c r="E171" s="6">
        <v>-0.2703216069006979</v>
      </c>
      <c r="F171" s="6">
        <v>-0.32612309515083121</v>
      </c>
      <c r="G171" s="6">
        <v>0.23320710555650215</v>
      </c>
      <c r="H171" s="6">
        <v>0.18247655071404736</v>
      </c>
      <c r="I171" s="6">
        <v>0.74353595787091786</v>
      </c>
      <c r="J171" s="6">
        <v>0.24692718967569677</v>
      </c>
      <c r="K171" s="6">
        <v>-0.28707411483112566</v>
      </c>
      <c r="L171" s="6">
        <v>1.7231630839184574E-2</v>
      </c>
      <c r="N171" s="8">
        <f>SQRT((C171-Sheet3!$C$525)^2+(D171-Sheet3!$D$525)^2+(E171-Sheet3!$E$525)^2+(F171-Sheet3!$F$525)^2+(G171-Sheet3!$G$525)^2+(H171-Sheet3!$H$525)^2+(I171-Sheet3!$I$525)^2+(J171-Sheet3!$J$525)^2+(K171-Sheet3!$K$525)^2+(L171-Sheet3!$L$525)^2)</f>
        <v>1.4544288963355698</v>
      </c>
      <c r="O171" s="8">
        <f>SQRT((C171-Sheet3!$C$526)^2+(D171-Sheet3!$D$526)^2+(E171-Sheet3!$E$526)^2+(F171-Sheet3!$F$526)^2+(G171-Sheet3!$G$526)^2+(H171-Sheet3!$H$526)^2+(I171-Sheet3!$I$526)^2+(J171-Sheet3!$J$526)^2+(K171-Sheet3!$K$526)^2+(L171-Sheet3!$L$526)^2)</f>
        <v>3.2586590018148858</v>
      </c>
      <c r="P171" s="12">
        <f t="shared" si="2"/>
        <v>0</v>
      </c>
      <c r="Q171" s="11">
        <f>IF(P171=Sheet1!M171, 1, 0)</f>
        <v>1</v>
      </c>
    </row>
    <row r="172" spans="1:17" x14ac:dyDescent="0.35">
      <c r="A172" s="6" t="s">
        <v>183</v>
      </c>
      <c r="B172" s="6" t="s">
        <v>194</v>
      </c>
      <c r="C172" s="6">
        <v>-0.20977836656400092</v>
      </c>
      <c r="D172" s="6">
        <v>5.1179976779686241E-2</v>
      </c>
      <c r="E172" s="6">
        <v>-2.3130574041488931E-2</v>
      </c>
      <c r="F172" s="6">
        <v>0.28860164421153744</v>
      </c>
      <c r="G172" s="6">
        <v>0.86036497997043715</v>
      </c>
      <c r="H172" s="6">
        <v>0.57460239542171354</v>
      </c>
      <c r="I172" s="6">
        <v>0.57523705555722882</v>
      </c>
      <c r="J172" s="6">
        <v>1.5641134468888169</v>
      </c>
      <c r="K172" s="6">
        <v>-0.14936281298851917</v>
      </c>
      <c r="L172" s="6">
        <v>5.1205028979234367E-2</v>
      </c>
      <c r="N172" s="8">
        <f>SQRT((C172-Sheet3!$C$525)^2+(D172-Sheet3!$D$525)^2+(E172-Sheet3!$E$525)^2+(F172-Sheet3!$F$525)^2+(G172-Sheet3!$G$525)^2+(H172-Sheet3!$H$525)^2+(I172-Sheet3!$I$525)^2+(J172-Sheet3!$J$525)^2+(K172-Sheet3!$K$525)^2+(L172-Sheet3!$L$525)^2)</f>
        <v>2.6851812773852184</v>
      </c>
      <c r="O172" s="8">
        <f>SQRT((C172-Sheet3!$C$526)^2+(D172-Sheet3!$D$526)^2+(E172-Sheet3!$E$526)^2+(F172-Sheet3!$F$526)^2+(G172-Sheet3!$G$526)^2+(H172-Sheet3!$H$526)^2+(I172-Sheet3!$I$526)^2+(J172-Sheet3!$J$526)^2+(K172-Sheet3!$K$526)^2+(L172-Sheet3!$L$526)^2)</f>
        <v>2.1841229757423379</v>
      </c>
      <c r="P172" s="12">
        <f t="shared" si="2"/>
        <v>1</v>
      </c>
      <c r="Q172" s="11">
        <f>IF(P172=Sheet1!M172, 1, 0)</f>
        <v>0</v>
      </c>
    </row>
    <row r="173" spans="1:17" x14ac:dyDescent="0.35">
      <c r="A173" s="6" t="s">
        <v>183</v>
      </c>
      <c r="B173" s="6" t="s">
        <v>195</v>
      </c>
      <c r="C173" s="6">
        <v>0.10291270376231068</v>
      </c>
      <c r="D173" s="6">
        <v>-1.1763752292286556</v>
      </c>
      <c r="E173" s="6">
        <v>-0.18964375862027052</v>
      </c>
      <c r="F173" s="6">
        <v>-0.35231437477278704</v>
      </c>
      <c r="G173" s="6">
        <v>0.6338913030987392</v>
      </c>
      <c r="H173" s="6">
        <v>0.67586566301105566</v>
      </c>
      <c r="I173" s="6">
        <v>0.81684797971210843</v>
      </c>
      <c r="J173" s="6">
        <v>1.2300719753189193</v>
      </c>
      <c r="K173" s="6">
        <v>6.1898843247294361E-2</v>
      </c>
      <c r="L173" s="6">
        <v>0.7852512598936161</v>
      </c>
      <c r="N173" s="8">
        <f>SQRT((C173-Sheet3!$C$525)^2+(D173-Sheet3!$D$525)^2+(E173-Sheet3!$E$525)^2+(F173-Sheet3!$F$525)^2+(G173-Sheet3!$G$525)^2+(H173-Sheet3!$H$525)^2+(I173-Sheet3!$I$525)^2+(J173-Sheet3!$J$525)^2+(K173-Sheet3!$K$525)^2+(L173-Sheet3!$L$525)^2)</f>
        <v>2.6244004211916048</v>
      </c>
      <c r="O173" s="8">
        <f>SQRT((C173-Sheet3!$C$526)^2+(D173-Sheet3!$D$526)^2+(E173-Sheet3!$E$526)^2+(F173-Sheet3!$F$526)^2+(G173-Sheet3!$G$526)^2+(H173-Sheet3!$H$526)^2+(I173-Sheet3!$I$526)^2+(J173-Sheet3!$J$526)^2+(K173-Sheet3!$K$526)^2+(L173-Sheet3!$L$526)^2)</f>
        <v>3.3273747571359369</v>
      </c>
      <c r="P173" s="12">
        <f t="shared" si="2"/>
        <v>0</v>
      </c>
      <c r="Q173" s="11">
        <f>IF(P173=Sheet1!M173, 1, 0)</f>
        <v>1</v>
      </c>
    </row>
    <row r="174" spans="1:17" x14ac:dyDescent="0.35">
      <c r="A174" s="6" t="s">
        <v>183</v>
      </c>
      <c r="B174" s="6" t="s">
        <v>196</v>
      </c>
      <c r="C174" s="6">
        <v>-0.30103584631588609</v>
      </c>
      <c r="D174" s="6">
        <v>-0.81424644345619435</v>
      </c>
      <c r="E174" s="6">
        <v>0.19495749071656129</v>
      </c>
      <c r="F174" s="6">
        <v>-0.12275551220388296</v>
      </c>
      <c r="G174" s="6">
        <v>0.84875094525906614</v>
      </c>
      <c r="H174" s="6">
        <v>0.4641823429971641</v>
      </c>
      <c r="I174" s="6">
        <v>0.86784764707989281</v>
      </c>
      <c r="J174" s="6">
        <v>1.7880730698731804</v>
      </c>
      <c r="K174" s="6">
        <v>-0.26360059747158981</v>
      </c>
      <c r="L174" s="6">
        <v>0.14750036808109171</v>
      </c>
      <c r="N174" s="8">
        <f>SQRT((C174-Sheet3!$C$525)^2+(D174-Sheet3!$D$525)^2+(E174-Sheet3!$E$525)^2+(F174-Sheet3!$F$525)^2+(G174-Sheet3!$G$525)^2+(H174-Sheet3!$H$525)^2+(I174-Sheet3!$I$525)^2+(J174-Sheet3!$J$525)^2+(K174-Sheet3!$K$525)^2+(L174-Sheet3!$L$525)^2)</f>
        <v>2.930777667130446</v>
      </c>
      <c r="O174" s="8">
        <f>SQRT((C174-Sheet3!$C$526)^2+(D174-Sheet3!$D$526)^2+(E174-Sheet3!$E$526)^2+(F174-Sheet3!$F$526)^2+(G174-Sheet3!$G$526)^2+(H174-Sheet3!$H$526)^2+(I174-Sheet3!$I$526)^2+(J174-Sheet3!$J$526)^2+(K174-Sheet3!$K$526)^2+(L174-Sheet3!$L$526)^2)</f>
        <v>2.8080216324658926</v>
      </c>
      <c r="P174" s="12">
        <f t="shared" si="2"/>
        <v>1</v>
      </c>
      <c r="Q174" s="11">
        <f>IF(P174=Sheet1!M174, 1, 0)</f>
        <v>0</v>
      </c>
    </row>
    <row r="175" spans="1:17" x14ac:dyDescent="0.35">
      <c r="A175" s="6" t="s">
        <v>183</v>
      </c>
      <c r="B175" s="6" t="s">
        <v>197</v>
      </c>
      <c r="C175" s="6">
        <v>-0.46207845764274191</v>
      </c>
      <c r="D175" s="6">
        <v>-0.20660661648206549</v>
      </c>
      <c r="E175" s="6">
        <v>0.49519697176016081</v>
      </c>
      <c r="F175" s="6">
        <v>0.16226723662328213</v>
      </c>
      <c r="G175" s="6">
        <v>0.44225973036114985</v>
      </c>
      <c r="H175" s="6">
        <v>-0.24735370213858687</v>
      </c>
      <c r="I175" s="6">
        <v>-0.23183268053796097</v>
      </c>
      <c r="J175" s="6">
        <v>2.1410941705095494</v>
      </c>
      <c r="K175" s="6">
        <v>-1.3042598670776384</v>
      </c>
      <c r="L175" s="6">
        <v>0.51978596700351043</v>
      </c>
      <c r="N175" s="8">
        <f>SQRT((C175-Sheet3!$C$525)^2+(D175-Sheet3!$D$525)^2+(E175-Sheet3!$E$525)^2+(F175-Sheet3!$F$525)^2+(G175-Sheet3!$G$525)^2+(H175-Sheet3!$H$525)^2+(I175-Sheet3!$I$525)^2+(J175-Sheet3!$J$525)^2+(K175-Sheet3!$K$525)^2+(L175-Sheet3!$L$525)^2)</f>
        <v>3.3004173534980055</v>
      </c>
      <c r="O175" s="8">
        <f>SQRT((C175-Sheet3!$C$526)^2+(D175-Sheet3!$D$526)^2+(E175-Sheet3!$E$526)^2+(F175-Sheet3!$F$526)^2+(G175-Sheet3!$G$526)^2+(H175-Sheet3!$H$526)^2+(I175-Sheet3!$I$526)^2+(J175-Sheet3!$J$526)^2+(K175-Sheet3!$K$526)^2+(L175-Sheet3!$L$526)^2)</f>
        <v>2.6818554394329621</v>
      </c>
      <c r="P175" s="12">
        <f t="shared" si="2"/>
        <v>1</v>
      </c>
      <c r="Q175" s="11">
        <f>IF(P175=Sheet1!M175, 1, 0)</f>
        <v>0</v>
      </c>
    </row>
    <row r="176" spans="1:17" x14ac:dyDescent="0.35">
      <c r="A176" s="6" t="s">
        <v>183</v>
      </c>
      <c r="B176" s="6" t="s">
        <v>198</v>
      </c>
      <c r="C176" s="6">
        <v>-0.44597419651005643</v>
      </c>
      <c r="D176" s="6">
        <v>-0.40301544944339984</v>
      </c>
      <c r="E176" s="6">
        <v>0.44104334757192876</v>
      </c>
      <c r="F176" s="6">
        <v>0.15610458259458573</v>
      </c>
      <c r="G176" s="6">
        <v>0.77616322831300921</v>
      </c>
      <c r="H176" s="6">
        <v>-6.5914599008273019E-4</v>
      </c>
      <c r="I176" s="6">
        <v>0.73269852855526352</v>
      </c>
      <c r="J176" s="6">
        <v>2.5700337874118051</v>
      </c>
      <c r="K176" s="6">
        <v>-0.82540011294312643</v>
      </c>
      <c r="L176" s="6">
        <v>3.0293057143532587</v>
      </c>
      <c r="N176" s="8">
        <f>SQRT((C176-Sheet3!$C$525)^2+(D176-Sheet3!$D$525)^2+(E176-Sheet3!$E$525)^2+(F176-Sheet3!$F$525)^2+(G176-Sheet3!$G$525)^2+(H176-Sheet3!$H$525)^2+(I176-Sheet3!$I$525)^2+(J176-Sheet3!$J$525)^2+(K176-Sheet3!$K$525)^2+(L176-Sheet3!$L$525)^2)</f>
        <v>4.8406608852280808</v>
      </c>
      <c r="O176" s="8">
        <f>SQRT((C176-Sheet3!$C$526)^2+(D176-Sheet3!$D$526)^2+(E176-Sheet3!$E$526)^2+(F176-Sheet3!$F$526)^2+(G176-Sheet3!$G$526)^2+(H176-Sheet3!$H$526)^2+(I176-Sheet3!$I$526)^2+(J176-Sheet3!$J$526)^2+(K176-Sheet3!$K$526)^2+(L176-Sheet3!$L$526)^2)</f>
        <v>3.4886122857397579</v>
      </c>
      <c r="P176" s="12">
        <f t="shared" si="2"/>
        <v>1</v>
      </c>
      <c r="Q176" s="11">
        <f>IF(P176=Sheet1!M176, 1, 0)</f>
        <v>0</v>
      </c>
    </row>
    <row r="177" spans="1:17" x14ac:dyDescent="0.35">
      <c r="A177" s="6" t="s">
        <v>183</v>
      </c>
      <c r="B177" s="6" t="s">
        <v>199</v>
      </c>
      <c r="C177" s="6">
        <v>-0.94789033514542376</v>
      </c>
      <c r="D177" s="6">
        <v>0.5299265071229402</v>
      </c>
      <c r="E177" s="6">
        <v>0.37436439534016003</v>
      </c>
      <c r="F177" s="6">
        <v>0.69687747361261076</v>
      </c>
      <c r="G177" s="6">
        <v>1.2058825126336674</v>
      </c>
      <c r="H177" s="6">
        <v>0.20563783000309868</v>
      </c>
      <c r="I177" s="6">
        <v>0.63006169797759715</v>
      </c>
      <c r="J177" s="6">
        <v>1.9095426958985979</v>
      </c>
      <c r="K177" s="6">
        <v>-0.56249671851633409</v>
      </c>
      <c r="L177" s="6">
        <v>4.8030228582441232</v>
      </c>
      <c r="N177" s="8">
        <f>SQRT((C177-Sheet3!$C$525)^2+(D177-Sheet3!$D$525)^2+(E177-Sheet3!$E$525)^2+(F177-Sheet3!$F$525)^2+(G177-Sheet3!$G$525)^2+(H177-Sheet3!$H$525)^2+(I177-Sheet3!$I$525)^2+(J177-Sheet3!$J$525)^2+(K177-Sheet3!$K$525)^2+(L177-Sheet3!$L$525)^2)</f>
        <v>6.141402468950524</v>
      </c>
      <c r="O177" s="8">
        <f>SQRT((C177-Sheet3!$C$526)^2+(D177-Sheet3!$D$526)^2+(E177-Sheet3!$E$526)^2+(F177-Sheet3!$F$526)^2+(G177-Sheet3!$G$526)^2+(H177-Sheet3!$H$526)^2+(I177-Sheet3!$I$526)^2+(J177-Sheet3!$J$526)^2+(K177-Sheet3!$K$526)^2+(L177-Sheet3!$L$526)^2)</f>
        <v>4.3534296365721996</v>
      </c>
      <c r="P177" s="12">
        <f t="shared" si="2"/>
        <v>1</v>
      </c>
      <c r="Q177" s="11">
        <f>IF(P177=Sheet1!M177, 1, 0)</f>
        <v>0</v>
      </c>
    </row>
    <row r="178" spans="1:17" x14ac:dyDescent="0.35">
      <c r="A178" s="6" t="s">
        <v>183</v>
      </c>
      <c r="B178" s="6" t="s">
        <v>200</v>
      </c>
      <c r="C178" s="6">
        <v>-0.13059908266163012</v>
      </c>
      <c r="D178" s="6">
        <v>-0.14522885618164863</v>
      </c>
      <c r="E178" s="6">
        <v>-0.65529124823881013</v>
      </c>
      <c r="F178" s="6">
        <v>-0.25217124680648539</v>
      </c>
      <c r="G178" s="6">
        <v>0.83132989319201189</v>
      </c>
      <c r="H178" s="6">
        <v>-0.72296787916725325</v>
      </c>
      <c r="I178" s="6">
        <v>0.46750025824278418</v>
      </c>
      <c r="J178" s="6">
        <v>2.5017071227725078</v>
      </c>
      <c r="K178" s="6">
        <v>-1.3637261110551273</v>
      </c>
      <c r="L178" s="6">
        <v>0.20346959666076761</v>
      </c>
      <c r="N178" s="8">
        <f>SQRT((C178-Sheet3!$C$525)^2+(D178-Sheet3!$D$525)^2+(E178-Sheet3!$E$525)^2+(F178-Sheet3!$F$525)^2+(G178-Sheet3!$G$525)^2+(H178-Sheet3!$H$525)^2+(I178-Sheet3!$I$525)^2+(J178-Sheet3!$J$525)^2+(K178-Sheet3!$K$525)^2+(L178-Sheet3!$L$525)^2)</f>
        <v>3.5802528609931707</v>
      </c>
      <c r="O178" s="8">
        <f>SQRT((C178-Sheet3!$C$526)^2+(D178-Sheet3!$D$526)^2+(E178-Sheet3!$E$526)^2+(F178-Sheet3!$F$526)^2+(G178-Sheet3!$G$526)^2+(H178-Sheet3!$H$526)^2+(I178-Sheet3!$I$526)^2+(J178-Sheet3!$J$526)^2+(K178-Sheet3!$K$526)^2+(L178-Sheet3!$L$526)^2)</f>
        <v>3.5482496086080251</v>
      </c>
      <c r="P178" s="12">
        <f t="shared" si="2"/>
        <v>1</v>
      </c>
      <c r="Q178" s="11">
        <f>IF(P178=Sheet1!M178, 1, 0)</f>
        <v>0</v>
      </c>
    </row>
    <row r="179" spans="1:17" x14ac:dyDescent="0.35">
      <c r="A179" s="6" t="s">
        <v>183</v>
      </c>
      <c r="B179" s="6" t="s">
        <v>201</v>
      </c>
      <c r="C179" s="6">
        <v>-0.35203267323605703</v>
      </c>
      <c r="D179" s="6">
        <v>-0.36005101723310823</v>
      </c>
      <c r="E179" s="6">
        <v>-0.46409579957423575</v>
      </c>
      <c r="F179" s="6">
        <v>-0.25371191031366003</v>
      </c>
      <c r="G179" s="6">
        <v>0.56420709483052189</v>
      </c>
      <c r="H179" s="6">
        <v>0.23095364690043418</v>
      </c>
      <c r="I179" s="6">
        <v>-0.27773238116896698</v>
      </c>
      <c r="J179" s="6">
        <v>-0.68687056039469974</v>
      </c>
      <c r="K179" s="6">
        <v>0.82713550916813339</v>
      </c>
      <c r="L179" s="6">
        <v>-0.29130364367754757</v>
      </c>
      <c r="N179" s="8">
        <f>SQRT((C179-Sheet3!$C$525)^2+(D179-Sheet3!$D$525)^2+(E179-Sheet3!$E$525)^2+(F179-Sheet3!$F$525)^2+(G179-Sheet3!$G$525)^2+(H179-Sheet3!$H$525)^2+(I179-Sheet3!$I$525)^2+(J179-Sheet3!$J$525)^2+(K179-Sheet3!$K$525)^2+(L179-Sheet3!$L$525)^2)</f>
        <v>1.3369762829438161</v>
      </c>
      <c r="O179" s="8">
        <f>SQRT((C179-Sheet3!$C$526)^2+(D179-Sheet3!$D$526)^2+(E179-Sheet3!$E$526)^2+(F179-Sheet3!$F$526)^2+(G179-Sheet3!$G$526)^2+(H179-Sheet3!$H$526)^2+(I179-Sheet3!$I$526)^2+(J179-Sheet3!$J$526)^2+(K179-Sheet3!$K$526)^2+(L179-Sheet3!$L$526)^2)</f>
        <v>3.8834016916266854</v>
      </c>
      <c r="P179" s="12">
        <f t="shared" si="2"/>
        <v>0</v>
      </c>
      <c r="Q179" s="11">
        <f>IF(P179=Sheet1!M179, 1, 0)</f>
        <v>1</v>
      </c>
    </row>
    <row r="180" spans="1:17" x14ac:dyDescent="0.35">
      <c r="A180" s="6" t="s">
        <v>183</v>
      </c>
      <c r="B180" s="6" t="s">
        <v>202</v>
      </c>
      <c r="C180" s="6">
        <v>-0.67545991765082591</v>
      </c>
      <c r="D180" s="6">
        <v>1.2848729588180696</v>
      </c>
      <c r="E180" s="6">
        <v>0.51251139582034388</v>
      </c>
      <c r="F180" s="6">
        <v>1.0265794641478165</v>
      </c>
      <c r="G180" s="6">
        <v>1.2087860213115069</v>
      </c>
      <c r="H180" s="6">
        <v>-9.9767875971141382E-2</v>
      </c>
      <c r="I180" s="6">
        <v>0.82896040071195709</v>
      </c>
      <c r="J180" s="6">
        <v>2.5548500841586277</v>
      </c>
      <c r="K180" s="6">
        <v>-1.2041061930102892</v>
      </c>
      <c r="L180" s="6">
        <v>0.23837869461065275</v>
      </c>
      <c r="N180" s="8">
        <f>SQRT((C180-Sheet3!$C$525)^2+(D180-Sheet3!$D$525)^2+(E180-Sheet3!$E$525)^2+(F180-Sheet3!$F$525)^2+(G180-Sheet3!$G$525)^2+(H180-Sheet3!$H$525)^2+(I180-Sheet3!$I$525)^2+(J180-Sheet3!$J$525)^2+(K180-Sheet3!$K$525)^2+(L180-Sheet3!$L$525)^2)</f>
        <v>4.4673250466023458</v>
      </c>
      <c r="O180" s="8">
        <f>SQRT((C180-Sheet3!$C$526)^2+(D180-Sheet3!$D$526)^2+(E180-Sheet3!$E$526)^2+(F180-Sheet3!$F$526)^2+(G180-Sheet3!$G$526)^2+(H180-Sheet3!$H$526)^2+(I180-Sheet3!$I$526)^2+(J180-Sheet3!$J$526)^2+(K180-Sheet3!$K$526)^2+(L180-Sheet3!$L$526)^2)</f>
        <v>1.9951011384220487</v>
      </c>
      <c r="P180" s="12">
        <f t="shared" si="2"/>
        <v>1</v>
      </c>
      <c r="Q180" s="11">
        <f>IF(P180=Sheet1!M180, 1, 0)</f>
        <v>0</v>
      </c>
    </row>
    <row r="181" spans="1:17" x14ac:dyDescent="0.35">
      <c r="A181" s="6" t="s">
        <v>183</v>
      </c>
      <c r="B181" s="6" t="s">
        <v>203</v>
      </c>
      <c r="C181" s="6">
        <v>-0.53991571978405561</v>
      </c>
      <c r="D181" s="6">
        <v>0.84295308465506735</v>
      </c>
      <c r="E181" s="6">
        <v>0.22737598682924443</v>
      </c>
      <c r="F181" s="6">
        <v>0.71998742622021727</v>
      </c>
      <c r="G181" s="6">
        <v>0.84875094525906614</v>
      </c>
      <c r="H181" s="6">
        <v>-2.0232313257665746</v>
      </c>
      <c r="I181" s="6">
        <v>0.84362280508019538</v>
      </c>
      <c r="J181" s="6">
        <v>2.1714615770159038</v>
      </c>
      <c r="K181" s="6">
        <v>-1.9724726612457335</v>
      </c>
      <c r="L181" s="6">
        <v>-0.2739969269563417</v>
      </c>
      <c r="N181" s="8">
        <f>SQRT((C181-Sheet3!$C$525)^2+(D181-Sheet3!$D$525)^2+(E181-Sheet3!$E$525)^2+(F181-Sheet3!$F$525)^2+(G181-Sheet3!$G$525)^2+(H181-Sheet3!$H$525)^2+(I181-Sheet3!$I$525)^2+(J181-Sheet3!$J$525)^2+(K181-Sheet3!$K$525)^2+(L181-Sheet3!$L$525)^2)</f>
        <v>4.48391295849998</v>
      </c>
      <c r="O181" s="8">
        <f>SQRT((C181-Sheet3!$C$526)^2+(D181-Sheet3!$D$526)^2+(E181-Sheet3!$E$526)^2+(F181-Sheet3!$F$526)^2+(G181-Sheet3!$G$526)^2+(H181-Sheet3!$H$526)^2+(I181-Sheet3!$I$526)^2+(J181-Sheet3!$J$526)^2+(K181-Sheet3!$K$526)^2+(L181-Sheet3!$L$526)^2)</f>
        <v>3.5817836805707195</v>
      </c>
      <c r="P181" s="12">
        <f t="shared" si="2"/>
        <v>1</v>
      </c>
      <c r="Q181" s="11">
        <f>IF(P181=Sheet1!M181, 1, 0)</f>
        <v>0</v>
      </c>
    </row>
    <row r="182" spans="1:17" x14ac:dyDescent="0.35">
      <c r="A182" s="6" t="s">
        <v>183</v>
      </c>
      <c r="B182" s="6" t="s">
        <v>204</v>
      </c>
      <c r="C182" s="6">
        <v>-1.0606201630742229</v>
      </c>
      <c r="D182" s="6">
        <v>1.5672106561999888</v>
      </c>
      <c r="E182" s="6">
        <v>2.4576211625813325</v>
      </c>
      <c r="F182" s="6">
        <v>1.8539157675001769</v>
      </c>
      <c r="G182" s="6">
        <v>1.3946105766934129</v>
      </c>
      <c r="H182" s="6">
        <v>-1.5244558694488566</v>
      </c>
      <c r="I182" s="6">
        <v>0.91629733107928835</v>
      </c>
      <c r="J182" s="6">
        <v>2.4295845323199168</v>
      </c>
      <c r="K182" s="6">
        <v>-0.65013118332526487</v>
      </c>
      <c r="L182" s="6">
        <v>3.7287151094048494</v>
      </c>
      <c r="N182" s="8">
        <f>SQRT((C182-Sheet3!$C$525)^2+(D182-Sheet3!$D$525)^2+(E182-Sheet3!$E$525)^2+(F182-Sheet3!$F$525)^2+(G182-Sheet3!$G$525)^2+(H182-Sheet3!$H$525)^2+(I182-Sheet3!$I$525)^2+(J182-Sheet3!$J$525)^2+(K182-Sheet3!$K$525)^2+(L182-Sheet3!$L$525)^2)</f>
        <v>6.9238531888006696</v>
      </c>
      <c r="O182" s="8">
        <f>SQRT((C182-Sheet3!$C$526)^2+(D182-Sheet3!$D$526)^2+(E182-Sheet3!$E$526)^2+(F182-Sheet3!$F$526)^2+(G182-Sheet3!$G$526)^2+(H182-Sheet3!$H$526)^2+(I182-Sheet3!$I$526)^2+(J182-Sheet3!$J$526)^2+(K182-Sheet3!$K$526)^2+(L182-Sheet3!$L$526)^2)</f>
        <v>4.2575738284916191</v>
      </c>
      <c r="P182" s="12">
        <f t="shared" si="2"/>
        <v>1</v>
      </c>
      <c r="Q182" s="11">
        <f>IF(P182=Sheet1!M182, 1, 0)</f>
        <v>0</v>
      </c>
    </row>
    <row r="183" spans="1:17" x14ac:dyDescent="0.35">
      <c r="A183" s="6" t="s">
        <v>183</v>
      </c>
      <c r="B183" s="6" t="s">
        <v>205</v>
      </c>
      <c r="C183" s="6">
        <v>-0.30103584631588609</v>
      </c>
      <c r="D183" s="6">
        <v>1.0332241415863594</v>
      </c>
      <c r="E183" s="6">
        <v>0.54714024394070992</v>
      </c>
      <c r="F183" s="6">
        <v>0.82013055418651892</v>
      </c>
      <c r="G183" s="6">
        <v>0.80810182376927409</v>
      </c>
      <c r="H183" s="6">
        <v>0.83530144602406242</v>
      </c>
      <c r="I183" s="6">
        <v>0.90545990176363411</v>
      </c>
      <c r="J183" s="6">
        <v>2.0765634316835468</v>
      </c>
      <c r="K183" s="6">
        <v>-1.0319670657070339</v>
      </c>
      <c r="L183" s="6">
        <v>-0.10049512247078837</v>
      </c>
      <c r="N183" s="8">
        <f>SQRT((C183-Sheet3!$C$525)^2+(D183-Sheet3!$D$525)^2+(E183-Sheet3!$E$525)^2+(F183-Sheet3!$F$525)^2+(G183-Sheet3!$G$525)^2+(H183-Sheet3!$H$525)^2+(I183-Sheet3!$I$525)^2+(J183-Sheet3!$J$525)^2+(K183-Sheet3!$K$525)^2+(L183-Sheet3!$L$525)^2)</f>
        <v>3.9043179463723559</v>
      </c>
      <c r="O183" s="8">
        <f>SQRT((C183-Sheet3!$C$526)^2+(D183-Sheet3!$D$526)^2+(E183-Sheet3!$E$526)^2+(F183-Sheet3!$F$526)^2+(G183-Sheet3!$G$526)^2+(H183-Sheet3!$H$526)^2+(I183-Sheet3!$I$526)^2+(J183-Sheet3!$J$526)^2+(K183-Sheet3!$K$526)^2+(L183-Sheet3!$L$526)^2)</f>
        <v>1.6306829969720207</v>
      </c>
      <c r="P183" s="12">
        <f t="shared" si="2"/>
        <v>1</v>
      </c>
      <c r="Q183" s="11">
        <f>IF(P183=Sheet1!M183, 1, 0)</f>
        <v>0</v>
      </c>
    </row>
    <row r="184" spans="1:17" x14ac:dyDescent="0.35">
      <c r="A184" s="6" t="s">
        <v>183</v>
      </c>
      <c r="B184" s="6" t="s">
        <v>206</v>
      </c>
      <c r="C184" s="6">
        <v>-1.010965357915109</v>
      </c>
      <c r="D184" s="6">
        <v>1.7636194891613237</v>
      </c>
      <c r="E184" s="6">
        <v>2.0549687051817567</v>
      </c>
      <c r="F184" s="6">
        <v>1.8523751039930043</v>
      </c>
      <c r="G184" s="6">
        <v>1.6065667101759002</v>
      </c>
      <c r="H184" s="6">
        <v>1.0954618622243415</v>
      </c>
      <c r="I184" s="6">
        <v>0.94753462734205607</v>
      </c>
      <c r="J184" s="6">
        <v>2.2094208351488476</v>
      </c>
      <c r="K184" s="6">
        <v>-0.73620074697689253</v>
      </c>
      <c r="L184" s="6">
        <v>0.99946844909034249</v>
      </c>
      <c r="N184" s="8">
        <f>SQRT((C184-Sheet3!$C$525)^2+(D184-Sheet3!$D$525)^2+(E184-Sheet3!$E$525)^2+(F184-Sheet3!$F$525)^2+(G184-Sheet3!$G$525)^2+(H184-Sheet3!$H$525)^2+(I184-Sheet3!$I$525)^2+(J184-Sheet3!$J$525)^2+(K184-Sheet3!$K$525)^2+(L184-Sheet3!$L$525)^2)</f>
        <v>5.6704874302264257</v>
      </c>
      <c r="O184" s="8">
        <f>SQRT((C184-Sheet3!$C$526)^2+(D184-Sheet3!$D$526)^2+(E184-Sheet3!$E$526)^2+(F184-Sheet3!$F$526)^2+(G184-Sheet3!$G$526)^2+(H184-Sheet3!$H$526)^2+(I184-Sheet3!$I$526)^2+(J184-Sheet3!$J$526)^2+(K184-Sheet3!$K$526)^2+(L184-Sheet3!$L$526)^2)</f>
        <v>1.8820685825541055</v>
      </c>
      <c r="P184" s="12">
        <f t="shared" si="2"/>
        <v>1</v>
      </c>
      <c r="Q184" s="11">
        <f>IF(P184=Sheet1!M184, 1, 0)</f>
        <v>0</v>
      </c>
    </row>
    <row r="185" spans="1:17" x14ac:dyDescent="0.35">
      <c r="A185" s="6" t="s">
        <v>183</v>
      </c>
      <c r="B185" s="6" t="s">
        <v>207</v>
      </c>
      <c r="C185" s="6">
        <v>-1.3008420583034497</v>
      </c>
      <c r="D185" s="6">
        <v>1.8556861296119496</v>
      </c>
      <c r="E185" s="6">
        <v>1.8770353685632797</v>
      </c>
      <c r="F185" s="6">
        <v>1.7630166205769209</v>
      </c>
      <c r="G185" s="6">
        <v>1.4410667155388925</v>
      </c>
      <c r="H185" s="6">
        <v>1.0696074109249347</v>
      </c>
      <c r="I185" s="6">
        <v>0.91693482692138517</v>
      </c>
      <c r="J185" s="6">
        <v>1.7842771440598861</v>
      </c>
      <c r="K185" s="6">
        <v>-1.0710895946395922</v>
      </c>
      <c r="L185" s="6">
        <v>0.58470214984446123</v>
      </c>
      <c r="N185" s="8">
        <f>SQRT((C185-Sheet3!$C$525)^2+(D185-Sheet3!$D$525)^2+(E185-Sheet3!$E$525)^2+(F185-Sheet3!$F$525)^2+(G185-Sheet3!$G$525)^2+(H185-Sheet3!$H$525)^2+(I185-Sheet3!$I$525)^2+(J185-Sheet3!$J$525)^2+(K185-Sheet3!$K$525)^2+(L185-Sheet3!$L$525)^2)</f>
        <v>5.4119934468891291</v>
      </c>
      <c r="O185" s="8">
        <f>SQRT((C185-Sheet3!$C$526)^2+(D185-Sheet3!$D$526)^2+(E185-Sheet3!$E$526)^2+(F185-Sheet3!$F$526)^2+(G185-Sheet3!$G$526)^2+(H185-Sheet3!$H$526)^2+(I185-Sheet3!$I$526)^2+(J185-Sheet3!$J$526)^2+(K185-Sheet3!$K$526)^2+(L185-Sheet3!$L$526)^2)</f>
        <v>1.6562881438271768</v>
      </c>
      <c r="P185" s="12">
        <f t="shared" si="2"/>
        <v>1</v>
      </c>
      <c r="Q185" s="11">
        <f>IF(P185=Sheet1!M185, 1, 0)</f>
        <v>0</v>
      </c>
    </row>
    <row r="186" spans="1:17" x14ac:dyDescent="0.35">
      <c r="A186" s="6" t="s">
        <v>183</v>
      </c>
      <c r="B186" s="6" t="s">
        <v>208</v>
      </c>
      <c r="C186" s="6">
        <v>-0.92910203049062401</v>
      </c>
      <c r="D186" s="6">
        <v>1.622450640470364</v>
      </c>
      <c r="E186" s="6">
        <v>0.62413417220833245</v>
      </c>
      <c r="F186" s="6">
        <v>1.2530569997023735</v>
      </c>
      <c r="G186" s="6">
        <v>1.322022859747356</v>
      </c>
      <c r="H186" s="6">
        <v>7.9058745516421031E-2</v>
      </c>
      <c r="I186" s="6">
        <v>0.81557298802791411</v>
      </c>
      <c r="J186" s="6">
        <v>3.0407285882602983</v>
      </c>
      <c r="K186" s="6">
        <v>-1.2009763906956852</v>
      </c>
      <c r="L186" s="6">
        <v>2.7408027076094358E-2</v>
      </c>
      <c r="N186" s="8">
        <f>SQRT((C186-Sheet3!$C$525)^2+(D186-Sheet3!$D$525)^2+(E186-Sheet3!$E$525)^2+(F186-Sheet3!$F$525)^2+(G186-Sheet3!$G$525)^2+(H186-Sheet3!$H$525)^2+(I186-Sheet3!$I$525)^2+(J186-Sheet3!$J$525)^2+(K186-Sheet3!$K$525)^2+(L186-Sheet3!$L$525)^2)</f>
        <v>5.0852080627252088</v>
      </c>
      <c r="O186" s="8">
        <f>SQRT((C186-Sheet3!$C$526)^2+(D186-Sheet3!$D$526)^2+(E186-Sheet3!$E$526)^2+(F186-Sheet3!$F$526)^2+(G186-Sheet3!$G$526)^2+(H186-Sheet3!$H$526)^2+(I186-Sheet3!$I$526)^2+(J186-Sheet3!$J$526)^2+(K186-Sheet3!$K$526)^2+(L186-Sheet3!$L$526)^2)</f>
        <v>2.3997958805943855</v>
      </c>
      <c r="P186" s="12">
        <f t="shared" si="2"/>
        <v>1</v>
      </c>
      <c r="Q186" s="11">
        <f>IF(P186=Sheet1!M186, 1, 0)</f>
        <v>0</v>
      </c>
    </row>
    <row r="187" spans="1:17" x14ac:dyDescent="0.35">
      <c r="A187" s="6" t="s">
        <v>183</v>
      </c>
      <c r="B187" s="6" t="s">
        <v>209</v>
      </c>
      <c r="C187" s="6">
        <v>0.11499089961182508</v>
      </c>
      <c r="D187" s="6">
        <v>0.66495757978385717</v>
      </c>
      <c r="E187" s="6">
        <v>-4.1181782104232956E-2</v>
      </c>
      <c r="F187" s="6">
        <v>0.52124183379479083</v>
      </c>
      <c r="G187" s="6">
        <v>0.77906673699085305</v>
      </c>
      <c r="H187" s="6">
        <v>-1.324083871878456</v>
      </c>
      <c r="I187" s="6">
        <v>0.59053695576756482</v>
      </c>
      <c r="J187" s="6">
        <v>0.98713272326808432</v>
      </c>
      <c r="K187" s="6">
        <v>-0.58127553240396279</v>
      </c>
      <c r="L187" s="6">
        <v>-0.12501126821518033</v>
      </c>
      <c r="N187" s="8">
        <f>SQRT((C187-Sheet3!$C$525)^2+(D187-Sheet3!$D$525)^2+(E187-Sheet3!$E$525)^2+(F187-Sheet3!$F$525)^2+(G187-Sheet3!$G$525)^2+(H187-Sheet3!$H$525)^2+(I187-Sheet3!$I$525)^2+(J187-Sheet3!$J$525)^2+(K187-Sheet3!$K$525)^2+(L187-Sheet3!$L$525)^2)</f>
        <v>2.6970067273806726</v>
      </c>
      <c r="O187" s="8">
        <f>SQRT((C187-Sheet3!$C$526)^2+(D187-Sheet3!$D$526)^2+(E187-Sheet3!$E$526)^2+(F187-Sheet3!$F$526)^2+(G187-Sheet3!$G$526)^2+(H187-Sheet3!$H$526)^2+(I187-Sheet3!$I$526)^2+(J187-Sheet3!$J$526)^2+(K187-Sheet3!$K$526)^2+(L187-Sheet3!$L$526)^2)</f>
        <v>2.8022285859149823</v>
      </c>
      <c r="P187" s="12">
        <f t="shared" si="2"/>
        <v>0</v>
      </c>
      <c r="Q187" s="11">
        <f>IF(P187=Sheet1!M187, 1, 0)</f>
        <v>1</v>
      </c>
    </row>
    <row r="188" spans="1:17" x14ac:dyDescent="0.35">
      <c r="A188" s="6" t="s">
        <v>183</v>
      </c>
      <c r="B188" s="6" t="s">
        <v>210</v>
      </c>
      <c r="C188" s="6">
        <v>-0.69290620054456864</v>
      </c>
      <c r="D188" s="6">
        <v>0.20462437753072898</v>
      </c>
      <c r="E188" s="6">
        <v>5.5705314232535975E-2</v>
      </c>
      <c r="F188" s="6">
        <v>0.30708960629762444</v>
      </c>
      <c r="G188" s="6">
        <v>0.44516323903898952</v>
      </c>
      <c r="H188" s="6">
        <v>0.25411492618948628</v>
      </c>
      <c r="I188" s="6">
        <v>0.76967328739690721</v>
      </c>
      <c r="J188" s="6">
        <v>0.39117237058087995</v>
      </c>
      <c r="K188" s="6">
        <v>-0.84417892683075513</v>
      </c>
      <c r="L188" s="6">
        <v>-0.38864350384400503</v>
      </c>
      <c r="N188" s="8">
        <f>SQRT((C188-Sheet3!$C$525)^2+(D188-Sheet3!$D$525)^2+(E188-Sheet3!$E$525)^2+(F188-Sheet3!$F$525)^2+(G188-Sheet3!$G$525)^2+(H188-Sheet3!$H$525)^2+(I188-Sheet3!$I$525)^2+(J188-Sheet3!$J$525)^2+(K188-Sheet3!$K$525)^2+(L188-Sheet3!$L$525)^2)</f>
        <v>2.2494927240567471</v>
      </c>
      <c r="O188" s="8">
        <f>SQRT((C188-Sheet3!$C$526)^2+(D188-Sheet3!$D$526)^2+(E188-Sheet3!$E$526)^2+(F188-Sheet3!$F$526)^2+(G188-Sheet3!$G$526)^2+(H188-Sheet3!$H$526)^2+(I188-Sheet3!$I$526)^2+(J188-Sheet3!$J$526)^2+(K188-Sheet3!$K$526)^2+(L188-Sheet3!$L$526)^2)</f>
        <v>2.3187347344712617</v>
      </c>
      <c r="P188" s="12">
        <f t="shared" si="2"/>
        <v>0</v>
      </c>
      <c r="Q188" s="11">
        <f>IF(P188=Sheet1!M188, 1, 0)</f>
        <v>1</v>
      </c>
    </row>
    <row r="189" spans="1:17" x14ac:dyDescent="0.35">
      <c r="A189" s="6" t="s">
        <v>211</v>
      </c>
      <c r="B189" s="6" t="s">
        <v>212</v>
      </c>
      <c r="C189" s="6">
        <v>-8.0944277502516343E-2</v>
      </c>
      <c r="D189" s="6">
        <v>-0.82652199551627803</v>
      </c>
      <c r="E189" s="6">
        <v>7.7072050306804418E-2</v>
      </c>
      <c r="F189" s="6">
        <v>7.5990080221545714E-2</v>
      </c>
      <c r="G189" s="6">
        <v>1.2320140907342489</v>
      </c>
      <c r="H189" s="6">
        <v>-4.2133994949547199E-2</v>
      </c>
      <c r="I189" s="6">
        <v>0.52487488403154214</v>
      </c>
      <c r="J189" s="6">
        <v>1.8639915861390666</v>
      </c>
      <c r="K189" s="6">
        <v>-1.0257074610778247</v>
      </c>
      <c r="L189" s="6">
        <v>1.4622440406291495</v>
      </c>
      <c r="N189" s="8">
        <f>SQRT((C189-Sheet3!$C$525)^2+(D189-Sheet3!$D$525)^2+(E189-Sheet3!$E$525)^2+(F189-Sheet3!$F$525)^2+(G189-Sheet3!$G$525)^2+(H189-Sheet3!$H$525)^2+(I189-Sheet3!$I$525)^2+(J189-Sheet3!$J$525)^2+(K189-Sheet3!$K$525)^2+(L189-Sheet3!$L$525)^2)</f>
        <v>3.5605486835090847</v>
      </c>
      <c r="O189" s="8">
        <f>SQRT((C189-Sheet3!$C$526)^2+(D189-Sheet3!$D$526)^2+(E189-Sheet3!$E$526)^2+(F189-Sheet3!$F$526)^2+(G189-Sheet3!$G$526)^2+(H189-Sheet3!$H$526)^2+(I189-Sheet3!$I$526)^2+(J189-Sheet3!$J$526)^2+(K189-Sheet3!$K$526)^2+(L189-Sheet3!$L$526)^2)</f>
        <v>2.9836457791205109</v>
      </c>
      <c r="P189" s="12">
        <f t="shared" si="2"/>
        <v>1</v>
      </c>
      <c r="Q189" s="11">
        <f>IF(P189=Sheet1!M189, 1, 0)</f>
        <v>0</v>
      </c>
    </row>
    <row r="190" spans="1:17" x14ac:dyDescent="0.35">
      <c r="A190" s="6" t="s">
        <v>211</v>
      </c>
      <c r="B190" s="6" t="s">
        <v>213</v>
      </c>
      <c r="C190" s="6">
        <v>0.18611805294785302</v>
      </c>
      <c r="D190" s="6">
        <v>-0.49508208989402569</v>
      </c>
      <c r="E190" s="6">
        <v>0.4498847556026605</v>
      </c>
      <c r="F190" s="6">
        <v>0.38720410867066446</v>
      </c>
      <c r="G190" s="6">
        <v>1.2029790039558237</v>
      </c>
      <c r="H190" s="6">
        <v>0.14908121778564698</v>
      </c>
      <c r="I190" s="6">
        <v>0.40502566571724791</v>
      </c>
      <c r="J190" s="6">
        <v>0.37598866732770275</v>
      </c>
      <c r="K190" s="6">
        <v>-0.68768881110052227</v>
      </c>
      <c r="L190" s="6">
        <v>0.39121179484228114</v>
      </c>
      <c r="N190" s="8">
        <f>SQRT((C190-Sheet3!$C$525)^2+(D190-Sheet3!$D$525)^2+(E190-Sheet3!$E$525)^2+(F190-Sheet3!$F$525)^2+(G190-Sheet3!$G$525)^2+(H190-Sheet3!$H$525)^2+(I190-Sheet3!$I$525)^2+(J190-Sheet3!$J$525)^2+(K190-Sheet3!$K$525)^2+(L190-Sheet3!$L$525)^2)</f>
        <v>2.3636436632705551</v>
      </c>
      <c r="O190" s="8">
        <f>SQRT((C190-Sheet3!$C$526)^2+(D190-Sheet3!$D$526)^2+(E190-Sheet3!$E$526)^2+(F190-Sheet3!$F$526)^2+(G190-Sheet3!$G$526)^2+(H190-Sheet3!$H$526)^2+(I190-Sheet3!$I$526)^2+(J190-Sheet3!$J$526)^2+(K190-Sheet3!$K$526)^2+(L190-Sheet3!$L$526)^2)</f>
        <v>2.4429303266751066</v>
      </c>
      <c r="P190" s="12">
        <f t="shared" si="2"/>
        <v>0</v>
      </c>
      <c r="Q190" s="11">
        <f>IF(P190=Sheet1!M190, 1, 0)</f>
        <v>1</v>
      </c>
    </row>
    <row r="191" spans="1:17" x14ac:dyDescent="0.35">
      <c r="A191" s="6" t="s">
        <v>211</v>
      </c>
      <c r="B191" s="6" t="s">
        <v>214</v>
      </c>
      <c r="C191" s="6">
        <v>0.53235966730059292</v>
      </c>
      <c r="D191" s="6">
        <v>-0.72831757903561056</v>
      </c>
      <c r="E191" s="6">
        <v>-0.10786073433600168</v>
      </c>
      <c r="F191" s="6">
        <v>-0.11967418518953367</v>
      </c>
      <c r="G191" s="6">
        <v>1.0316719919631283</v>
      </c>
      <c r="H191" s="6">
        <v>-4.6981704568186115E-2</v>
      </c>
      <c r="I191" s="6">
        <v>2.765789353848263E-3</v>
      </c>
      <c r="J191" s="6">
        <v>0.37598866732770275</v>
      </c>
      <c r="K191" s="6">
        <v>8.6922038990146413E-3</v>
      </c>
      <c r="L191" s="6">
        <v>-8.8441079003767298E-2</v>
      </c>
      <c r="N191" s="8">
        <f>SQRT((C191-Sheet3!$C$525)^2+(D191-Sheet3!$D$525)^2+(E191-Sheet3!$E$525)^2+(F191-Sheet3!$F$525)^2+(G191-Sheet3!$G$525)^2+(H191-Sheet3!$H$525)^2+(I191-Sheet3!$I$525)^2+(J191-Sheet3!$J$525)^2+(K191-Sheet3!$K$525)^2+(L191-Sheet3!$L$525)^2)</f>
        <v>1.6463010476693376</v>
      </c>
      <c r="O191" s="8">
        <f>SQRT((C191-Sheet3!$C$526)^2+(D191-Sheet3!$D$526)^2+(E191-Sheet3!$E$526)^2+(F191-Sheet3!$F$526)^2+(G191-Sheet3!$G$526)^2+(H191-Sheet3!$H$526)^2+(I191-Sheet3!$I$526)^2+(J191-Sheet3!$J$526)^2+(K191-Sheet3!$K$526)^2+(L191-Sheet3!$L$526)^2)</f>
        <v>3.3608260867592517</v>
      </c>
      <c r="P191" s="12">
        <f t="shared" si="2"/>
        <v>0</v>
      </c>
      <c r="Q191" s="11">
        <f>IF(P191=Sheet1!M191, 1, 0)</f>
        <v>1</v>
      </c>
    </row>
    <row r="192" spans="1:17" x14ac:dyDescent="0.35">
      <c r="A192" s="6" t="s">
        <v>211</v>
      </c>
      <c r="B192" s="6" t="s">
        <v>215</v>
      </c>
      <c r="C192" s="6">
        <v>0.53101764553953601</v>
      </c>
      <c r="D192" s="6">
        <v>-1.0352063805376961</v>
      </c>
      <c r="E192" s="6">
        <v>-0.33810573513630809</v>
      </c>
      <c r="F192" s="6">
        <v>-0.31841977761496232</v>
      </c>
      <c r="G192" s="6">
        <v>1.3423474204922541</v>
      </c>
      <c r="H192" s="6">
        <v>-1.963442907136697</v>
      </c>
      <c r="I192" s="6">
        <v>-0.16107064206515997</v>
      </c>
      <c r="J192" s="6">
        <v>0.30386607687511136</v>
      </c>
      <c r="K192" s="6">
        <v>4.6249831674271963E-2</v>
      </c>
      <c r="L192" s="6">
        <v>-0.13430480814327245</v>
      </c>
      <c r="N192" s="8">
        <f>SQRT((C192-Sheet3!$C$525)^2+(D192-Sheet3!$D$525)^2+(E192-Sheet3!$E$525)^2+(F192-Sheet3!$F$525)^2+(G192-Sheet3!$G$525)^2+(H192-Sheet3!$H$525)^2+(I192-Sheet3!$I$525)^2+(J192-Sheet3!$J$525)^2+(K192-Sheet3!$K$525)^2+(L192-Sheet3!$L$525)^2)</f>
        <v>2.5886685249104939</v>
      </c>
      <c r="O192" s="8">
        <f>SQRT((C192-Sheet3!$C$526)^2+(D192-Sheet3!$D$526)^2+(E192-Sheet3!$E$526)^2+(F192-Sheet3!$F$526)^2+(G192-Sheet3!$G$526)^2+(H192-Sheet3!$H$526)^2+(I192-Sheet3!$I$526)^2+(J192-Sheet3!$J$526)^2+(K192-Sheet3!$K$526)^2+(L192-Sheet3!$L$526)^2)</f>
        <v>4.5804003480500359</v>
      </c>
      <c r="P192" s="12">
        <f t="shared" si="2"/>
        <v>0</v>
      </c>
      <c r="Q192" s="11">
        <f>IF(P192=Sheet1!M192, 1, 0)</f>
        <v>1</v>
      </c>
    </row>
    <row r="193" spans="1:17" x14ac:dyDescent="0.35">
      <c r="A193" s="6" t="s">
        <v>211</v>
      </c>
      <c r="B193" s="6" t="s">
        <v>216</v>
      </c>
      <c r="C193" s="6">
        <v>0.74574112730867692</v>
      </c>
      <c r="D193" s="6">
        <v>-0.54418429813435942</v>
      </c>
      <c r="E193" s="6">
        <v>-0.47772630362161389</v>
      </c>
      <c r="F193" s="6">
        <v>1.898553045611226E-2</v>
      </c>
      <c r="G193" s="6">
        <v>1.1303912870097668</v>
      </c>
      <c r="H193" s="6">
        <v>0.63492944845366162</v>
      </c>
      <c r="I193" s="6">
        <v>7.7990298721329954E-2</v>
      </c>
      <c r="J193" s="6">
        <v>0.36839681570111432</v>
      </c>
      <c r="K193" s="6">
        <v>-0.26673039978619384</v>
      </c>
      <c r="L193" s="6">
        <v>-3.5751762325336653E-2</v>
      </c>
      <c r="N193" s="8">
        <f>SQRT((C193-Sheet3!$C$525)^2+(D193-Sheet3!$D$525)^2+(E193-Sheet3!$E$525)^2+(F193-Sheet3!$F$525)^2+(G193-Sheet3!$G$525)^2+(H193-Sheet3!$H$525)^2+(I193-Sheet3!$I$525)^2+(J193-Sheet3!$J$525)^2+(K193-Sheet3!$K$525)^2+(L193-Sheet3!$L$525)^2)</f>
        <v>1.997517959379153</v>
      </c>
      <c r="O193" s="8">
        <f>SQRT((C193-Sheet3!$C$526)^2+(D193-Sheet3!$D$526)^2+(E193-Sheet3!$E$526)^2+(F193-Sheet3!$F$526)^2+(G193-Sheet3!$G$526)^2+(H193-Sheet3!$H$526)^2+(I193-Sheet3!$I$526)^2+(J193-Sheet3!$J$526)^2+(K193-Sheet3!$K$526)^2+(L193-Sheet3!$L$526)^2)</f>
        <v>3.3200132900586121</v>
      </c>
      <c r="P193" s="12">
        <f t="shared" si="2"/>
        <v>0</v>
      </c>
      <c r="Q193" s="11">
        <f>IF(P193=Sheet1!M193, 1, 0)</f>
        <v>1</v>
      </c>
    </row>
    <row r="194" spans="1:17" x14ac:dyDescent="0.35">
      <c r="A194" s="6" t="s">
        <v>211</v>
      </c>
      <c r="B194" s="6" t="s">
        <v>217</v>
      </c>
      <c r="C194" s="6">
        <v>1.7023311054654374E-2</v>
      </c>
      <c r="D194" s="6">
        <v>-0.13909108015160596</v>
      </c>
      <c r="E194" s="6">
        <v>-1.834147802484256E-2</v>
      </c>
      <c r="F194" s="6">
        <v>0.47039993805805375</v>
      </c>
      <c r="G194" s="6">
        <v>1.5136544324849495</v>
      </c>
      <c r="H194" s="6">
        <v>0.14046306735251163</v>
      </c>
      <c r="I194" s="6">
        <v>5.4402952563729332E-2</v>
      </c>
      <c r="J194" s="6">
        <v>-0.55780908274269381</v>
      </c>
      <c r="K194" s="6">
        <v>0.59865994020199431</v>
      </c>
      <c r="L194" s="6">
        <v>-0.17513204388684872</v>
      </c>
      <c r="N194" s="8">
        <f>SQRT((C194-Sheet3!$C$525)^2+(D194-Sheet3!$D$525)^2+(E194-Sheet3!$E$525)^2+(F194-Sheet3!$F$525)^2+(G194-Sheet3!$G$525)^2+(H194-Sheet3!$H$525)^2+(I194-Sheet3!$I$525)^2+(J194-Sheet3!$J$525)^2+(K194-Sheet3!$K$525)^2+(L194-Sheet3!$L$525)^2)</f>
        <v>2.1273733272995221</v>
      </c>
      <c r="O194" s="8">
        <f>SQRT((C194-Sheet3!$C$526)^2+(D194-Sheet3!$D$526)^2+(E194-Sheet3!$E$526)^2+(F194-Sheet3!$F$526)^2+(G194-Sheet3!$G$526)^2+(H194-Sheet3!$H$526)^2+(I194-Sheet3!$I$526)^2+(J194-Sheet3!$J$526)^2+(K194-Sheet3!$K$526)^2+(L194-Sheet3!$L$526)^2)</f>
        <v>3.2327958850334975</v>
      </c>
      <c r="P194" s="12">
        <f t="shared" si="2"/>
        <v>0</v>
      </c>
      <c r="Q194" s="11">
        <f>IF(P194=Sheet1!M194, 1, 0)</f>
        <v>1</v>
      </c>
    </row>
    <row r="195" spans="1:17" x14ac:dyDescent="0.35">
      <c r="A195" s="6" t="s">
        <v>211</v>
      </c>
      <c r="B195" s="6" t="s">
        <v>218</v>
      </c>
      <c r="C195" s="6">
        <v>0.72426877913176324</v>
      </c>
      <c r="D195" s="6">
        <v>-0.99224194832740387</v>
      </c>
      <c r="E195" s="6">
        <v>0.1603286425961952</v>
      </c>
      <c r="F195" s="6">
        <v>-0.23060195770605127</v>
      </c>
      <c r="G195" s="6">
        <v>0.66292638987716024</v>
      </c>
      <c r="H195" s="6">
        <v>-1.2890726357438425</v>
      </c>
      <c r="I195" s="6">
        <v>0.66958644018763047</v>
      </c>
      <c r="J195" s="6">
        <v>7.6110528077453443E-2</v>
      </c>
      <c r="K195" s="6">
        <v>0.20430484856180578</v>
      </c>
      <c r="L195" s="6">
        <v>-0.16505627805757092</v>
      </c>
      <c r="N195" s="8">
        <f>SQRT((C195-Sheet3!$C$525)^2+(D195-Sheet3!$D$525)^2+(E195-Sheet3!$E$525)^2+(F195-Sheet3!$F$525)^2+(G195-Sheet3!$G$525)^2+(H195-Sheet3!$H$525)^2+(I195-Sheet3!$I$525)^2+(J195-Sheet3!$J$525)^2+(K195-Sheet3!$K$525)^2+(L195-Sheet3!$L$525)^2)</f>
        <v>1.9944689420263217</v>
      </c>
      <c r="O195" s="8">
        <f>SQRT((C195-Sheet3!$C$526)^2+(D195-Sheet3!$D$526)^2+(E195-Sheet3!$E$526)^2+(F195-Sheet3!$F$526)^2+(G195-Sheet3!$G$526)^2+(H195-Sheet3!$H$526)^2+(I195-Sheet3!$I$526)^2+(J195-Sheet3!$J$526)^2+(K195-Sheet3!$K$526)^2+(L195-Sheet3!$L$526)^2)</f>
        <v>4.0500480228366005</v>
      </c>
      <c r="P195" s="12">
        <f t="shared" ref="P195:P258" si="3">IF(N195&lt;=O195, 0, 1)</f>
        <v>0</v>
      </c>
      <c r="Q195" s="11">
        <f>IF(P195=Sheet1!M195, 1, 0)</f>
        <v>1</v>
      </c>
    </row>
    <row r="196" spans="1:17" x14ac:dyDescent="0.35">
      <c r="A196" s="6" t="s">
        <v>211</v>
      </c>
      <c r="B196" s="6" t="s">
        <v>219</v>
      </c>
      <c r="C196" s="6">
        <v>-4.8735755237145136E-2</v>
      </c>
      <c r="D196" s="6">
        <v>-0.39687767341335822</v>
      </c>
      <c r="E196" s="6">
        <v>-0.32594879909405189</v>
      </c>
      <c r="F196" s="6">
        <v>2.9770175006330404E-2</v>
      </c>
      <c r="G196" s="6">
        <v>1.2262070733785613</v>
      </c>
      <c r="H196" s="6">
        <v>6.4515616660505065E-2</v>
      </c>
      <c r="I196" s="6">
        <v>0.5739620638730345</v>
      </c>
      <c r="J196" s="6">
        <v>-1.1195765628315158E-2</v>
      </c>
      <c r="K196" s="6">
        <v>0.98832032837027339</v>
      </c>
      <c r="L196" s="6">
        <v>3.547212502855171E-2</v>
      </c>
      <c r="N196" s="8">
        <f>SQRT((C196-Sheet3!$C$525)^2+(D196-Sheet3!$D$525)^2+(E196-Sheet3!$E$525)^2+(F196-Sheet3!$F$525)^2+(G196-Sheet3!$G$525)^2+(H196-Sheet3!$H$525)^2+(I196-Sheet3!$I$525)^2+(J196-Sheet3!$J$525)^2+(K196-Sheet3!$K$525)^2+(L196-Sheet3!$L$525)^2)</f>
        <v>2.002669651284561</v>
      </c>
      <c r="O196" s="8">
        <f>SQRT((C196-Sheet3!$C$526)^2+(D196-Sheet3!$D$526)^2+(E196-Sheet3!$E$526)^2+(F196-Sheet3!$F$526)^2+(G196-Sheet3!$G$526)^2+(H196-Sheet3!$H$526)^2+(I196-Sheet3!$I$526)^2+(J196-Sheet3!$J$526)^2+(K196-Sheet3!$K$526)^2+(L196-Sheet3!$L$526)^2)</f>
        <v>3.3783880025967181</v>
      </c>
      <c r="P196" s="12">
        <f t="shared" si="3"/>
        <v>0</v>
      </c>
      <c r="Q196" s="11">
        <f>IF(P196=Sheet1!M196, 1, 0)</f>
        <v>1</v>
      </c>
    </row>
    <row r="197" spans="1:17" x14ac:dyDescent="0.35">
      <c r="A197" s="6" t="s">
        <v>211</v>
      </c>
      <c r="B197" s="6" t="s">
        <v>220</v>
      </c>
      <c r="C197" s="6">
        <v>-0.22185656241351531</v>
      </c>
      <c r="D197" s="6">
        <v>-0.36005101723310823</v>
      </c>
      <c r="E197" s="6">
        <v>0.99694687750418853</v>
      </c>
      <c r="F197" s="6">
        <v>0.68917415607674193</v>
      </c>
      <c r="G197" s="6">
        <v>1.8504614391146526</v>
      </c>
      <c r="H197" s="6">
        <v>0.56652287939064871</v>
      </c>
      <c r="I197" s="6">
        <v>0.52806236324202849</v>
      </c>
      <c r="J197" s="6">
        <v>1.1579789251450461E-2</v>
      </c>
      <c r="K197" s="6">
        <v>0.98988522952757652</v>
      </c>
      <c r="L197" s="6">
        <v>3.0993340563292428E-2</v>
      </c>
      <c r="N197" s="8">
        <f>SQRT((C197-Sheet3!$C$525)^2+(D197-Sheet3!$D$525)^2+(E197-Sheet3!$E$525)^2+(F197-Sheet3!$F$525)^2+(G197-Sheet3!$G$525)^2+(H197-Sheet3!$H$525)^2+(I197-Sheet3!$I$525)^2+(J197-Sheet3!$J$525)^2+(K197-Sheet3!$K$525)^2+(L197-Sheet3!$L$525)^2)</f>
        <v>3.1113356286989484</v>
      </c>
      <c r="O197" s="8">
        <f>SQRT((C197-Sheet3!$C$526)^2+(D197-Sheet3!$D$526)^2+(E197-Sheet3!$E$526)^2+(F197-Sheet3!$F$526)^2+(G197-Sheet3!$G$526)^2+(H197-Sheet3!$H$526)^2+(I197-Sheet3!$I$526)^2+(J197-Sheet3!$J$526)^2+(K197-Sheet3!$K$526)^2+(L197-Sheet3!$L$526)^2)</f>
        <v>2.8311303326807997</v>
      </c>
      <c r="P197" s="12">
        <f t="shared" si="3"/>
        <v>1</v>
      </c>
      <c r="Q197" s="11">
        <f>IF(P197=Sheet1!M197, 1, 0)</f>
        <v>0</v>
      </c>
    </row>
    <row r="198" spans="1:17" x14ac:dyDescent="0.35">
      <c r="A198" s="6" t="s">
        <v>211</v>
      </c>
      <c r="B198" s="6" t="s">
        <v>221</v>
      </c>
      <c r="C198" s="6">
        <v>0.16330368300988177</v>
      </c>
      <c r="D198" s="6">
        <v>0.22917548165089638</v>
      </c>
      <c r="E198" s="6">
        <v>0.6233973882057714</v>
      </c>
      <c r="F198" s="6">
        <v>0.9541682793106453</v>
      </c>
      <c r="G198" s="6">
        <v>2.0914526593755611</v>
      </c>
      <c r="H198" s="6">
        <v>0.97857819697494097</v>
      </c>
      <c r="I198" s="6">
        <v>0.80983552544903814</v>
      </c>
      <c r="J198" s="6">
        <v>0.15962089596992818</v>
      </c>
      <c r="K198" s="6">
        <v>-0.40287680047149721</v>
      </c>
      <c r="L198" s="6">
        <v>0.13721824305211014</v>
      </c>
      <c r="N198" s="8">
        <f>SQRT((C198-Sheet3!$C$525)^2+(D198-Sheet3!$D$525)^2+(E198-Sheet3!$E$525)^2+(F198-Sheet3!$F$525)^2+(G198-Sheet3!$G$525)^2+(H198-Sheet3!$H$525)^2+(I198-Sheet3!$I$525)^2+(J198-Sheet3!$J$525)^2+(K198-Sheet3!$K$525)^2+(L198-Sheet3!$L$525)^2)</f>
        <v>3.4407561432176967</v>
      </c>
      <c r="O198" s="8">
        <f>SQRT((C198-Sheet3!$C$526)^2+(D198-Sheet3!$D$526)^2+(E198-Sheet3!$E$526)^2+(F198-Sheet3!$F$526)^2+(G198-Sheet3!$G$526)^2+(H198-Sheet3!$H$526)^2+(I198-Sheet3!$I$526)^2+(J198-Sheet3!$J$526)^2+(K198-Sheet3!$K$526)^2+(L198-Sheet3!$L$526)^2)</f>
        <v>2.1963126696673458</v>
      </c>
      <c r="P198" s="12">
        <f t="shared" si="3"/>
        <v>1</v>
      </c>
      <c r="Q198" s="11">
        <f>IF(P198=Sheet1!M198, 1, 0)</f>
        <v>0</v>
      </c>
    </row>
    <row r="199" spans="1:17" x14ac:dyDescent="0.35">
      <c r="A199" s="6" t="s">
        <v>211</v>
      </c>
      <c r="B199" s="6" t="s">
        <v>222</v>
      </c>
      <c r="C199" s="6">
        <v>-0.54259976330616977</v>
      </c>
      <c r="D199" s="6">
        <v>0.56061538727314819</v>
      </c>
      <c r="E199" s="6">
        <v>0.40641449945156266</v>
      </c>
      <c r="F199" s="6">
        <v>1.1097752935352037</v>
      </c>
      <c r="G199" s="6">
        <v>2.3440579143478404</v>
      </c>
      <c r="H199" s="6">
        <v>0.91932841274713384</v>
      </c>
      <c r="I199" s="6">
        <v>0.82067295476469238</v>
      </c>
      <c r="J199" s="6">
        <v>-0.6602990797016397</v>
      </c>
      <c r="K199" s="6">
        <v>-0.10711048174135691</v>
      </c>
      <c r="L199" s="6">
        <v>0.1184755997854566</v>
      </c>
      <c r="N199" s="8">
        <f>SQRT((C199-Sheet3!$C$525)^2+(D199-Sheet3!$D$525)^2+(E199-Sheet3!$E$525)^2+(F199-Sheet3!$F$525)^2+(G199-Sheet3!$G$525)^2+(H199-Sheet3!$H$525)^2+(I199-Sheet3!$I$525)^2+(J199-Sheet3!$J$525)^2+(K199-Sheet3!$K$525)^2+(L199-Sheet3!$L$525)^2)</f>
        <v>3.6987222654100891</v>
      </c>
      <c r="O199" s="8">
        <f>SQRT((C199-Sheet3!$C$526)^2+(D199-Sheet3!$D$526)^2+(E199-Sheet3!$E$526)^2+(F199-Sheet3!$F$526)^2+(G199-Sheet3!$G$526)^2+(H199-Sheet3!$H$526)^2+(I199-Sheet3!$I$526)^2+(J199-Sheet3!$J$526)^2+(K199-Sheet3!$K$526)^2+(L199-Sheet3!$L$526)^2)</f>
        <v>2.6364198852652705</v>
      </c>
      <c r="P199" s="12">
        <f t="shared" si="3"/>
        <v>1</v>
      </c>
      <c r="Q199" s="11">
        <f>IF(P199=Sheet1!M199, 1, 0)</f>
        <v>0</v>
      </c>
    </row>
    <row r="200" spans="1:17" x14ac:dyDescent="0.35">
      <c r="A200" s="6" t="s">
        <v>211</v>
      </c>
      <c r="B200" s="6" t="s">
        <v>223</v>
      </c>
      <c r="C200" s="6">
        <v>-9.7048538635201825E-2</v>
      </c>
      <c r="D200" s="6">
        <v>-0.67307759476523532</v>
      </c>
      <c r="E200" s="6">
        <v>-0.33000111110813729</v>
      </c>
      <c r="F200" s="6">
        <v>8.6774724771761666E-2</v>
      </c>
      <c r="G200" s="6">
        <v>1.9230491560607095</v>
      </c>
      <c r="H200" s="6">
        <v>0.84930594047790786</v>
      </c>
      <c r="I200" s="6">
        <v>0.87231011797457347</v>
      </c>
      <c r="J200" s="6">
        <v>-0.99813647708483189</v>
      </c>
      <c r="K200" s="6">
        <v>0.5673619170559473</v>
      </c>
      <c r="L200" s="6">
        <v>-1.4899683391723529E-2</v>
      </c>
      <c r="N200" s="8">
        <f>SQRT((C200-Sheet3!$C$525)^2+(D200-Sheet3!$D$525)^2+(E200-Sheet3!$E$525)^2+(F200-Sheet3!$F$525)^2+(G200-Sheet3!$G$525)^2+(H200-Sheet3!$H$525)^2+(I200-Sheet3!$I$525)^2+(J200-Sheet3!$J$525)^2+(K200-Sheet3!$K$525)^2+(L200-Sheet3!$L$525)^2)</f>
        <v>2.8589289444951058</v>
      </c>
      <c r="O200" s="8">
        <f>SQRT((C200-Sheet3!$C$526)^2+(D200-Sheet3!$D$526)^2+(E200-Sheet3!$E$526)^2+(F200-Sheet3!$F$526)^2+(G200-Sheet3!$G$526)^2+(H200-Sheet3!$H$526)^2+(I200-Sheet3!$I$526)^2+(J200-Sheet3!$J$526)^2+(K200-Sheet3!$K$526)^2+(L200-Sheet3!$L$526)^2)</f>
        <v>3.8539339140954767</v>
      </c>
      <c r="P200" s="12">
        <f t="shared" si="3"/>
        <v>0</v>
      </c>
      <c r="Q200" s="11">
        <f>IF(P200=Sheet1!M200, 1, 0)</f>
        <v>1</v>
      </c>
    </row>
    <row r="201" spans="1:17" x14ac:dyDescent="0.35">
      <c r="A201" s="6" t="s">
        <v>211</v>
      </c>
      <c r="B201" s="6" t="s">
        <v>224</v>
      </c>
      <c r="C201" s="6">
        <v>-0.21380443184717246</v>
      </c>
      <c r="D201" s="6">
        <v>8.186885692989522E-2</v>
      </c>
      <c r="E201" s="6">
        <v>0.43625425155528241</v>
      </c>
      <c r="F201" s="6">
        <v>0.93413965371738372</v>
      </c>
      <c r="G201" s="6">
        <v>2.2917947581466773</v>
      </c>
      <c r="H201" s="6">
        <v>0.97911683137701144</v>
      </c>
      <c r="I201" s="6">
        <v>0.86147268865892002</v>
      </c>
      <c r="J201" s="6">
        <v>0.31525385431499398</v>
      </c>
      <c r="K201" s="6">
        <v>0.57675132399976159</v>
      </c>
      <c r="L201" s="6">
        <v>0.10593837991767109</v>
      </c>
      <c r="N201" s="8">
        <f>SQRT((C201-Sheet3!$C$525)^2+(D201-Sheet3!$D$525)^2+(E201-Sheet3!$E$525)^2+(F201-Sheet3!$F$525)^2+(G201-Sheet3!$G$525)^2+(H201-Sheet3!$H$525)^2+(I201-Sheet3!$I$525)^2+(J201-Sheet3!$J$525)^2+(K201-Sheet3!$K$525)^2+(L201-Sheet3!$L$525)^2)</f>
        <v>3.5437002666268618</v>
      </c>
      <c r="O201" s="8">
        <f>SQRT((C201-Sheet3!$C$526)^2+(D201-Sheet3!$D$526)^2+(E201-Sheet3!$E$526)^2+(F201-Sheet3!$F$526)^2+(G201-Sheet3!$G$526)^2+(H201-Sheet3!$H$526)^2+(I201-Sheet3!$I$526)^2+(J201-Sheet3!$J$526)^2+(K201-Sheet3!$K$526)^2+(L201-Sheet3!$L$526)^2)</f>
        <v>2.5483392960576241</v>
      </c>
      <c r="P201" s="12">
        <f t="shared" si="3"/>
        <v>1</v>
      </c>
      <c r="Q201" s="11">
        <f>IF(P201=Sheet1!M201, 1, 0)</f>
        <v>0</v>
      </c>
    </row>
    <row r="202" spans="1:17" x14ac:dyDescent="0.35">
      <c r="A202" s="6" t="s">
        <v>211</v>
      </c>
      <c r="B202" s="6" t="s">
        <v>225</v>
      </c>
      <c r="C202" s="6">
        <v>0.20893242288582425</v>
      </c>
      <c r="D202" s="6">
        <v>-0.47666876180390039</v>
      </c>
      <c r="E202" s="6">
        <v>0.86727289305345601</v>
      </c>
      <c r="F202" s="6">
        <v>0.63987292384717731</v>
      </c>
      <c r="G202" s="6">
        <v>1.7807772308464394</v>
      </c>
      <c r="H202" s="6">
        <v>0.68340654464004924</v>
      </c>
      <c r="I202" s="6">
        <v>0.84107282171180575</v>
      </c>
      <c r="J202" s="6">
        <v>-0.11368576258726129</v>
      </c>
      <c r="K202" s="6">
        <v>0.35610026082013152</v>
      </c>
      <c r="L202" s="6">
        <v>0.11264647476928044</v>
      </c>
      <c r="N202" s="8">
        <f>SQRT((C202-Sheet3!$C$525)^2+(D202-Sheet3!$D$525)^2+(E202-Sheet3!$E$525)^2+(F202-Sheet3!$F$525)^2+(G202-Sheet3!$G$525)^2+(H202-Sheet3!$H$525)^2+(I202-Sheet3!$I$525)^2+(J202-Sheet3!$J$525)^2+(K202-Sheet3!$K$525)^2+(L202-Sheet3!$L$525)^2)</f>
        <v>2.9812808849215928</v>
      </c>
      <c r="O202" s="8">
        <f>SQRT((C202-Sheet3!$C$526)^2+(D202-Sheet3!$D$526)^2+(E202-Sheet3!$E$526)^2+(F202-Sheet3!$F$526)^2+(G202-Sheet3!$G$526)^2+(H202-Sheet3!$H$526)^2+(I202-Sheet3!$I$526)^2+(J202-Sheet3!$J$526)^2+(K202-Sheet3!$K$526)^2+(L202-Sheet3!$L$526)^2)</f>
        <v>2.7433670326670669</v>
      </c>
      <c r="P202" s="12">
        <f t="shared" si="3"/>
        <v>1</v>
      </c>
      <c r="Q202" s="11">
        <f>IF(P202=Sheet1!M202, 1, 0)</f>
        <v>0</v>
      </c>
    </row>
    <row r="203" spans="1:17" x14ac:dyDescent="0.35">
      <c r="A203" s="6" t="s">
        <v>211</v>
      </c>
      <c r="B203" s="6" t="s">
        <v>226</v>
      </c>
      <c r="C203" s="6">
        <v>6.265205093059685E-2</v>
      </c>
      <c r="D203" s="6">
        <v>-0.81424644345619435</v>
      </c>
      <c r="E203" s="6">
        <v>-1.1342030000513243E-2</v>
      </c>
      <c r="F203" s="6">
        <v>7.4449416714371067E-2</v>
      </c>
      <c r="G203" s="6">
        <v>1.5049439064514223</v>
      </c>
      <c r="H203" s="6">
        <v>0.65539755573235903</v>
      </c>
      <c r="I203" s="6">
        <v>-0.57353045190211727</v>
      </c>
      <c r="J203" s="6">
        <v>-0.25793094349244444</v>
      </c>
      <c r="K203" s="6">
        <v>0.53449899275259716</v>
      </c>
      <c r="L203" s="6">
        <v>-3.8625349702742368E-2</v>
      </c>
      <c r="N203" s="8">
        <f>SQRT((C203-Sheet3!$C$525)^2+(D203-Sheet3!$D$525)^2+(E203-Sheet3!$E$525)^2+(F203-Sheet3!$F$525)^2+(G203-Sheet3!$G$525)^2+(H203-Sheet3!$H$525)^2+(I203-Sheet3!$I$525)^2+(J203-Sheet3!$J$525)^2+(K203-Sheet3!$K$525)^2+(L203-Sheet3!$L$525)^2)</f>
        <v>2.1833022351225302</v>
      </c>
      <c r="O203" s="8">
        <f>SQRT((C203-Sheet3!$C$526)^2+(D203-Sheet3!$D$526)^2+(E203-Sheet3!$E$526)^2+(F203-Sheet3!$F$526)^2+(G203-Sheet3!$G$526)^2+(H203-Sheet3!$H$526)^2+(I203-Sheet3!$I$526)^2+(J203-Sheet3!$J$526)^2+(K203-Sheet3!$K$526)^2+(L203-Sheet3!$L$526)^2)</f>
        <v>3.6168657131608302</v>
      </c>
      <c r="P203" s="12">
        <f t="shared" si="3"/>
        <v>0</v>
      </c>
      <c r="Q203" s="11">
        <f>IF(P203=Sheet1!M203, 1, 0)</f>
        <v>1</v>
      </c>
    </row>
    <row r="204" spans="1:17" x14ac:dyDescent="0.35">
      <c r="A204" s="6" t="s">
        <v>211</v>
      </c>
      <c r="B204" s="6" t="s">
        <v>227</v>
      </c>
      <c r="C204" s="6">
        <v>1.5681289293597273E-2</v>
      </c>
      <c r="D204" s="6">
        <v>-0.88789975581669489</v>
      </c>
      <c r="E204" s="6">
        <v>-0.24158703080081964</v>
      </c>
      <c r="F204" s="6">
        <v>-8.5779588031708959E-2</v>
      </c>
      <c r="G204" s="6">
        <v>1.4091281200826276</v>
      </c>
      <c r="H204" s="6">
        <v>0.7168018775684496</v>
      </c>
      <c r="I204" s="6">
        <v>0.61858677281984609</v>
      </c>
      <c r="J204" s="6">
        <v>-0.47429871485021918</v>
      </c>
      <c r="K204" s="6">
        <v>0.16831212194385381</v>
      </c>
      <c r="L204" s="6">
        <v>-8.0187358761181202E-2</v>
      </c>
      <c r="N204" s="8">
        <f>SQRT((C204-Sheet3!$C$525)^2+(D204-Sheet3!$D$525)^2+(E204-Sheet3!$E$525)^2+(F204-Sheet3!$F$525)^2+(G204-Sheet3!$G$525)^2+(H204-Sheet3!$H$525)^2+(I204-Sheet3!$I$525)^2+(J204-Sheet3!$J$525)^2+(K204-Sheet3!$K$525)^2+(L204-Sheet3!$L$525)^2)</f>
        <v>2.2023928266053683</v>
      </c>
      <c r="O204" s="8">
        <f>SQRT((C204-Sheet3!$C$526)^2+(D204-Sheet3!$D$526)^2+(E204-Sheet3!$E$526)^2+(F204-Sheet3!$F$526)^2+(G204-Sheet3!$G$526)^2+(H204-Sheet3!$H$526)^2+(I204-Sheet3!$I$526)^2+(J204-Sheet3!$J$526)^2+(K204-Sheet3!$K$526)^2+(L204-Sheet3!$L$526)^2)</f>
        <v>3.5458072622059715</v>
      </c>
      <c r="P204" s="12">
        <f t="shared" si="3"/>
        <v>0</v>
      </c>
      <c r="Q204" s="11">
        <f>IF(P204=Sheet1!M204, 1, 0)</f>
        <v>1</v>
      </c>
    </row>
    <row r="205" spans="1:17" x14ac:dyDescent="0.35">
      <c r="A205" s="6" t="s">
        <v>211</v>
      </c>
      <c r="B205" s="6" t="s">
        <v>228</v>
      </c>
      <c r="C205" s="6">
        <v>0.47331070981407941</v>
      </c>
      <c r="D205" s="6">
        <v>-0.69762869888540213</v>
      </c>
      <c r="E205" s="6">
        <v>7.1546170287597063E-2</v>
      </c>
      <c r="F205" s="6">
        <v>7.7530743728720361E-2</v>
      </c>
      <c r="G205" s="6">
        <v>1.4381632068610488</v>
      </c>
      <c r="H205" s="6">
        <v>0.68609971665040392</v>
      </c>
      <c r="I205" s="6">
        <v>0.65173655660890584</v>
      </c>
      <c r="J205" s="6">
        <v>-0.52744167623633942</v>
      </c>
      <c r="K205" s="6">
        <v>0.18865583698878338</v>
      </c>
      <c r="L205" s="6">
        <v>-0.16796588844634655</v>
      </c>
      <c r="N205" s="8">
        <f>SQRT((C205-Sheet3!$C$525)^2+(D205-Sheet3!$D$525)^2+(E205-Sheet3!$E$525)^2+(F205-Sheet3!$F$525)^2+(G205-Sheet3!$G$525)^2+(H205-Sheet3!$H$525)^2+(I205-Sheet3!$I$525)^2+(J205-Sheet3!$J$525)^2+(K205-Sheet3!$K$525)^2+(L205-Sheet3!$L$525)^2)</f>
        <v>2.2604564228862829</v>
      </c>
      <c r="O205" s="8">
        <f>SQRT((C205-Sheet3!$C$526)^2+(D205-Sheet3!$D$526)^2+(E205-Sheet3!$E$526)^2+(F205-Sheet3!$F$526)^2+(G205-Sheet3!$G$526)^2+(H205-Sheet3!$H$526)^2+(I205-Sheet3!$I$526)^2+(J205-Sheet3!$J$526)^2+(K205-Sheet3!$K$526)^2+(L205-Sheet3!$L$526)^2)</f>
        <v>3.4421868537105875</v>
      </c>
      <c r="P205" s="12">
        <f t="shared" si="3"/>
        <v>0</v>
      </c>
      <c r="Q205" s="11">
        <f>IF(P205=Sheet1!M205, 1, 0)</f>
        <v>1</v>
      </c>
    </row>
    <row r="206" spans="1:17" x14ac:dyDescent="0.35">
      <c r="A206" s="6" t="s">
        <v>211</v>
      </c>
      <c r="B206" s="6" t="s">
        <v>229</v>
      </c>
      <c r="C206" s="6">
        <v>-0.27687945461685753</v>
      </c>
      <c r="D206" s="6">
        <v>-0.58714873034465098</v>
      </c>
      <c r="E206" s="6">
        <v>6.6757074270950678E-2</v>
      </c>
      <c r="F206" s="6">
        <v>0.36255349255588326</v>
      </c>
      <c r="G206" s="6">
        <v>1.9201456473828658</v>
      </c>
      <c r="H206" s="6">
        <v>0.779283468208682</v>
      </c>
      <c r="I206" s="6">
        <v>0.92968474376333143</v>
      </c>
      <c r="J206" s="6">
        <v>-0.17442057559997007</v>
      </c>
      <c r="K206" s="6">
        <v>-7.4247557438008982E-2</v>
      </c>
      <c r="L206" s="6">
        <v>0.20048773129907019</v>
      </c>
      <c r="N206" s="8">
        <f>SQRT((C206-Sheet3!$C$525)^2+(D206-Sheet3!$D$525)^2+(E206-Sheet3!$E$525)^2+(F206-Sheet3!$F$525)^2+(G206-Sheet3!$G$525)^2+(H206-Sheet3!$H$525)^2+(I206-Sheet3!$I$525)^2+(J206-Sheet3!$J$525)^2+(K206-Sheet3!$K$525)^2+(L206-Sheet3!$L$525)^2)</f>
        <v>2.8962658870310181</v>
      </c>
      <c r="O206" s="8">
        <f>SQRT((C206-Sheet3!$C$526)^2+(D206-Sheet3!$D$526)^2+(E206-Sheet3!$E$526)^2+(F206-Sheet3!$F$526)^2+(G206-Sheet3!$G$526)^2+(H206-Sheet3!$H$526)^2+(I206-Sheet3!$I$526)^2+(J206-Sheet3!$J$526)^2+(K206-Sheet3!$K$526)^2+(L206-Sheet3!$L$526)^2)</f>
        <v>2.9302559609148506</v>
      </c>
      <c r="P206" s="12">
        <f t="shared" si="3"/>
        <v>0</v>
      </c>
      <c r="Q206" s="11">
        <f>IF(P206=Sheet1!M206, 1, 0)</f>
        <v>1</v>
      </c>
    </row>
    <row r="207" spans="1:17" x14ac:dyDescent="0.35">
      <c r="A207" s="6" t="s">
        <v>211</v>
      </c>
      <c r="B207" s="6" t="s">
        <v>230</v>
      </c>
      <c r="C207" s="6">
        <v>-0.62714713425276924</v>
      </c>
      <c r="D207" s="6">
        <v>0.19848660150068739</v>
      </c>
      <c r="E207" s="6">
        <v>0.3489453472518062</v>
      </c>
      <c r="F207" s="6">
        <v>0.80626458262195366</v>
      </c>
      <c r="G207" s="6">
        <v>2.0391895031744021</v>
      </c>
      <c r="H207" s="6">
        <v>0.89401259584979831</v>
      </c>
      <c r="I207" s="6">
        <v>0.87741008471135273</v>
      </c>
      <c r="J207" s="6">
        <v>-0.48948241810339638</v>
      </c>
      <c r="K207" s="6">
        <v>0.83026531148273741</v>
      </c>
      <c r="L207" s="6">
        <v>0.9944534775631555</v>
      </c>
      <c r="N207" s="8">
        <f>SQRT((C207-Sheet3!$C$525)^2+(D207-Sheet3!$D$525)^2+(E207-Sheet3!$E$525)^2+(F207-Sheet3!$F$525)^2+(G207-Sheet3!$G$525)^2+(H207-Sheet3!$H$525)^2+(I207-Sheet3!$I$525)^2+(J207-Sheet3!$J$525)^2+(K207-Sheet3!$K$525)^2+(L207-Sheet3!$L$525)^2)</f>
        <v>3.5477559552969837</v>
      </c>
      <c r="O207" s="8">
        <f>SQRT((C207-Sheet3!$C$526)^2+(D207-Sheet3!$D$526)^2+(E207-Sheet3!$E$526)^2+(F207-Sheet3!$F$526)^2+(G207-Sheet3!$G$526)^2+(H207-Sheet3!$H$526)^2+(I207-Sheet3!$I$526)^2+(J207-Sheet3!$J$526)^2+(K207-Sheet3!$K$526)^2+(L207-Sheet3!$L$526)^2)</f>
        <v>2.8033633703703074</v>
      </c>
      <c r="P207" s="12">
        <f t="shared" si="3"/>
        <v>1</v>
      </c>
      <c r="Q207" s="11">
        <f>IF(P207=Sheet1!M207, 1, 0)</f>
        <v>0</v>
      </c>
    </row>
    <row r="208" spans="1:17" x14ac:dyDescent="0.35">
      <c r="A208" s="6" t="s">
        <v>211</v>
      </c>
      <c r="B208" s="6" t="s">
        <v>231</v>
      </c>
      <c r="C208" s="6">
        <v>-0.64861948242968326</v>
      </c>
      <c r="D208" s="6">
        <v>-0.39687767341335822</v>
      </c>
      <c r="E208" s="6">
        <v>7.7808834309365388E-2</v>
      </c>
      <c r="F208" s="6">
        <v>0.37487880061327383</v>
      </c>
      <c r="G208" s="6">
        <v>1.8156193349805438</v>
      </c>
      <c r="H208" s="6">
        <v>-0.57161161218531054</v>
      </c>
      <c r="I208" s="6">
        <v>-0.23310767222215534</v>
      </c>
      <c r="J208" s="6">
        <v>-0.3148698306918587</v>
      </c>
      <c r="K208" s="6">
        <v>1.3386907370921807E-2</v>
      </c>
      <c r="L208" s="6">
        <v>-4.1467171774273631E-4</v>
      </c>
      <c r="N208" s="8">
        <f>SQRT((C208-Sheet3!$C$525)^2+(D208-Sheet3!$D$525)^2+(E208-Sheet3!$E$525)^2+(F208-Sheet3!$F$525)^2+(G208-Sheet3!$G$525)^2+(H208-Sheet3!$H$525)^2+(I208-Sheet3!$I$525)^2+(J208-Sheet3!$J$525)^2+(K208-Sheet3!$K$525)^2+(L208-Sheet3!$L$525)^2)</f>
        <v>2.4613971546503661</v>
      </c>
      <c r="O208" s="8">
        <f>SQRT((C208-Sheet3!$C$526)^2+(D208-Sheet3!$D$526)^2+(E208-Sheet3!$E$526)^2+(F208-Sheet3!$F$526)^2+(G208-Sheet3!$G$526)^2+(H208-Sheet3!$H$526)^2+(I208-Sheet3!$I$526)^2+(J208-Sheet3!$J$526)^2+(K208-Sheet3!$K$526)^2+(L208-Sheet3!$L$526)^2)</f>
        <v>3.2782248838084689</v>
      </c>
      <c r="P208" s="12">
        <f t="shared" si="3"/>
        <v>0</v>
      </c>
      <c r="Q208" s="11">
        <f>IF(P208=Sheet1!M208, 1, 0)</f>
        <v>1</v>
      </c>
    </row>
    <row r="209" spans="1:17" x14ac:dyDescent="0.35">
      <c r="A209" s="6" t="s">
        <v>211</v>
      </c>
      <c r="B209" s="6" t="s">
        <v>232</v>
      </c>
      <c r="C209" s="6">
        <v>8.6808442629625199E-2</v>
      </c>
      <c r="D209" s="6">
        <v>-0.35391324120306611</v>
      </c>
      <c r="E209" s="6">
        <v>-2.8288062059415794E-2</v>
      </c>
      <c r="F209" s="6">
        <v>0.40723273426392392</v>
      </c>
      <c r="G209" s="6">
        <v>1.6849614444776406</v>
      </c>
      <c r="H209" s="6">
        <v>0.76366307054862348</v>
      </c>
      <c r="I209" s="6">
        <v>0.73779849529204189</v>
      </c>
      <c r="J209" s="6">
        <v>8.3702379704042207E-2</v>
      </c>
      <c r="K209" s="6">
        <v>-0.50616027685345033</v>
      </c>
      <c r="L209" s="6">
        <v>-6.4934643223660951E-2</v>
      </c>
      <c r="N209" s="8">
        <f>SQRT((C209-Sheet3!$C$525)^2+(D209-Sheet3!$D$525)^2+(E209-Sheet3!$E$525)^2+(F209-Sheet3!$F$525)^2+(G209-Sheet3!$G$525)^2+(H209-Sheet3!$H$525)^2+(I209-Sheet3!$I$525)^2+(J209-Sheet3!$J$525)^2+(K209-Sheet3!$K$525)^2+(L209-Sheet3!$L$525)^2)</f>
        <v>2.6635775836525379</v>
      </c>
      <c r="O209" s="8">
        <f>SQRT((C209-Sheet3!$C$526)^2+(D209-Sheet3!$D$526)^2+(E209-Sheet3!$E$526)^2+(F209-Sheet3!$F$526)^2+(G209-Sheet3!$G$526)^2+(H209-Sheet3!$H$526)^2+(I209-Sheet3!$I$526)^2+(J209-Sheet3!$J$526)^2+(K209-Sheet3!$K$526)^2+(L209-Sheet3!$L$526)^2)</f>
        <v>2.728494994785065</v>
      </c>
      <c r="P209" s="12">
        <f t="shared" si="3"/>
        <v>0</v>
      </c>
      <c r="Q209" s="11">
        <f>IF(P209=Sheet1!M209, 1, 0)</f>
        <v>1</v>
      </c>
    </row>
    <row r="210" spans="1:17" x14ac:dyDescent="0.35">
      <c r="A210" s="6" t="s">
        <v>211</v>
      </c>
      <c r="B210" s="6" t="s">
        <v>233</v>
      </c>
      <c r="C210" s="6">
        <v>-0.59762265550951221</v>
      </c>
      <c r="D210" s="6">
        <v>-0.24957104869235763</v>
      </c>
      <c r="E210" s="6">
        <v>0.64292216427363735</v>
      </c>
      <c r="F210" s="6">
        <v>0.66452353996195845</v>
      </c>
      <c r="G210" s="6">
        <v>1.7807772308464394</v>
      </c>
      <c r="H210" s="6">
        <v>0.74373359767199809</v>
      </c>
      <c r="I210" s="6">
        <v>0.83597285497502749</v>
      </c>
      <c r="J210" s="6">
        <v>-1.499169144160971E-2</v>
      </c>
      <c r="K210" s="6">
        <v>0.72541693394348106</v>
      </c>
      <c r="L210" s="6">
        <v>0.29215461492033029</v>
      </c>
      <c r="N210" s="8">
        <f>SQRT((C210-Sheet3!$C$525)^2+(D210-Sheet3!$D$525)^2+(E210-Sheet3!$E$525)^2+(F210-Sheet3!$F$525)^2+(G210-Sheet3!$G$525)^2+(H210-Sheet3!$H$525)^2+(I210-Sheet3!$I$525)^2+(J210-Sheet3!$J$525)^2+(K210-Sheet3!$K$525)^2+(L210-Sheet3!$L$525)^2)</f>
        <v>3.1071745935881498</v>
      </c>
      <c r="O210" s="8">
        <f>SQRT((C210-Sheet3!$C$526)^2+(D210-Sheet3!$D$526)^2+(E210-Sheet3!$E$526)^2+(F210-Sheet3!$F$526)^2+(G210-Sheet3!$G$526)^2+(H210-Sheet3!$H$526)^2+(I210-Sheet3!$I$526)^2+(J210-Sheet3!$J$526)^2+(K210-Sheet3!$K$526)^2+(L210-Sheet3!$L$526)^2)</f>
        <v>2.5725771205937016</v>
      </c>
      <c r="P210" s="12">
        <f t="shared" si="3"/>
        <v>1</v>
      </c>
      <c r="Q210" s="11">
        <f>IF(P210=Sheet1!M210, 1, 0)</f>
        <v>0</v>
      </c>
    </row>
    <row r="211" spans="1:17" x14ac:dyDescent="0.35">
      <c r="A211" s="6" t="s">
        <v>211</v>
      </c>
      <c r="B211" s="6" t="s">
        <v>234</v>
      </c>
      <c r="C211" s="6">
        <v>-0.28224754166108618</v>
      </c>
      <c r="D211" s="6">
        <v>-0.72831757903561056</v>
      </c>
      <c r="E211" s="6">
        <v>-0.33773734313502757</v>
      </c>
      <c r="F211" s="6">
        <v>-7.2057491658435932E-3</v>
      </c>
      <c r="G211" s="6">
        <v>1.7372246006788037</v>
      </c>
      <c r="H211" s="6">
        <v>-0.49297098948294932</v>
      </c>
      <c r="I211" s="6">
        <v>0.42925050771694617</v>
      </c>
      <c r="J211" s="6">
        <v>-0.92601388663224027</v>
      </c>
      <c r="K211" s="6">
        <v>0.71133282352776184</v>
      </c>
      <c r="L211" s="6">
        <v>-0.13740872130625273</v>
      </c>
      <c r="N211" s="8">
        <f>SQRT((C211-Sheet3!$C$525)^2+(D211-Sheet3!$D$525)^2+(E211-Sheet3!$E$525)^2+(F211-Sheet3!$F$525)^2+(G211-Sheet3!$G$525)^2+(H211-Sheet3!$H$525)^2+(I211-Sheet3!$I$525)^2+(J211-Sheet3!$J$525)^2+(K211-Sheet3!$K$525)^2+(L211-Sheet3!$L$525)^2)</f>
        <v>2.3867365731415213</v>
      </c>
      <c r="O211" s="8">
        <f>SQRT((C211-Sheet3!$C$526)^2+(D211-Sheet3!$D$526)^2+(E211-Sheet3!$E$526)^2+(F211-Sheet3!$F$526)^2+(G211-Sheet3!$G$526)^2+(H211-Sheet3!$H$526)^2+(I211-Sheet3!$I$526)^2+(J211-Sheet3!$J$526)^2+(K211-Sheet3!$K$526)^2+(L211-Sheet3!$L$526)^2)</f>
        <v>4.0600708670571848</v>
      </c>
      <c r="P211" s="12">
        <f t="shared" si="3"/>
        <v>0</v>
      </c>
      <c r="Q211" s="11">
        <f>IF(P211=Sheet1!M211, 1, 0)</f>
        <v>1</v>
      </c>
    </row>
    <row r="212" spans="1:17" x14ac:dyDescent="0.35">
      <c r="A212" s="6" t="s">
        <v>211</v>
      </c>
      <c r="B212" s="6" t="s">
        <v>235</v>
      </c>
      <c r="C212" s="6">
        <v>-0.27285338933368619</v>
      </c>
      <c r="D212" s="6">
        <v>-0.59942428240473467</v>
      </c>
      <c r="E212" s="6">
        <v>0.47272505968205092</v>
      </c>
      <c r="F212" s="6">
        <v>0.39644808971370793</v>
      </c>
      <c r="G212" s="6">
        <v>1.4004175940491004</v>
      </c>
      <c r="H212" s="6">
        <v>0.35591682818089965</v>
      </c>
      <c r="I212" s="6">
        <v>0.47897518340053613</v>
      </c>
      <c r="J212" s="6">
        <v>0.94537753932184698</v>
      </c>
      <c r="K212" s="6">
        <v>7.2853151348411818E-2</v>
      </c>
      <c r="L212" s="6">
        <v>0.20201718394596324</v>
      </c>
      <c r="N212" s="8">
        <f>SQRT((C212-Sheet3!$C$525)^2+(D212-Sheet3!$D$525)^2+(E212-Sheet3!$E$525)^2+(F212-Sheet3!$F$525)^2+(G212-Sheet3!$G$525)^2+(H212-Sheet3!$H$525)^2+(I212-Sheet3!$I$525)^2+(J212-Sheet3!$J$525)^2+(K212-Sheet3!$K$525)^2+(L212-Sheet3!$L$525)^2)</f>
        <v>2.6506802611280875</v>
      </c>
      <c r="O212" s="8">
        <f>SQRT((C212-Sheet3!$C$526)^2+(D212-Sheet3!$D$526)^2+(E212-Sheet3!$E$526)^2+(F212-Sheet3!$F$526)^2+(G212-Sheet3!$G$526)^2+(H212-Sheet3!$H$526)^2+(I212-Sheet3!$I$526)^2+(J212-Sheet3!$J$526)^2+(K212-Sheet3!$K$526)^2+(L212-Sheet3!$L$526)^2)</f>
        <v>2.3826165413640625</v>
      </c>
      <c r="P212" s="12">
        <f t="shared" si="3"/>
        <v>1</v>
      </c>
      <c r="Q212" s="11">
        <f>IF(P212=Sheet1!M212, 1, 0)</f>
        <v>0</v>
      </c>
    </row>
    <row r="213" spans="1:17" x14ac:dyDescent="0.35">
      <c r="A213" s="6" t="s">
        <v>211</v>
      </c>
      <c r="B213" s="6" t="s">
        <v>236</v>
      </c>
      <c r="C213" s="6">
        <v>-0.34800660795288568</v>
      </c>
      <c r="D213" s="6">
        <v>-0.95541529214715393</v>
      </c>
      <c r="E213" s="6">
        <v>-0.29500387098649072</v>
      </c>
      <c r="F213" s="6">
        <v>-0.15510944585453301</v>
      </c>
      <c r="G213" s="6">
        <v>1.475908819672997</v>
      </c>
      <c r="H213" s="6">
        <v>-0.55168213930868515</v>
      </c>
      <c r="I213" s="6">
        <v>0.8442603009222921</v>
      </c>
      <c r="J213" s="6">
        <v>0.58096866124559465</v>
      </c>
      <c r="K213" s="6">
        <v>0.302893621471854</v>
      </c>
      <c r="L213" s="6">
        <v>-0.12954517373844066</v>
      </c>
      <c r="N213" s="8">
        <f>SQRT((C213-Sheet3!$C$525)^2+(D213-Sheet3!$D$525)^2+(E213-Sheet3!$E$525)^2+(F213-Sheet3!$F$525)^2+(G213-Sheet3!$G$525)^2+(H213-Sheet3!$H$525)^2+(I213-Sheet3!$I$525)^2+(J213-Sheet3!$J$525)^2+(K213-Sheet3!$K$525)^2+(L213-Sheet3!$L$525)^2)</f>
        <v>2.4286982153957895</v>
      </c>
      <c r="O213" s="8">
        <f>SQRT((C213-Sheet3!$C$526)^2+(D213-Sheet3!$D$526)^2+(E213-Sheet3!$E$526)^2+(F213-Sheet3!$F$526)^2+(G213-Sheet3!$G$526)^2+(H213-Sheet3!$H$526)^2+(I213-Sheet3!$I$526)^2+(J213-Sheet3!$J$526)^2+(K213-Sheet3!$K$526)^2+(L213-Sheet3!$L$526)^2)</f>
        <v>3.5366285361154417</v>
      </c>
      <c r="P213" s="12">
        <f t="shared" si="3"/>
        <v>0</v>
      </c>
      <c r="Q213" s="11">
        <f>IF(P213=Sheet1!M213, 1, 0)</f>
        <v>1</v>
      </c>
    </row>
    <row r="214" spans="1:17" x14ac:dyDescent="0.35">
      <c r="A214" s="6" t="s">
        <v>211</v>
      </c>
      <c r="B214" s="6" t="s">
        <v>237</v>
      </c>
      <c r="C214" s="6">
        <v>-0.22856667121880084</v>
      </c>
      <c r="D214" s="6">
        <v>-0.7774197872759443</v>
      </c>
      <c r="E214" s="6">
        <v>3.1023050146743131E-2</v>
      </c>
      <c r="F214" s="6">
        <v>2.8229511499155757E-2</v>
      </c>
      <c r="G214" s="6">
        <v>1.1855579518887693</v>
      </c>
      <c r="H214" s="6">
        <v>7.3672401495710874E-2</v>
      </c>
      <c r="I214" s="6">
        <v>0.70528620734507974</v>
      </c>
      <c r="J214" s="6">
        <v>-0.29589020162538726</v>
      </c>
      <c r="K214" s="6">
        <v>0.31228302841566613</v>
      </c>
      <c r="L214" s="6">
        <v>-0.11176769225727883</v>
      </c>
      <c r="N214" s="8">
        <f>SQRT((C214-Sheet3!$C$525)^2+(D214-Sheet3!$D$525)^2+(E214-Sheet3!$E$525)^2+(F214-Sheet3!$F$525)^2+(G214-Sheet3!$G$525)^2+(H214-Sheet3!$H$525)^2+(I214-Sheet3!$I$525)^2+(J214-Sheet3!$J$525)^2+(K214-Sheet3!$K$525)^2+(L214-Sheet3!$L$525)^2)</f>
        <v>1.9447915967910705</v>
      </c>
      <c r="O214" s="8">
        <f>SQRT((C214-Sheet3!$C$526)^2+(D214-Sheet3!$D$526)^2+(E214-Sheet3!$E$526)^2+(F214-Sheet3!$F$526)^2+(G214-Sheet3!$G$526)^2+(H214-Sheet3!$H$526)^2+(I214-Sheet3!$I$526)^2+(J214-Sheet3!$J$526)^2+(K214-Sheet3!$K$526)^2+(L214-Sheet3!$L$526)^2)</f>
        <v>3.2860787771443509</v>
      </c>
      <c r="P214" s="12">
        <f t="shared" si="3"/>
        <v>0</v>
      </c>
      <c r="Q214" s="11">
        <f>IF(P214=Sheet1!M214, 1, 0)</f>
        <v>1</v>
      </c>
    </row>
    <row r="215" spans="1:17" x14ac:dyDescent="0.35">
      <c r="A215" s="6" t="s">
        <v>211</v>
      </c>
      <c r="B215" s="6" t="s">
        <v>238</v>
      </c>
      <c r="C215" s="6">
        <v>0.57530436365442117</v>
      </c>
      <c r="D215" s="6">
        <v>-1.2193396614389471</v>
      </c>
      <c r="E215" s="6">
        <v>-0.64534466420423697</v>
      </c>
      <c r="F215" s="6">
        <v>-0.51870603354756351</v>
      </c>
      <c r="G215" s="6">
        <v>1.1245842696540833</v>
      </c>
      <c r="H215" s="6">
        <v>3.7045262154885322E-2</v>
      </c>
      <c r="I215" s="6">
        <v>0.63771164808276515</v>
      </c>
      <c r="J215" s="6">
        <v>0.62651977100512624</v>
      </c>
      <c r="K215" s="6">
        <v>-0.55780201504442695</v>
      </c>
      <c r="L215" s="6">
        <v>-6.368415996470278E-2</v>
      </c>
      <c r="N215" s="8">
        <f>SQRT((C215-Sheet3!$C$525)^2+(D215-Sheet3!$D$525)^2+(E215-Sheet3!$E$525)^2+(F215-Sheet3!$F$525)^2+(G215-Sheet3!$G$525)^2+(H215-Sheet3!$H$525)^2+(I215-Sheet3!$I$525)^2+(J215-Sheet3!$J$525)^2+(K215-Sheet3!$K$525)^2+(L215-Sheet3!$L$525)^2)</f>
        <v>2.2870957046334355</v>
      </c>
      <c r="O215" s="8">
        <f>SQRT((C215-Sheet3!$C$526)^2+(D215-Sheet3!$D$526)^2+(E215-Sheet3!$E$526)^2+(F215-Sheet3!$F$526)^2+(G215-Sheet3!$G$526)^2+(H215-Sheet3!$H$526)^2+(I215-Sheet3!$I$526)^2+(J215-Sheet3!$J$526)^2+(K215-Sheet3!$K$526)^2+(L215-Sheet3!$L$526)^2)</f>
        <v>3.8915750390915886</v>
      </c>
      <c r="P215" s="12">
        <f t="shared" si="3"/>
        <v>0</v>
      </c>
      <c r="Q215" s="11">
        <f>IF(P215=Sheet1!M215, 1, 0)</f>
        <v>1</v>
      </c>
    </row>
    <row r="216" spans="1:17" x14ac:dyDescent="0.35">
      <c r="A216" s="6" t="s">
        <v>211</v>
      </c>
      <c r="B216" s="6" t="s">
        <v>239</v>
      </c>
      <c r="C216" s="6">
        <v>-0.49294495814705597</v>
      </c>
      <c r="D216" s="6">
        <v>-0.88789975581669489</v>
      </c>
      <c r="E216" s="6">
        <v>-0.23016687876112443</v>
      </c>
      <c r="F216" s="6">
        <v>-0.17513807144779248</v>
      </c>
      <c r="G216" s="6">
        <v>0.59904919896463049</v>
      </c>
      <c r="H216" s="6">
        <v>0.37853947306788044</v>
      </c>
      <c r="I216" s="6">
        <v>0.87549759718506071</v>
      </c>
      <c r="J216" s="6">
        <v>1.8639915861390666</v>
      </c>
      <c r="K216" s="6">
        <v>-0.50459537569614943</v>
      </c>
      <c r="L216" s="6">
        <v>7.1854488921400825E-2</v>
      </c>
      <c r="N216" s="8">
        <f>SQRT((C216-Sheet3!$C$525)^2+(D216-Sheet3!$D$525)^2+(E216-Sheet3!$E$525)^2+(F216-Sheet3!$F$525)^2+(G216-Sheet3!$G$525)^2+(H216-Sheet3!$H$525)^2+(I216-Sheet3!$I$525)^2+(J216-Sheet3!$J$525)^2+(K216-Sheet3!$K$525)^2+(L216-Sheet3!$L$525)^2)</f>
        <v>2.9214213048512927</v>
      </c>
      <c r="O216" s="8">
        <f>SQRT((C216-Sheet3!$C$526)^2+(D216-Sheet3!$D$526)^2+(E216-Sheet3!$E$526)^2+(F216-Sheet3!$F$526)^2+(G216-Sheet3!$G$526)^2+(H216-Sheet3!$H$526)^2+(I216-Sheet3!$I$526)^2+(J216-Sheet3!$J$526)^2+(K216-Sheet3!$K$526)^2+(L216-Sheet3!$L$526)^2)</f>
        <v>3.0835593277515385</v>
      </c>
      <c r="P216" s="12">
        <f t="shared" si="3"/>
        <v>0</v>
      </c>
      <c r="Q216" s="11">
        <f>IF(P216=Sheet1!M216, 1, 0)</f>
        <v>1</v>
      </c>
    </row>
    <row r="217" spans="1:17" x14ac:dyDescent="0.35">
      <c r="A217" s="6" t="s">
        <v>211</v>
      </c>
      <c r="B217" s="6" t="s">
        <v>240</v>
      </c>
      <c r="C217" s="6">
        <v>0.69206025686639183</v>
      </c>
      <c r="D217" s="6">
        <v>-1.3605085101299068</v>
      </c>
      <c r="E217" s="6">
        <v>-6.365369418234286E-2</v>
      </c>
      <c r="F217" s="6">
        <v>-0.5556819577197375</v>
      </c>
      <c r="G217" s="6">
        <v>-3.3915692804983716E-2</v>
      </c>
      <c r="H217" s="6">
        <v>0.15608346501256934</v>
      </c>
      <c r="I217" s="6">
        <v>0.4757877041900489</v>
      </c>
      <c r="J217" s="6">
        <v>1.7918689956864746</v>
      </c>
      <c r="K217" s="6">
        <v>-0.85982793840377758</v>
      </c>
      <c r="L217" s="6">
        <v>0.24013078367642424</v>
      </c>
      <c r="N217" s="8">
        <f>SQRT((C217-Sheet3!$C$525)^2+(D217-Sheet3!$D$525)^2+(E217-Sheet3!$E$525)^2+(F217-Sheet3!$F$525)^2+(G217-Sheet3!$G$525)^2+(H217-Sheet3!$H$525)^2+(I217-Sheet3!$I$525)^2+(J217-Sheet3!$J$525)^2+(K217-Sheet3!$K$525)^2+(L217-Sheet3!$L$525)^2)</f>
        <v>2.8061533304257043</v>
      </c>
      <c r="O217" s="8">
        <f>SQRT((C217-Sheet3!$C$526)^2+(D217-Sheet3!$D$526)^2+(E217-Sheet3!$E$526)^2+(F217-Sheet3!$F$526)^2+(G217-Sheet3!$G$526)^2+(H217-Sheet3!$H$526)^2+(I217-Sheet3!$I$526)^2+(J217-Sheet3!$J$526)^2+(K217-Sheet3!$K$526)^2+(L217-Sheet3!$L$526)^2)</f>
        <v>3.8843701775999682</v>
      </c>
      <c r="P217" s="12">
        <f t="shared" si="3"/>
        <v>0</v>
      </c>
      <c r="Q217" s="11">
        <f>IF(P217=Sheet1!M217, 1, 0)</f>
        <v>1</v>
      </c>
    </row>
    <row r="218" spans="1:17" x14ac:dyDescent="0.35">
      <c r="A218" s="6" t="s">
        <v>211</v>
      </c>
      <c r="B218" s="6" t="s">
        <v>241</v>
      </c>
      <c r="C218" s="6">
        <v>-0.60701680783691214</v>
      </c>
      <c r="D218" s="6">
        <v>1.3401129430884449</v>
      </c>
      <c r="E218" s="6">
        <v>0.74570353263089417</v>
      </c>
      <c r="F218" s="6">
        <v>1.4641279001851928</v>
      </c>
      <c r="G218" s="6">
        <v>2.1117772201204592</v>
      </c>
      <c r="H218" s="6">
        <v>0.36830541942853212</v>
      </c>
      <c r="I218" s="6">
        <v>0.94753462734205607</v>
      </c>
      <c r="J218" s="6">
        <v>1.393296785290574</v>
      </c>
      <c r="K218" s="6">
        <v>-0.37470857964005644</v>
      </c>
      <c r="L218" s="6">
        <v>-0.32283184410324611</v>
      </c>
      <c r="N218" s="8">
        <f>SQRT((C218-Sheet3!$C$525)^2+(D218-Sheet3!$D$525)^2+(E218-Sheet3!$E$525)^2+(F218-Sheet3!$F$525)^2+(G218-Sheet3!$G$525)^2+(H218-Sheet3!$H$525)^2+(I218-Sheet3!$I$525)^2+(J218-Sheet3!$J$525)^2+(K218-Sheet3!$K$525)^2+(L218-Sheet3!$L$525)^2)</f>
        <v>4.3364661598547638</v>
      </c>
      <c r="O218" s="8">
        <f>SQRT((C218-Sheet3!$C$526)^2+(D218-Sheet3!$D$526)^2+(E218-Sheet3!$E$526)^2+(F218-Sheet3!$F$526)^2+(G218-Sheet3!$G$526)^2+(H218-Sheet3!$H$526)^2+(I218-Sheet3!$I$526)^2+(J218-Sheet3!$J$526)^2+(K218-Sheet3!$K$526)^2+(L218-Sheet3!$L$526)^2)</f>
        <v>1.7806062455764531</v>
      </c>
      <c r="P218" s="12">
        <f t="shared" si="3"/>
        <v>1</v>
      </c>
      <c r="Q218" s="11">
        <f>IF(P218=Sheet1!M218, 1, 0)</f>
        <v>0</v>
      </c>
    </row>
    <row r="219" spans="1:17" x14ac:dyDescent="0.35">
      <c r="A219" s="6" t="s">
        <v>211</v>
      </c>
      <c r="B219" s="6" t="s">
        <v>242</v>
      </c>
      <c r="C219" s="6">
        <v>-0.38558321726248529</v>
      </c>
      <c r="D219" s="6">
        <v>1.5119706719296135</v>
      </c>
      <c r="E219" s="6">
        <v>1.6895238399115102</v>
      </c>
      <c r="F219" s="6">
        <v>1.9555995589736532</v>
      </c>
      <c r="G219" s="6">
        <v>2.2250140585563041</v>
      </c>
      <c r="H219" s="6">
        <v>0.62092495399981695</v>
      </c>
      <c r="I219" s="6">
        <v>0.93605970218430412</v>
      </c>
      <c r="J219" s="6">
        <v>1.0592553137206757</v>
      </c>
      <c r="K219" s="6">
        <v>-0.40287680047149721</v>
      </c>
      <c r="L219" s="6">
        <v>0.29769488720496484</v>
      </c>
      <c r="N219" s="8">
        <f>SQRT((C219-Sheet3!$C$525)^2+(D219-Sheet3!$D$525)^2+(E219-Sheet3!$E$525)^2+(F219-Sheet3!$F$525)^2+(G219-Sheet3!$G$525)^2+(H219-Sheet3!$H$525)^2+(I219-Sheet3!$I$525)^2+(J219-Sheet3!$J$525)^2+(K219-Sheet3!$K$525)^2+(L219-Sheet3!$L$525)^2)</f>
        <v>4.9260636734817442</v>
      </c>
      <c r="O219" s="8">
        <f>SQRT((C219-Sheet3!$C$526)^2+(D219-Sheet3!$D$526)^2+(E219-Sheet3!$E$526)^2+(F219-Sheet3!$F$526)^2+(G219-Sheet3!$G$526)^2+(H219-Sheet3!$H$526)^2+(I219-Sheet3!$I$526)^2+(J219-Sheet3!$J$526)^2+(K219-Sheet3!$K$526)^2+(L219-Sheet3!$L$526)^2)</f>
        <v>1.7302693904075201</v>
      </c>
      <c r="P219" s="12">
        <f t="shared" si="3"/>
        <v>1</v>
      </c>
      <c r="Q219" s="11">
        <f>IF(P219=Sheet1!M219, 1, 0)</f>
        <v>0</v>
      </c>
    </row>
    <row r="220" spans="1:17" x14ac:dyDescent="0.35">
      <c r="A220" s="6" t="s">
        <v>211</v>
      </c>
      <c r="B220" s="6" t="s">
        <v>243</v>
      </c>
      <c r="C220" s="6">
        <v>-0.9572844874728238</v>
      </c>
      <c r="D220" s="6">
        <v>1.3646640472086125</v>
      </c>
      <c r="E220" s="6">
        <v>2.0328651851049271</v>
      </c>
      <c r="F220" s="6">
        <v>2.1065845826766898</v>
      </c>
      <c r="G220" s="6">
        <v>2.2917947581466773</v>
      </c>
      <c r="H220" s="6">
        <v>1.1240094855341023</v>
      </c>
      <c r="I220" s="6">
        <v>0.86976013460618473</v>
      </c>
      <c r="J220" s="6">
        <v>0.83529569073631238</v>
      </c>
      <c r="K220" s="6">
        <v>0.14014390111241082</v>
      </c>
      <c r="L220" s="6">
        <v>-0.25374472310011775</v>
      </c>
      <c r="N220" s="8">
        <f>SQRT((C220-Sheet3!$C$525)^2+(D220-Sheet3!$D$525)^2+(E220-Sheet3!$E$525)^2+(F220-Sheet3!$F$525)^2+(G220-Sheet3!$G$525)^2+(H220-Sheet3!$H$525)^2+(I220-Sheet3!$I$525)^2+(J220-Sheet3!$J$525)^2+(K220-Sheet3!$K$525)^2+(L220-Sheet3!$L$525)^2)</f>
        <v>5.2057932066476962</v>
      </c>
      <c r="O220" s="8">
        <f>SQRT((C220-Sheet3!$C$526)^2+(D220-Sheet3!$D$526)^2+(E220-Sheet3!$E$526)^2+(F220-Sheet3!$F$526)^2+(G220-Sheet3!$G$526)^2+(H220-Sheet3!$H$526)^2+(I220-Sheet3!$I$526)^2+(J220-Sheet3!$J$526)^2+(K220-Sheet3!$K$526)^2+(L220-Sheet3!$L$526)^2)</f>
        <v>2.2946248915441476</v>
      </c>
      <c r="P220" s="12">
        <f t="shared" si="3"/>
        <v>1</v>
      </c>
      <c r="Q220" s="11">
        <f>IF(P220=Sheet1!M220, 1, 0)</f>
        <v>0</v>
      </c>
    </row>
    <row r="221" spans="1:17" x14ac:dyDescent="0.35">
      <c r="A221" s="6" t="s">
        <v>211</v>
      </c>
      <c r="B221" s="6" t="s">
        <v>244</v>
      </c>
      <c r="C221" s="6">
        <v>-1.0351217496141374</v>
      </c>
      <c r="D221" s="6">
        <v>1.4383173595691123</v>
      </c>
      <c r="E221" s="6">
        <v>1.878877328569682</v>
      </c>
      <c r="F221" s="6">
        <v>2.0988812651408209</v>
      </c>
      <c r="G221" s="6">
        <v>2.2801807234353109</v>
      </c>
      <c r="H221" s="6">
        <v>0.88701034862287598</v>
      </c>
      <c r="I221" s="6">
        <v>0.84681028429068173</v>
      </c>
      <c r="J221" s="6">
        <v>1.7007667761674115</v>
      </c>
      <c r="K221" s="6">
        <v>-8.5217088313108893E-3</v>
      </c>
      <c r="L221" s="6">
        <v>2.5647921378859624</v>
      </c>
      <c r="N221" s="8">
        <f>SQRT((C221-Sheet3!$C$525)^2+(D221-Sheet3!$D$525)^2+(E221-Sheet3!$E$525)^2+(F221-Sheet3!$F$525)^2+(G221-Sheet3!$G$525)^2+(H221-Sheet3!$H$525)^2+(I221-Sheet3!$I$525)^2+(J221-Sheet3!$J$525)^2+(K221-Sheet3!$K$525)^2+(L221-Sheet3!$L$525)^2)</f>
        <v>6.056644811674567</v>
      </c>
      <c r="O221" s="8">
        <f>SQRT((C221-Sheet3!$C$526)^2+(D221-Sheet3!$D$526)^2+(E221-Sheet3!$E$526)^2+(F221-Sheet3!$F$526)^2+(G221-Sheet3!$G$526)^2+(H221-Sheet3!$H$526)^2+(I221-Sheet3!$I$526)^2+(J221-Sheet3!$J$526)^2+(K221-Sheet3!$K$526)^2+(L221-Sheet3!$L$526)^2)</f>
        <v>2.711097794565076</v>
      </c>
      <c r="P221" s="12">
        <f t="shared" si="3"/>
        <v>1</v>
      </c>
      <c r="Q221" s="11">
        <f>IF(P221=Sheet1!M221, 1, 0)</f>
        <v>0</v>
      </c>
    </row>
    <row r="222" spans="1:17" x14ac:dyDescent="0.35">
      <c r="A222" s="6" t="s">
        <v>211</v>
      </c>
      <c r="B222" s="6" t="s">
        <v>245</v>
      </c>
      <c r="C222" s="6">
        <v>-0.62848915601382627</v>
      </c>
      <c r="D222" s="6">
        <v>0.45627319476243916</v>
      </c>
      <c r="E222" s="6">
        <v>0.8374331409497362</v>
      </c>
      <c r="F222" s="6">
        <v>0.84324050679412765</v>
      </c>
      <c r="G222" s="6">
        <v>1.3888035593377295</v>
      </c>
      <c r="H222" s="6">
        <v>0.93818061681961828</v>
      </c>
      <c r="I222" s="6">
        <v>0.90163492671105006</v>
      </c>
      <c r="J222" s="6">
        <v>0.6948464356444235</v>
      </c>
      <c r="K222" s="6">
        <v>0.98675542721297027</v>
      </c>
      <c r="L222" s="6">
        <v>-0.30010661036843383</v>
      </c>
      <c r="N222" s="8">
        <f>SQRT((C222-Sheet3!$C$525)^2+(D222-Sheet3!$D$525)^2+(E222-Sheet3!$E$525)^2+(F222-Sheet3!$F$525)^2+(G222-Sheet3!$G$525)^2+(H222-Sheet3!$H$525)^2+(I222-Sheet3!$I$525)^2+(J222-Sheet3!$J$525)^2+(K222-Sheet3!$K$525)^2+(L222-Sheet3!$L$525)^2)</f>
        <v>3.3659099499072074</v>
      </c>
      <c r="O222" s="8">
        <f>SQRT((C222-Sheet3!$C$526)^2+(D222-Sheet3!$D$526)^2+(E222-Sheet3!$E$526)^2+(F222-Sheet3!$F$526)^2+(G222-Sheet3!$G$526)^2+(H222-Sheet3!$H$526)^2+(I222-Sheet3!$I$526)^2+(J222-Sheet3!$J$526)^2+(K222-Sheet3!$K$526)^2+(L222-Sheet3!$L$526)^2)</f>
        <v>2.1992729848242414</v>
      </c>
      <c r="P222" s="12">
        <f t="shared" si="3"/>
        <v>1</v>
      </c>
      <c r="Q222" s="11">
        <f>IF(P222=Sheet1!M222, 1, 0)</f>
        <v>0</v>
      </c>
    </row>
    <row r="223" spans="1:17" x14ac:dyDescent="0.35">
      <c r="A223" s="6" t="s">
        <v>211</v>
      </c>
      <c r="B223" s="6" t="s">
        <v>246</v>
      </c>
      <c r="C223" s="6">
        <v>-0.55736200267779834</v>
      </c>
      <c r="D223" s="6">
        <v>0.18007327341056265</v>
      </c>
      <c r="E223" s="6">
        <v>1.0382067816476035</v>
      </c>
      <c r="F223" s="6">
        <v>0.86172846888021248</v>
      </c>
      <c r="G223" s="6">
        <v>1.4178386461161547</v>
      </c>
      <c r="H223" s="6">
        <v>0.83853325243648835</v>
      </c>
      <c r="I223" s="6">
        <v>0.94753462734205607</v>
      </c>
      <c r="J223" s="6">
        <v>1.2110923462524477</v>
      </c>
      <c r="K223" s="6">
        <v>-0.19005024307838053</v>
      </c>
      <c r="L223" s="6">
        <v>-0.22302942246231655</v>
      </c>
      <c r="N223" s="8">
        <f>SQRT((C223-Sheet3!$C$525)^2+(D223-Sheet3!$D$525)^2+(E223-Sheet3!$E$525)^2+(F223-Sheet3!$F$525)^2+(G223-Sheet3!$G$525)^2+(H223-Sheet3!$H$525)^2+(I223-Sheet3!$I$525)^2+(J223-Sheet3!$J$525)^2+(K223-Sheet3!$K$525)^2+(L223-Sheet3!$L$525)^2)</f>
        <v>3.4931916695154155</v>
      </c>
      <c r="O223" s="8">
        <f>SQRT((C223-Sheet3!$C$526)^2+(D223-Sheet3!$D$526)^2+(E223-Sheet3!$E$526)^2+(F223-Sheet3!$F$526)^2+(G223-Sheet3!$G$526)^2+(H223-Sheet3!$H$526)^2+(I223-Sheet3!$I$526)^2+(J223-Sheet3!$J$526)^2+(K223-Sheet3!$K$526)^2+(L223-Sheet3!$L$526)^2)</f>
        <v>1.599415276493096</v>
      </c>
      <c r="P223" s="12">
        <f t="shared" si="3"/>
        <v>1</v>
      </c>
      <c r="Q223" s="11">
        <f>IF(P223=Sheet1!M223, 1, 0)</f>
        <v>0</v>
      </c>
    </row>
    <row r="224" spans="1:17" x14ac:dyDescent="0.35">
      <c r="A224" s="6" t="s">
        <v>247</v>
      </c>
      <c r="B224" s="6" t="s">
        <v>248</v>
      </c>
      <c r="C224" s="6">
        <v>0.81955232416681933</v>
      </c>
      <c r="D224" s="6">
        <v>0.35806877828177169</v>
      </c>
      <c r="E224" s="6">
        <v>-9.423023028862354E-2</v>
      </c>
      <c r="F224" s="6">
        <v>0.73693472479912969</v>
      </c>
      <c r="G224" s="6">
        <v>1.6297947795986381</v>
      </c>
      <c r="H224" s="6">
        <v>1.0098189922950571</v>
      </c>
      <c r="I224" s="6">
        <v>0.26732656382422992</v>
      </c>
      <c r="J224" s="6">
        <v>-0.51984982460975082</v>
      </c>
      <c r="K224" s="6">
        <v>1.135421037156692</v>
      </c>
      <c r="L224" s="6">
        <v>-0.27550661291602135</v>
      </c>
      <c r="N224" s="8">
        <f>SQRT((C224-Sheet3!$C$525)^2+(D224-Sheet3!$D$525)^2+(E224-Sheet3!$E$525)^2+(F224-Sheet3!$F$525)^2+(G224-Sheet3!$G$525)^2+(H224-Sheet3!$H$525)^2+(I224-Sheet3!$I$525)^2+(J224-Sheet3!$J$525)^2+(K224-Sheet3!$K$525)^2+(L224-Sheet3!$L$525)^2)</f>
        <v>2.9106284678995165</v>
      </c>
      <c r="O224" s="8">
        <f>SQRT((C224-Sheet3!$C$526)^2+(D224-Sheet3!$D$526)^2+(E224-Sheet3!$E$526)^2+(F224-Sheet3!$F$526)^2+(G224-Sheet3!$G$526)^2+(H224-Sheet3!$H$526)^2+(I224-Sheet3!$I$526)^2+(J224-Sheet3!$J$526)^2+(K224-Sheet3!$K$526)^2+(L224-Sheet3!$L$526)^2)</f>
        <v>3.518655881104801</v>
      </c>
      <c r="P224" s="12">
        <f t="shared" si="3"/>
        <v>0</v>
      </c>
      <c r="Q224" s="11">
        <f>IF(P224=Sheet1!M224, 1, 0)</f>
        <v>1</v>
      </c>
    </row>
    <row r="225" spans="1:17" x14ac:dyDescent="0.35">
      <c r="A225" s="6" t="s">
        <v>247</v>
      </c>
      <c r="B225" s="6" t="s">
        <v>249</v>
      </c>
      <c r="C225" s="6">
        <v>0.2371148798680239</v>
      </c>
      <c r="D225" s="6">
        <v>0.69564645993406615</v>
      </c>
      <c r="E225" s="6">
        <v>1.923084368723341</v>
      </c>
      <c r="F225" s="6">
        <v>1.5950842982949698</v>
      </c>
      <c r="G225" s="6">
        <v>1.2291105820564052</v>
      </c>
      <c r="H225" s="6">
        <v>1.0232848523468314</v>
      </c>
      <c r="I225" s="6">
        <v>0.69954874476620377</v>
      </c>
      <c r="J225" s="6">
        <v>-0.38699242114445043</v>
      </c>
      <c r="K225" s="6">
        <v>0.34045124924710912</v>
      </c>
      <c r="L225" s="6">
        <v>-4.5775666719451991E-2</v>
      </c>
      <c r="N225" s="8">
        <f>SQRT((C225-Sheet3!$C$525)^2+(D225-Sheet3!$D$525)^2+(E225-Sheet3!$E$525)^2+(F225-Sheet3!$F$525)^2+(G225-Sheet3!$G$525)^2+(H225-Sheet3!$H$525)^2+(I225-Sheet3!$I$525)^2+(J225-Sheet3!$J$525)^2+(K225-Sheet3!$K$525)^2+(L225-Sheet3!$L$525)^2)</f>
        <v>3.8563784598301059</v>
      </c>
      <c r="O225" s="8">
        <f>SQRT((C225-Sheet3!$C$526)^2+(D225-Sheet3!$D$526)^2+(E225-Sheet3!$E$526)^2+(F225-Sheet3!$F$526)^2+(G225-Sheet3!$G$526)^2+(H225-Sheet3!$H$526)^2+(I225-Sheet3!$I$526)^2+(J225-Sheet3!$J$526)^2+(K225-Sheet3!$K$526)^2+(L225-Sheet3!$L$526)^2)</f>
        <v>2.3798661564166843</v>
      </c>
      <c r="P225" s="12">
        <f t="shared" si="3"/>
        <v>1</v>
      </c>
      <c r="Q225" s="11">
        <f>IF(P225=Sheet1!M225, 1, 0)</f>
        <v>0</v>
      </c>
    </row>
    <row r="226" spans="1:17" x14ac:dyDescent="0.35">
      <c r="A226" s="6" t="s">
        <v>247</v>
      </c>
      <c r="B226" s="6" t="s">
        <v>250</v>
      </c>
      <c r="C226" s="6">
        <v>0.72695282265387751</v>
      </c>
      <c r="D226" s="6">
        <v>-0.69762869888540213</v>
      </c>
      <c r="E226" s="6">
        <v>-0.30200331901082006</v>
      </c>
      <c r="F226" s="6">
        <v>3.5932829035024615E-2</v>
      </c>
      <c r="G226" s="6">
        <v>1.3162158423916726</v>
      </c>
      <c r="H226" s="6">
        <v>1.0125121643054118</v>
      </c>
      <c r="I226" s="6">
        <v>0.60966183103048377</v>
      </c>
      <c r="J226" s="6">
        <v>-1.0854427707906007</v>
      </c>
      <c r="K226" s="6">
        <v>1.0211832526736213</v>
      </c>
      <c r="L226" s="6">
        <v>-0.16188865598411101</v>
      </c>
      <c r="N226" s="8">
        <f>SQRT((C226-Sheet3!$C$525)^2+(D226-Sheet3!$D$525)^2+(E226-Sheet3!$E$525)^2+(F226-Sheet3!$F$525)^2+(G226-Sheet3!$G$525)^2+(H226-Sheet3!$H$525)^2+(I226-Sheet3!$I$525)^2+(J226-Sheet3!$J$525)^2+(K226-Sheet3!$K$525)^2+(L226-Sheet3!$L$525)^2)</f>
        <v>2.5574566544113493</v>
      </c>
      <c r="O226" s="8">
        <f>SQRT((C226-Sheet3!$C$526)^2+(D226-Sheet3!$D$526)^2+(E226-Sheet3!$E$526)^2+(F226-Sheet3!$F$526)^2+(G226-Sheet3!$G$526)^2+(H226-Sheet3!$H$526)^2+(I226-Sheet3!$I$526)^2+(J226-Sheet3!$J$526)^2+(K226-Sheet3!$K$526)^2+(L226-Sheet3!$L$526)^2)</f>
        <v>4.2082523829499729</v>
      </c>
      <c r="P226" s="12">
        <f t="shared" si="3"/>
        <v>0</v>
      </c>
      <c r="Q226" s="11">
        <f>IF(P226=Sheet1!M226, 1, 0)</f>
        <v>1</v>
      </c>
    </row>
    <row r="227" spans="1:17" x14ac:dyDescent="0.35">
      <c r="A227" s="6" t="s">
        <v>247</v>
      </c>
      <c r="B227" s="6" t="s">
        <v>251</v>
      </c>
      <c r="C227" s="6">
        <v>-0.48757687110282733</v>
      </c>
      <c r="D227" s="6">
        <v>1.5242462239896968</v>
      </c>
      <c r="E227" s="6">
        <v>2.1128062493827935</v>
      </c>
      <c r="F227" s="6">
        <v>2.1682111229636449</v>
      </c>
      <c r="G227" s="6">
        <v>1.5281719758741599</v>
      </c>
      <c r="H227" s="6">
        <v>1.1423230552045154</v>
      </c>
      <c r="I227" s="6">
        <v>0.7091111823976638</v>
      </c>
      <c r="J227" s="6">
        <v>4.1947195757804846E-2</v>
      </c>
      <c r="K227" s="6">
        <v>0.56110231242673703</v>
      </c>
      <c r="L227" s="6">
        <v>0.28882973693992725</v>
      </c>
      <c r="N227" s="8">
        <f>SQRT((C227-Sheet3!$C$525)^2+(D227-Sheet3!$D$525)^2+(E227-Sheet3!$E$525)^2+(F227-Sheet3!$F$525)^2+(G227-Sheet3!$G$525)^2+(H227-Sheet3!$H$525)^2+(I227-Sheet3!$I$525)^2+(J227-Sheet3!$J$525)^2+(K227-Sheet3!$K$525)^2+(L227-Sheet3!$L$525)^2)</f>
        <v>4.8024658580478476</v>
      </c>
      <c r="O227" s="8">
        <f>SQRT((C227-Sheet3!$C$526)^2+(D227-Sheet3!$D$526)^2+(E227-Sheet3!$E$526)^2+(F227-Sheet3!$F$526)^2+(G227-Sheet3!$G$526)^2+(H227-Sheet3!$H$526)^2+(I227-Sheet3!$I$526)^2+(J227-Sheet3!$J$526)^2+(K227-Sheet3!$K$526)^2+(L227-Sheet3!$L$526)^2)</f>
        <v>2.2646746590199074</v>
      </c>
      <c r="P227" s="12">
        <f t="shared" si="3"/>
        <v>1</v>
      </c>
      <c r="Q227" s="11">
        <f>IF(P227=Sheet1!M227, 1, 0)</f>
        <v>0</v>
      </c>
    </row>
    <row r="228" spans="1:17" x14ac:dyDescent="0.35">
      <c r="A228" s="6" t="s">
        <v>247</v>
      </c>
      <c r="B228" s="6" t="s">
        <v>252</v>
      </c>
      <c r="C228" s="6">
        <v>-0.61506893840325494</v>
      </c>
      <c r="D228" s="6">
        <v>2.0152683063930339</v>
      </c>
      <c r="E228" s="6">
        <v>3.1225687248926173</v>
      </c>
      <c r="F228" s="6">
        <v>2.6581421182449327</v>
      </c>
      <c r="G228" s="6">
        <v>1.4817158370286845</v>
      </c>
      <c r="H228" s="6">
        <v>1.1293958295548123</v>
      </c>
      <c r="I228" s="6">
        <v>0.94753462734205607</v>
      </c>
      <c r="J228" s="6">
        <v>1.5451338178223459</v>
      </c>
      <c r="K228" s="6">
        <v>0.37487907470776016</v>
      </c>
      <c r="L228" s="6">
        <v>0.13427154400603661</v>
      </c>
      <c r="N228" s="8">
        <f>SQRT((C228-Sheet3!$C$525)^2+(D228-Sheet3!$D$525)^2+(E228-Sheet3!$E$525)^2+(F228-Sheet3!$F$525)^2+(G228-Sheet3!$G$525)^2+(H228-Sheet3!$H$525)^2+(I228-Sheet3!$I$525)^2+(J228-Sheet3!$J$525)^2+(K228-Sheet3!$K$525)^2+(L228-Sheet3!$L$525)^2)</f>
        <v>6.1275211333195481</v>
      </c>
      <c r="O228" s="8">
        <f>SQRT((C228-Sheet3!$C$526)^2+(D228-Sheet3!$D$526)^2+(E228-Sheet3!$E$526)^2+(F228-Sheet3!$F$526)^2+(G228-Sheet3!$G$526)^2+(H228-Sheet3!$H$526)^2+(I228-Sheet3!$I$526)^2+(J228-Sheet3!$J$526)^2+(K228-Sheet3!$K$526)^2+(L228-Sheet3!$L$526)^2)</f>
        <v>2.908865369285436</v>
      </c>
      <c r="P228" s="12">
        <f t="shared" si="3"/>
        <v>1</v>
      </c>
      <c r="Q228" s="11">
        <f>IF(P228=Sheet1!M228, 1, 0)</f>
        <v>0</v>
      </c>
    </row>
    <row r="229" spans="1:17" x14ac:dyDescent="0.35">
      <c r="A229" s="6" t="s">
        <v>253</v>
      </c>
      <c r="B229" s="6" t="s">
        <v>254</v>
      </c>
      <c r="C229" s="6">
        <v>0.38071120830113708</v>
      </c>
      <c r="D229" s="6">
        <v>-0.50735764195410882</v>
      </c>
      <c r="E229" s="6">
        <v>-0.52966957580216301</v>
      </c>
      <c r="F229" s="6">
        <v>-0.20903266860561937</v>
      </c>
      <c r="G229" s="6">
        <v>0.70067200268910856</v>
      </c>
      <c r="H229" s="6">
        <v>-0.29636943272704497</v>
      </c>
      <c r="I229" s="6">
        <v>-0.53719318890257117</v>
      </c>
      <c r="J229" s="6">
        <v>-1.1461775838033095</v>
      </c>
      <c r="K229" s="6">
        <v>1.7379079827180879</v>
      </c>
      <c r="L229" s="6">
        <v>-0.22685043175476557</v>
      </c>
      <c r="N229" s="8">
        <f>SQRT((C229-Sheet3!$C$525)^2+(D229-Sheet3!$D$525)^2+(E229-Sheet3!$E$525)^2+(F229-Sheet3!$F$525)^2+(G229-Sheet3!$G$525)^2+(H229-Sheet3!$H$525)^2+(I229-Sheet3!$I$525)^2+(J229-Sheet3!$J$525)^2+(K229-Sheet3!$K$525)^2+(L229-Sheet3!$L$525)^2)</f>
        <v>2.0635152877965748</v>
      </c>
      <c r="O229" s="8">
        <f>SQRT((C229-Sheet3!$C$526)^2+(D229-Sheet3!$D$526)^2+(E229-Sheet3!$E$526)^2+(F229-Sheet3!$F$526)^2+(G229-Sheet3!$G$526)^2+(H229-Sheet3!$H$526)^2+(I229-Sheet3!$I$526)^2+(J229-Sheet3!$J$526)^2+(K229-Sheet3!$K$526)^2+(L229-Sheet3!$L$526)^2)</f>
        <v>4.8068502990069124</v>
      </c>
      <c r="P229" s="12">
        <f t="shared" si="3"/>
        <v>0</v>
      </c>
      <c r="Q229" s="11">
        <f>IF(P229=Sheet1!M229, 1, 0)</f>
        <v>1</v>
      </c>
    </row>
    <row r="230" spans="1:17" x14ac:dyDescent="0.35">
      <c r="A230" s="6" t="s">
        <v>253</v>
      </c>
      <c r="B230" s="6" t="s">
        <v>255</v>
      </c>
      <c r="C230" s="6">
        <v>-0.27016934581157204</v>
      </c>
      <c r="D230" s="6">
        <v>-0.54418429813435942</v>
      </c>
      <c r="E230" s="6">
        <v>-0.17453968656777041</v>
      </c>
      <c r="F230" s="6">
        <v>0.17459254468067273</v>
      </c>
      <c r="G230" s="6">
        <v>0.92714567956080651</v>
      </c>
      <c r="H230" s="6">
        <v>0.55413428814301613</v>
      </c>
      <c r="I230" s="6">
        <v>0.71166116576605254</v>
      </c>
      <c r="J230" s="6">
        <v>-0.25793094349244444</v>
      </c>
      <c r="K230" s="6">
        <v>0.49537646382003891</v>
      </c>
      <c r="L230" s="6">
        <v>-0.15345528037507564</v>
      </c>
      <c r="N230" s="8">
        <f>SQRT((C230-Sheet3!$C$525)^2+(D230-Sheet3!$D$525)^2+(E230-Sheet3!$E$525)^2+(F230-Sheet3!$F$525)^2+(G230-Sheet3!$G$525)^2+(H230-Sheet3!$H$525)^2+(I230-Sheet3!$I$525)^2+(J230-Sheet3!$J$525)^2+(K230-Sheet3!$K$525)^2+(L230-Sheet3!$L$525)^2)</f>
        <v>1.8973158075053693</v>
      </c>
      <c r="O230" s="8">
        <f>SQRT((C230-Sheet3!$C$526)^2+(D230-Sheet3!$D$526)^2+(E230-Sheet3!$E$526)^2+(F230-Sheet3!$F$526)^2+(G230-Sheet3!$G$526)^2+(H230-Sheet3!$H$526)^2+(I230-Sheet3!$I$526)^2+(J230-Sheet3!$J$526)^2+(K230-Sheet3!$K$526)^2+(L230-Sheet3!$L$526)^2)</f>
        <v>3.1618159510918256</v>
      </c>
      <c r="P230" s="12">
        <f t="shared" si="3"/>
        <v>0</v>
      </c>
      <c r="Q230" s="11">
        <f>IF(P230=Sheet1!M230, 1, 0)</f>
        <v>1</v>
      </c>
    </row>
    <row r="231" spans="1:17" x14ac:dyDescent="0.35">
      <c r="A231" s="6" t="s">
        <v>253</v>
      </c>
      <c r="B231" s="6" t="s">
        <v>256</v>
      </c>
      <c r="C231" s="6">
        <v>-1.7869254732831037E-2</v>
      </c>
      <c r="D231" s="6">
        <v>-0.5380465221043178</v>
      </c>
      <c r="E231" s="6">
        <v>-0.21432602270606335</v>
      </c>
      <c r="F231" s="6">
        <v>2.0526193963286907E-2</v>
      </c>
      <c r="G231" s="6">
        <v>1.220400056022878</v>
      </c>
      <c r="H231" s="6">
        <v>-9.2765628744218259E-2</v>
      </c>
      <c r="I231" s="6">
        <v>-0.59648030221762027</v>
      </c>
      <c r="J231" s="6">
        <v>-0.5805846376224596</v>
      </c>
      <c r="K231" s="6">
        <v>0.45312413257287665</v>
      </c>
      <c r="L231" s="6">
        <v>-0.18816088174274986</v>
      </c>
      <c r="N231" s="8">
        <f>SQRT((C231-Sheet3!$C$525)^2+(D231-Sheet3!$D$525)^2+(E231-Sheet3!$E$525)^2+(F231-Sheet3!$F$525)^2+(G231-Sheet3!$G$525)^2+(H231-Sheet3!$H$525)^2+(I231-Sheet3!$I$525)^2+(J231-Sheet3!$J$525)^2+(K231-Sheet3!$K$525)^2+(L231-Sheet3!$L$525)^2)</f>
        <v>1.6696395312618408</v>
      </c>
      <c r="O231" s="8">
        <f>SQRT((C231-Sheet3!$C$526)^2+(D231-Sheet3!$D$526)^2+(E231-Sheet3!$E$526)^2+(F231-Sheet3!$F$526)^2+(G231-Sheet3!$G$526)^2+(H231-Sheet3!$H$526)^2+(I231-Sheet3!$I$526)^2+(J231-Sheet3!$J$526)^2+(K231-Sheet3!$K$526)^2+(L231-Sheet3!$L$526)^2)</f>
        <v>3.7568744970645147</v>
      </c>
      <c r="P231" s="12">
        <f t="shared" si="3"/>
        <v>0</v>
      </c>
      <c r="Q231" s="11">
        <f>IF(P231=Sheet1!M231, 1, 0)</f>
        <v>1</v>
      </c>
    </row>
    <row r="232" spans="1:17" x14ac:dyDescent="0.35">
      <c r="A232" s="6" t="s">
        <v>253</v>
      </c>
      <c r="B232" s="6" t="s">
        <v>257</v>
      </c>
      <c r="C232" s="6">
        <v>-0.63922533010228344</v>
      </c>
      <c r="D232" s="6">
        <v>-5.9299991761064347E-2</v>
      </c>
      <c r="E232" s="6">
        <v>0.17764306665637825</v>
      </c>
      <c r="F232" s="6">
        <v>0.49659121768000963</v>
      </c>
      <c r="G232" s="6">
        <v>1.3075053163581454</v>
      </c>
      <c r="H232" s="6">
        <v>0.43994379490397106</v>
      </c>
      <c r="I232" s="6">
        <v>0.78178570839675676</v>
      </c>
      <c r="J232" s="6">
        <v>-5.6746875387846736E-2</v>
      </c>
      <c r="K232" s="6">
        <v>0.43747512099985425</v>
      </c>
      <c r="L232" s="6">
        <v>0.11338360922119914</v>
      </c>
      <c r="N232" s="8">
        <f>SQRT((C232-Sheet3!$C$525)^2+(D232-Sheet3!$D$525)^2+(E232-Sheet3!$E$525)^2+(F232-Sheet3!$F$525)^2+(G232-Sheet3!$G$525)^2+(H232-Sheet3!$H$525)^2+(I232-Sheet3!$I$525)^2+(J232-Sheet3!$J$525)^2+(K232-Sheet3!$K$525)^2+(L232-Sheet3!$L$525)^2)</f>
        <v>2.4549250088847119</v>
      </c>
      <c r="O232" s="8">
        <f>SQRT((C232-Sheet3!$C$526)^2+(D232-Sheet3!$D$526)^2+(E232-Sheet3!$E$526)^2+(F232-Sheet3!$F$526)^2+(G232-Sheet3!$G$526)^2+(H232-Sheet3!$H$526)^2+(I232-Sheet3!$I$526)^2+(J232-Sheet3!$J$526)^2+(K232-Sheet3!$K$526)^2+(L232-Sheet3!$L$526)^2)</f>
        <v>2.4790967878939218</v>
      </c>
      <c r="P232" s="12">
        <f t="shared" si="3"/>
        <v>0</v>
      </c>
      <c r="Q232" s="11">
        <f>IF(P232=Sheet1!M232, 1, 0)</f>
        <v>1</v>
      </c>
    </row>
    <row r="233" spans="1:17" x14ac:dyDescent="0.35">
      <c r="A233" s="6" t="s">
        <v>253</v>
      </c>
      <c r="B233" s="6" t="s">
        <v>258</v>
      </c>
      <c r="C233" s="6">
        <v>-0.35203267323605703</v>
      </c>
      <c r="D233" s="6">
        <v>-0.57487317828456785</v>
      </c>
      <c r="E233" s="6">
        <v>0.15922346659235373</v>
      </c>
      <c r="F233" s="6">
        <v>0.17305188117349807</v>
      </c>
      <c r="G233" s="6">
        <v>1.1478123390768211</v>
      </c>
      <c r="H233" s="6">
        <v>-8.2531575104869942E-2</v>
      </c>
      <c r="I233" s="6">
        <v>0.52232490066315251</v>
      </c>
      <c r="J233" s="6">
        <v>-0.53123760204963355</v>
      </c>
      <c r="K233" s="6">
        <v>0.15266311037082919</v>
      </c>
      <c r="L233" s="6">
        <v>7.8062565987579755E-2</v>
      </c>
      <c r="N233" s="8">
        <f>SQRT((C233-Sheet3!$C$525)^2+(D233-Sheet3!$D$525)^2+(E233-Sheet3!$E$525)^2+(F233-Sheet3!$F$525)^2+(G233-Sheet3!$G$525)^2+(H233-Sheet3!$H$525)^2+(I233-Sheet3!$I$525)^2+(J233-Sheet3!$J$525)^2+(K233-Sheet3!$K$525)^2+(L233-Sheet3!$L$525)^2)</f>
        <v>1.9095003146701495</v>
      </c>
      <c r="O233" s="8">
        <f>SQRT((C233-Sheet3!$C$526)^2+(D233-Sheet3!$D$526)^2+(E233-Sheet3!$E$526)^2+(F233-Sheet3!$F$526)^2+(G233-Sheet3!$G$526)^2+(H233-Sheet3!$H$526)^2+(I233-Sheet3!$I$526)^2+(J233-Sheet3!$J$526)^2+(K233-Sheet3!$K$526)^2+(L233-Sheet3!$L$526)^2)</f>
        <v>3.123404464144258</v>
      </c>
      <c r="P233" s="12">
        <f t="shared" si="3"/>
        <v>0</v>
      </c>
      <c r="Q233" s="11">
        <f>IF(P233=Sheet1!M233, 1, 0)</f>
        <v>1</v>
      </c>
    </row>
    <row r="234" spans="1:17" x14ac:dyDescent="0.35">
      <c r="A234" s="6" t="s">
        <v>253</v>
      </c>
      <c r="B234" s="6" t="s">
        <v>259</v>
      </c>
      <c r="C234" s="6">
        <v>-8.4970342785687644E-2</v>
      </c>
      <c r="D234" s="6">
        <v>-0.21888216854214865</v>
      </c>
      <c r="E234" s="6">
        <v>0.29552850706613509</v>
      </c>
      <c r="F234" s="6">
        <v>0.40569207075675146</v>
      </c>
      <c r="G234" s="6">
        <v>0.86907550600396422</v>
      </c>
      <c r="H234" s="6">
        <v>0.52343212722497123</v>
      </c>
      <c r="I234" s="6">
        <v>0.71484864497653888</v>
      </c>
      <c r="J234" s="6">
        <v>3.4355344131216416E-2</v>
      </c>
      <c r="K234" s="6">
        <v>-1.9476016932426125E-2</v>
      </c>
      <c r="L234" s="6">
        <v>0.15457287205003942</v>
      </c>
      <c r="N234" s="8">
        <f>SQRT((C234-Sheet3!$C$525)^2+(D234-Sheet3!$D$525)^2+(E234-Sheet3!$E$525)^2+(F234-Sheet3!$F$525)^2+(G234-Sheet3!$G$525)^2+(H234-Sheet3!$H$525)^2+(I234-Sheet3!$I$525)^2+(J234-Sheet3!$J$525)^2+(K234-Sheet3!$K$525)^2+(L234-Sheet3!$L$525)^2)</f>
        <v>2.0423874363214156</v>
      </c>
      <c r="O234" s="8">
        <f>SQRT((C234-Sheet3!$C$526)^2+(D234-Sheet3!$D$526)^2+(E234-Sheet3!$E$526)^2+(F234-Sheet3!$F$526)^2+(G234-Sheet3!$G$526)^2+(H234-Sheet3!$H$526)^2+(I234-Sheet3!$I$526)^2+(J234-Sheet3!$J$526)^2+(K234-Sheet3!$K$526)^2+(L234-Sheet3!$L$526)^2)</f>
        <v>2.3781712227986676</v>
      </c>
      <c r="P234" s="12">
        <f t="shared" si="3"/>
        <v>0</v>
      </c>
      <c r="Q234" s="11">
        <f>IF(P234=Sheet1!M234, 1, 0)</f>
        <v>1</v>
      </c>
    </row>
    <row r="235" spans="1:17" x14ac:dyDescent="0.35">
      <c r="A235" s="6" t="s">
        <v>253</v>
      </c>
      <c r="B235" s="6" t="s">
        <v>260</v>
      </c>
      <c r="C235" s="6">
        <v>-0.23796082354620079</v>
      </c>
      <c r="D235" s="6">
        <v>-0.61783761049485997</v>
      </c>
      <c r="E235" s="6">
        <v>-5.9601382168257465E-2</v>
      </c>
      <c r="F235" s="6">
        <v>0.10372202335067403</v>
      </c>
      <c r="G235" s="6">
        <v>0.85746147129259331</v>
      </c>
      <c r="H235" s="6">
        <v>0.1932492387554669</v>
      </c>
      <c r="I235" s="6">
        <v>0.5739620638730345</v>
      </c>
      <c r="J235" s="6">
        <v>0.12925348946357379</v>
      </c>
      <c r="K235" s="6">
        <v>-0.15249261530312544</v>
      </c>
      <c r="L235" s="6">
        <v>0.97485760712348635</v>
      </c>
      <c r="N235" s="8">
        <f>SQRT((C235-Sheet3!$C$525)^2+(D235-Sheet3!$D$525)^2+(E235-Sheet3!$E$525)^2+(F235-Sheet3!$F$525)^2+(G235-Sheet3!$G$525)^2+(H235-Sheet3!$H$525)^2+(I235-Sheet3!$I$525)^2+(J235-Sheet3!$J$525)^2+(K235-Sheet3!$K$525)^2+(L235-Sheet3!$L$525)^2)</f>
        <v>2.1009502381367322</v>
      </c>
      <c r="O235" s="8">
        <f>SQRT((C235-Sheet3!$C$526)^2+(D235-Sheet3!$D$526)^2+(E235-Sheet3!$E$526)^2+(F235-Sheet3!$F$526)^2+(G235-Sheet3!$G$526)^2+(H235-Sheet3!$H$526)^2+(I235-Sheet3!$I$526)^2+(J235-Sheet3!$J$526)^2+(K235-Sheet3!$K$526)^2+(L235-Sheet3!$L$526)^2)</f>
        <v>2.7845506348083631</v>
      </c>
      <c r="P235" s="12">
        <f t="shared" si="3"/>
        <v>0</v>
      </c>
      <c r="Q235" s="11">
        <f>IF(P235=Sheet1!M235, 1, 0)</f>
        <v>1</v>
      </c>
    </row>
    <row r="236" spans="1:17" x14ac:dyDescent="0.35">
      <c r="A236" s="6" t="s">
        <v>253</v>
      </c>
      <c r="B236" s="6" t="s">
        <v>261</v>
      </c>
      <c r="C236" s="6">
        <v>-0.29835180279377166</v>
      </c>
      <c r="D236" s="6">
        <v>-1.0843085887780297</v>
      </c>
      <c r="E236" s="6">
        <v>-0.4132577033975281</v>
      </c>
      <c r="F236" s="6">
        <v>-0.5941985453990839</v>
      </c>
      <c r="G236" s="6">
        <v>0.16061938861044522</v>
      </c>
      <c r="H236" s="6">
        <v>0.32521466726285392</v>
      </c>
      <c r="I236" s="6">
        <v>0.67532390276650645</v>
      </c>
      <c r="J236" s="6">
        <v>-0.5881764892490482</v>
      </c>
      <c r="K236" s="6">
        <v>-0.51241988148266071</v>
      </c>
      <c r="L236" s="6">
        <v>1.3776597790438605E-2</v>
      </c>
      <c r="N236" s="8">
        <f>SQRT((C236-Sheet3!$C$525)^2+(D236-Sheet3!$D$525)^2+(E236-Sheet3!$E$525)^2+(F236-Sheet3!$F$525)^2+(G236-Sheet3!$G$525)^2+(H236-Sheet3!$H$525)^2+(I236-Sheet3!$I$525)^2+(J236-Sheet3!$J$525)^2+(K236-Sheet3!$K$525)^2+(L236-Sheet3!$L$525)^2)</f>
        <v>1.6476036284823548</v>
      </c>
      <c r="O236" s="8">
        <f>SQRT((C236-Sheet3!$C$526)^2+(D236-Sheet3!$D$526)^2+(E236-Sheet3!$E$526)^2+(F236-Sheet3!$F$526)^2+(G236-Sheet3!$G$526)^2+(H236-Sheet3!$H$526)^2+(I236-Sheet3!$I$526)^2+(J236-Sheet3!$J$526)^2+(K236-Sheet3!$K$526)^2+(L236-Sheet3!$L$526)^2)</f>
        <v>3.9108632997673953</v>
      </c>
      <c r="P236" s="12">
        <f t="shared" si="3"/>
        <v>0</v>
      </c>
      <c r="Q236" s="11">
        <f>IF(P236=Sheet1!M236, 1, 0)</f>
        <v>1</v>
      </c>
    </row>
    <row r="237" spans="1:17" x14ac:dyDescent="0.35">
      <c r="A237" s="6" t="s">
        <v>253</v>
      </c>
      <c r="B237" s="6" t="s">
        <v>262</v>
      </c>
      <c r="C237" s="6">
        <v>-0.25003901939571499</v>
      </c>
      <c r="D237" s="6">
        <v>-1.1947885573187804</v>
      </c>
      <c r="E237" s="6">
        <v>-0.33700055913246663</v>
      </c>
      <c r="F237" s="6">
        <v>-0.40161560700235166</v>
      </c>
      <c r="G237" s="6">
        <v>-0.10940691842888441</v>
      </c>
      <c r="H237" s="6">
        <v>-0.70196113748648536</v>
      </c>
      <c r="I237" s="6">
        <v>0.58734947655707759</v>
      </c>
      <c r="J237" s="6">
        <v>0.14443719271675098</v>
      </c>
      <c r="K237" s="6">
        <v>-7.7377359752613006E-2</v>
      </c>
      <c r="L237" s="6">
        <v>0.68378197996613654</v>
      </c>
      <c r="N237" s="8">
        <f>SQRT((C237-Sheet3!$C$525)^2+(D237-Sheet3!$D$525)^2+(E237-Sheet3!$E$525)^2+(F237-Sheet3!$F$525)^2+(G237-Sheet3!$G$525)^2+(H237-Sheet3!$H$525)^2+(I237-Sheet3!$I$525)^2+(J237-Sheet3!$J$525)^2+(K237-Sheet3!$K$525)^2+(L237-Sheet3!$L$525)^2)</f>
        <v>1.7201804377485546</v>
      </c>
      <c r="O237" s="8">
        <f>SQRT((C237-Sheet3!$C$526)^2+(D237-Sheet3!$D$526)^2+(E237-Sheet3!$E$526)^2+(F237-Sheet3!$F$526)^2+(G237-Sheet3!$G$526)^2+(H237-Sheet3!$H$526)^2+(I237-Sheet3!$I$526)^2+(J237-Sheet3!$J$526)^2+(K237-Sheet3!$K$526)^2+(L237-Sheet3!$L$526)^2)</f>
        <v>3.8754942199826532</v>
      </c>
      <c r="P237" s="12">
        <f t="shared" si="3"/>
        <v>0</v>
      </c>
      <c r="Q237" s="11">
        <f>IF(P237=Sheet1!M237, 1, 0)</f>
        <v>1</v>
      </c>
    </row>
    <row r="238" spans="1:17" x14ac:dyDescent="0.35">
      <c r="A238" s="6" t="s">
        <v>253</v>
      </c>
      <c r="B238" s="6" t="s">
        <v>263</v>
      </c>
      <c r="C238" s="6">
        <v>-0.56407211148308389</v>
      </c>
      <c r="D238" s="6">
        <v>-0.62397538652490159</v>
      </c>
      <c r="E238" s="6">
        <v>0.69707578846186946</v>
      </c>
      <c r="F238" s="6">
        <v>0.22389377691023513</v>
      </c>
      <c r="G238" s="6">
        <v>0.3086983311804028</v>
      </c>
      <c r="H238" s="6">
        <v>0.21264007723002179</v>
      </c>
      <c r="I238" s="6">
        <v>0.57523705555722882</v>
      </c>
      <c r="J238" s="6">
        <v>0.13684534109016222</v>
      </c>
      <c r="K238" s="6">
        <v>0.44686452794366632</v>
      </c>
      <c r="L238" s="6">
        <v>0.70012911387170906</v>
      </c>
      <c r="N238" s="8">
        <f>SQRT((C238-Sheet3!$C$525)^2+(D238-Sheet3!$D$525)^2+(E238-Sheet3!$E$525)^2+(F238-Sheet3!$F$525)^2+(G238-Sheet3!$G$525)^2+(H238-Sheet3!$H$525)^2+(I238-Sheet3!$I$525)^2+(J238-Sheet3!$J$525)^2+(K238-Sheet3!$K$525)^2+(L238-Sheet3!$L$525)^2)</f>
        <v>2.1090042562889764</v>
      </c>
      <c r="O238" s="8">
        <f>SQRT((C238-Sheet3!$C$526)^2+(D238-Sheet3!$D$526)^2+(E238-Sheet3!$E$526)^2+(F238-Sheet3!$F$526)^2+(G238-Sheet3!$G$526)^2+(H238-Sheet3!$H$526)^2+(I238-Sheet3!$I$526)^2+(J238-Sheet3!$J$526)^2+(K238-Sheet3!$K$526)^2+(L238-Sheet3!$L$526)^2)</f>
        <v>2.6677216947049236</v>
      </c>
      <c r="P238" s="12">
        <f t="shared" si="3"/>
        <v>0</v>
      </c>
      <c r="Q238" s="11">
        <f>IF(P238=Sheet1!M238, 1, 0)</f>
        <v>1</v>
      </c>
    </row>
    <row r="239" spans="1:17" x14ac:dyDescent="0.35">
      <c r="A239" s="6" t="s">
        <v>253</v>
      </c>
      <c r="B239" s="6" t="s">
        <v>264</v>
      </c>
      <c r="C239" s="6">
        <v>0.3297143813809662</v>
      </c>
      <c r="D239" s="6">
        <v>-1.5323662389710742</v>
      </c>
      <c r="E239" s="6">
        <v>0.13454120250656088</v>
      </c>
      <c r="F239" s="6">
        <v>-0.51408404302604171</v>
      </c>
      <c r="G239" s="6">
        <v>-0.80334549243318876</v>
      </c>
      <c r="H239" s="6">
        <v>-1.3133111838370364</v>
      </c>
      <c r="I239" s="6">
        <v>0.52933735492622291</v>
      </c>
      <c r="J239" s="6">
        <v>-0.22756353698609008</v>
      </c>
      <c r="K239" s="6">
        <v>0.69255400964013314</v>
      </c>
      <c r="L239" s="6">
        <v>-0.16804658500661951</v>
      </c>
      <c r="N239" s="8">
        <f>SQRT((C239-Sheet3!$C$525)^2+(D239-Sheet3!$D$525)^2+(E239-Sheet3!$E$525)^2+(F239-Sheet3!$F$525)^2+(G239-Sheet3!$G$525)^2+(H239-Sheet3!$H$525)^2+(I239-Sheet3!$I$525)^2+(J239-Sheet3!$J$525)^2+(K239-Sheet3!$K$525)^2+(L239-Sheet3!$L$525)^2)</f>
        <v>2.0055282447056446</v>
      </c>
      <c r="O239" s="8">
        <f>SQRT((C239-Sheet3!$C$526)^2+(D239-Sheet3!$D$526)^2+(E239-Sheet3!$E$526)^2+(F239-Sheet3!$F$526)^2+(G239-Sheet3!$G$526)^2+(H239-Sheet3!$H$526)^2+(I239-Sheet3!$I$526)^2+(J239-Sheet3!$J$526)^2+(K239-Sheet3!$K$526)^2+(L239-Sheet3!$L$526)^2)</f>
        <v>4.8742705550190131</v>
      </c>
      <c r="P239" s="12">
        <f t="shared" si="3"/>
        <v>0</v>
      </c>
      <c r="Q239" s="11">
        <f>IF(P239=Sheet1!M239, 1, 0)</f>
        <v>1</v>
      </c>
    </row>
    <row r="240" spans="1:17" x14ac:dyDescent="0.35">
      <c r="A240" s="6" t="s">
        <v>253</v>
      </c>
      <c r="B240" s="6" t="s">
        <v>265</v>
      </c>
      <c r="C240" s="6">
        <v>4.7889811558968473E-2</v>
      </c>
      <c r="D240" s="6">
        <v>-1.1149974689282383</v>
      </c>
      <c r="E240" s="6">
        <v>-0.12112284638209933</v>
      </c>
      <c r="F240" s="6">
        <v>-0.33074508567235295</v>
      </c>
      <c r="G240" s="6">
        <v>-0.12102095314025532</v>
      </c>
      <c r="H240" s="6">
        <v>-0.93788300559357041</v>
      </c>
      <c r="I240" s="6">
        <v>0.87613509302715742</v>
      </c>
      <c r="J240" s="6">
        <v>-0.52364575042304495</v>
      </c>
      <c r="K240" s="6">
        <v>0.338886348089806</v>
      </c>
      <c r="L240" s="6">
        <v>-0.17234719765172146</v>
      </c>
      <c r="N240" s="8">
        <f>SQRT((C240-Sheet3!$C$525)^2+(D240-Sheet3!$D$525)^2+(E240-Sheet3!$E$525)^2+(F240-Sheet3!$F$525)^2+(G240-Sheet3!$G$525)^2+(H240-Sheet3!$H$525)^2+(I240-Sheet3!$I$525)^2+(J240-Sheet3!$J$525)^2+(K240-Sheet3!$K$525)^2+(L240-Sheet3!$L$525)^2)</f>
        <v>1.5763921430093835</v>
      </c>
      <c r="O240" s="8">
        <f>SQRT((C240-Sheet3!$C$526)^2+(D240-Sheet3!$D$526)^2+(E240-Sheet3!$E$526)^2+(F240-Sheet3!$F$526)^2+(G240-Sheet3!$G$526)^2+(H240-Sheet3!$H$526)^2+(I240-Sheet3!$I$526)^2+(J240-Sheet3!$J$526)^2+(K240-Sheet3!$K$526)^2+(L240-Sheet3!$L$526)^2)</f>
        <v>4.2504833076345836</v>
      </c>
      <c r="P240" s="12">
        <f t="shared" si="3"/>
        <v>0</v>
      </c>
      <c r="Q240" s="11">
        <f>IF(P240=Sheet1!M240, 1, 0)</f>
        <v>1</v>
      </c>
    </row>
    <row r="241" spans="1:17" x14ac:dyDescent="0.35">
      <c r="A241" s="6" t="s">
        <v>253</v>
      </c>
      <c r="B241" s="6" t="s">
        <v>266</v>
      </c>
      <c r="C241" s="6">
        <v>0.89067947750284748</v>
      </c>
      <c r="D241" s="6">
        <v>-1.4218862704303237</v>
      </c>
      <c r="E241" s="6">
        <v>0.23732257086381767</v>
      </c>
      <c r="F241" s="6">
        <v>-0.56492593876277875</v>
      </c>
      <c r="G241" s="6">
        <v>-0.66688058457460209</v>
      </c>
      <c r="H241" s="6">
        <v>-0.81130392110689231</v>
      </c>
      <c r="I241" s="6">
        <v>0.51276246303169348</v>
      </c>
      <c r="J241" s="6">
        <v>-0.19340020466644148</v>
      </c>
      <c r="K241" s="6">
        <v>0.59083543441548092</v>
      </c>
      <c r="L241" s="6">
        <v>3.5528019202226022E-2</v>
      </c>
      <c r="N241" s="8">
        <f>SQRT((C241-Sheet3!$C$525)^2+(D241-Sheet3!$D$525)^2+(E241-Sheet3!$E$525)^2+(F241-Sheet3!$F$525)^2+(G241-Sheet3!$G$525)^2+(H241-Sheet3!$H$525)^2+(I241-Sheet3!$I$525)^2+(J241-Sheet3!$J$525)^2+(K241-Sheet3!$K$525)^2+(L241-Sheet3!$L$525)^2)</f>
        <v>1.8237629523136258</v>
      </c>
      <c r="O241" s="8">
        <f>SQRT((C241-Sheet3!$C$526)^2+(D241-Sheet3!$D$526)^2+(E241-Sheet3!$E$526)^2+(F241-Sheet3!$F$526)^2+(G241-Sheet3!$G$526)^2+(H241-Sheet3!$H$526)^2+(I241-Sheet3!$I$526)^2+(J241-Sheet3!$J$526)^2+(K241-Sheet3!$K$526)^2+(L241-Sheet3!$L$526)^2)</f>
        <v>4.6612828197034784</v>
      </c>
      <c r="P241" s="12">
        <f t="shared" si="3"/>
        <v>0</v>
      </c>
      <c r="Q241" s="11">
        <f>IF(P241=Sheet1!M241, 1, 0)</f>
        <v>1</v>
      </c>
    </row>
    <row r="242" spans="1:17" x14ac:dyDescent="0.35">
      <c r="A242" s="6" t="s">
        <v>253</v>
      </c>
      <c r="B242" s="6" t="s">
        <v>267</v>
      </c>
      <c r="C242" s="6">
        <v>-0.34532256443077147</v>
      </c>
      <c r="D242" s="6">
        <v>-0.6301131625549431</v>
      </c>
      <c r="E242" s="6">
        <v>-1.0236853996671774E-2</v>
      </c>
      <c r="F242" s="6">
        <v>-0.15356878234735838</v>
      </c>
      <c r="G242" s="6">
        <v>0.17223342332181613</v>
      </c>
      <c r="H242" s="6">
        <v>0.30797836639658327</v>
      </c>
      <c r="I242" s="6">
        <v>0.77923572502836713</v>
      </c>
      <c r="J242" s="6">
        <v>0.36839681570111432</v>
      </c>
      <c r="K242" s="6">
        <v>-6.7987952808798685E-2</v>
      </c>
      <c r="L242" s="6">
        <v>1.7899966096458755</v>
      </c>
      <c r="N242" s="8">
        <f>SQRT((C242-Sheet3!$C$525)^2+(D242-Sheet3!$D$525)^2+(E242-Sheet3!$E$525)^2+(F242-Sheet3!$F$525)^2+(G242-Sheet3!$G$525)^2+(H242-Sheet3!$H$525)^2+(I242-Sheet3!$I$525)^2+(J242-Sheet3!$J$525)^2+(K242-Sheet3!$K$525)^2+(L242-Sheet3!$L$525)^2)</f>
        <v>2.5736224092058761</v>
      </c>
      <c r="O242" s="8">
        <f>SQRT((C242-Sheet3!$C$526)^2+(D242-Sheet3!$D$526)^2+(E242-Sheet3!$E$526)^2+(F242-Sheet3!$F$526)^2+(G242-Sheet3!$G$526)^2+(H242-Sheet3!$H$526)^2+(I242-Sheet3!$I$526)^2+(J242-Sheet3!$J$526)^2+(K242-Sheet3!$K$526)^2+(L242-Sheet3!$L$526)^2)</f>
        <v>3.0603071750095014</v>
      </c>
      <c r="P242" s="12">
        <f t="shared" si="3"/>
        <v>0</v>
      </c>
      <c r="Q242" s="11">
        <f>IF(P242=Sheet1!M242, 1, 0)</f>
        <v>1</v>
      </c>
    </row>
    <row r="243" spans="1:17" x14ac:dyDescent="0.35">
      <c r="A243" s="6" t="s">
        <v>253</v>
      </c>
      <c r="B243" s="6" t="s">
        <v>268</v>
      </c>
      <c r="C243" s="6">
        <v>-0.85126476834931031</v>
      </c>
      <c r="D243" s="6">
        <v>1.4014907033888628</v>
      </c>
      <c r="E243" s="6">
        <v>1.566849303485107</v>
      </c>
      <c r="F243" s="6">
        <v>1.6520888480604032</v>
      </c>
      <c r="G243" s="6">
        <v>1.2784702295797243</v>
      </c>
      <c r="H243" s="6">
        <v>0.9613418961086696</v>
      </c>
      <c r="I243" s="6">
        <v>0.74481094955511218</v>
      </c>
      <c r="J243" s="6">
        <v>2.2056249093355524</v>
      </c>
      <c r="K243" s="6">
        <v>-0.46860264907819527</v>
      </c>
      <c r="L243" s="6">
        <v>2.4872652682932488</v>
      </c>
      <c r="N243" s="8">
        <f>SQRT((C243-Sheet3!$C$525)^2+(D243-Sheet3!$D$525)^2+(E243-Sheet3!$E$525)^2+(F243-Sheet3!$F$525)^2+(G243-Sheet3!$G$525)^2+(H243-Sheet3!$H$525)^2+(I243-Sheet3!$I$525)^2+(J243-Sheet3!$J$525)^2+(K243-Sheet3!$K$525)^2+(L243-Sheet3!$L$525)^2)</f>
        <v>5.5621683111402556</v>
      </c>
      <c r="O243" s="8">
        <f>SQRT((C243-Sheet3!$C$526)^2+(D243-Sheet3!$D$526)^2+(E243-Sheet3!$E$526)^2+(F243-Sheet3!$F$526)^2+(G243-Sheet3!$G$526)^2+(H243-Sheet3!$H$526)^2+(I243-Sheet3!$I$526)^2+(J243-Sheet3!$J$526)^2+(K243-Sheet3!$K$526)^2+(L243-Sheet3!$L$526)^2)</f>
        <v>2.2040045754740802</v>
      </c>
      <c r="P243" s="12">
        <f t="shared" si="3"/>
        <v>1</v>
      </c>
      <c r="Q243" s="11">
        <f>IF(P243=Sheet1!M243, 1, 0)</f>
        <v>0</v>
      </c>
    </row>
    <row r="244" spans="1:17" x14ac:dyDescent="0.35">
      <c r="A244" s="6" t="s">
        <v>253</v>
      </c>
      <c r="B244" s="6" t="s">
        <v>269</v>
      </c>
      <c r="C244" s="6">
        <v>-0.22185656241351531</v>
      </c>
      <c r="D244" s="6">
        <v>0.12483328914018736</v>
      </c>
      <c r="E244" s="6">
        <v>0.92805757326473681</v>
      </c>
      <c r="F244" s="6">
        <v>0.65065756839739541</v>
      </c>
      <c r="G244" s="6">
        <v>0.85165445393690997</v>
      </c>
      <c r="H244" s="6">
        <v>0.54605477211195208</v>
      </c>
      <c r="I244" s="6">
        <v>0.84362280508019538</v>
      </c>
      <c r="J244" s="6">
        <v>0.1823964508496938</v>
      </c>
      <c r="K244" s="6">
        <v>0.15735781384273634</v>
      </c>
      <c r="L244" s="6">
        <v>0.79891311232576523</v>
      </c>
      <c r="N244" s="8">
        <f>SQRT((C244-Sheet3!$C$525)^2+(D244-Sheet3!$D$525)^2+(E244-Sheet3!$E$525)^2+(F244-Sheet3!$F$525)^2+(G244-Sheet3!$G$525)^2+(H244-Sheet3!$H$525)^2+(I244-Sheet3!$I$525)^2+(J244-Sheet3!$J$525)^2+(K244-Sheet3!$K$525)^2+(L244-Sheet3!$L$525)^2)</f>
        <v>2.720379510190825</v>
      </c>
      <c r="O244" s="8">
        <f>SQRT((C244-Sheet3!$C$526)^2+(D244-Sheet3!$D$526)^2+(E244-Sheet3!$E$526)^2+(F244-Sheet3!$F$526)^2+(G244-Sheet3!$G$526)^2+(H244-Sheet3!$H$526)^2+(I244-Sheet3!$I$526)^2+(J244-Sheet3!$J$526)^2+(K244-Sheet3!$K$526)^2+(L244-Sheet3!$L$526)^2)</f>
        <v>1.7830038547301708</v>
      </c>
      <c r="P244" s="12">
        <f t="shared" si="3"/>
        <v>1</v>
      </c>
      <c r="Q244" s="11">
        <f>IF(P244=Sheet1!M244, 1, 0)</f>
        <v>0</v>
      </c>
    </row>
    <row r="245" spans="1:17" x14ac:dyDescent="0.35">
      <c r="A245" s="6" t="s">
        <v>253</v>
      </c>
      <c r="B245" s="6" t="s">
        <v>270</v>
      </c>
      <c r="C245" s="6">
        <v>-0.30506191159905743</v>
      </c>
      <c r="D245" s="6">
        <v>6.9593304869812064E-2</v>
      </c>
      <c r="E245" s="6">
        <v>0.39388917140802598</v>
      </c>
      <c r="F245" s="6">
        <v>0.54281112289522493</v>
      </c>
      <c r="G245" s="6">
        <v>0.82261936715848472</v>
      </c>
      <c r="H245" s="6">
        <v>0.74050179125957216</v>
      </c>
      <c r="I245" s="6">
        <v>0.9118348601846068</v>
      </c>
      <c r="J245" s="6">
        <v>0.77076495191030947</v>
      </c>
      <c r="K245" s="6">
        <v>0.19178563930338741</v>
      </c>
      <c r="L245" s="6">
        <v>0.13768501686359072</v>
      </c>
      <c r="N245" s="8">
        <f>SQRT((C245-Sheet3!$C$525)^2+(D245-Sheet3!$D$525)^2+(E245-Sheet3!$E$525)^2+(F245-Sheet3!$F$525)^2+(G245-Sheet3!$G$525)^2+(H245-Sheet3!$H$525)^2+(I245-Sheet3!$I$525)^2+(J245-Sheet3!$J$525)^2+(K245-Sheet3!$K$525)^2+(L245-Sheet3!$L$525)^2)</f>
        <v>2.5661367169569473</v>
      </c>
      <c r="O245" s="8">
        <f>SQRT((C245-Sheet3!$C$526)^2+(D245-Sheet3!$D$526)^2+(E245-Sheet3!$E$526)^2+(F245-Sheet3!$F$526)^2+(G245-Sheet3!$G$526)^2+(H245-Sheet3!$H$526)^2+(I245-Sheet3!$I$526)^2+(J245-Sheet3!$J$526)^2+(K245-Sheet3!$K$526)^2+(L245-Sheet3!$L$526)^2)</f>
        <v>1.899929206419096</v>
      </c>
      <c r="P245" s="12">
        <f t="shared" si="3"/>
        <v>1</v>
      </c>
      <c r="Q245" s="11">
        <f>IF(P245=Sheet1!M245, 1, 0)</f>
        <v>0</v>
      </c>
    </row>
    <row r="246" spans="1:17" x14ac:dyDescent="0.35">
      <c r="A246" s="6" t="s">
        <v>253</v>
      </c>
      <c r="B246" s="6" t="s">
        <v>271</v>
      </c>
      <c r="C246" s="6">
        <v>-5.6787885803487995E-2</v>
      </c>
      <c r="D246" s="6">
        <v>-0.40301544944339984</v>
      </c>
      <c r="E246" s="6">
        <v>0.68049814840424738</v>
      </c>
      <c r="F246" s="6">
        <v>0.31479292383349328</v>
      </c>
      <c r="G246" s="6">
        <v>0.56420709483052189</v>
      </c>
      <c r="H246" s="6">
        <v>0.2498058509729186</v>
      </c>
      <c r="I246" s="6">
        <v>0.88569753065861745</v>
      </c>
      <c r="J246" s="6">
        <v>-3.0175394694786566E-2</v>
      </c>
      <c r="K246" s="6">
        <v>-0.81757560715661526</v>
      </c>
      <c r="L246" s="6">
        <v>-6.9442346394103502E-2</v>
      </c>
      <c r="N246" s="8">
        <f>SQRT((C246-Sheet3!$C$525)^2+(D246-Sheet3!$D$525)^2+(E246-Sheet3!$E$525)^2+(F246-Sheet3!$F$525)^2+(G246-Sheet3!$G$525)^2+(H246-Sheet3!$H$525)^2+(I246-Sheet3!$I$525)^2+(J246-Sheet3!$J$525)^2+(K246-Sheet3!$K$525)^2+(L246-Sheet3!$L$525)^2)</f>
        <v>2.2072179804247898</v>
      </c>
      <c r="O246" s="8">
        <f>SQRT((C246-Sheet3!$C$526)^2+(D246-Sheet3!$D$526)^2+(E246-Sheet3!$E$526)^2+(F246-Sheet3!$F$526)^2+(G246-Sheet3!$G$526)^2+(H246-Sheet3!$H$526)^2+(I246-Sheet3!$I$526)^2+(J246-Sheet3!$J$526)^2+(K246-Sheet3!$K$526)^2+(L246-Sheet3!$L$526)^2)</f>
        <v>2.515931586021467</v>
      </c>
      <c r="P246" s="12">
        <f t="shared" si="3"/>
        <v>0</v>
      </c>
      <c r="Q246" s="11">
        <f>IF(P246=Sheet1!M246, 1, 0)</f>
        <v>1</v>
      </c>
    </row>
    <row r="247" spans="1:17" x14ac:dyDescent="0.35">
      <c r="A247" s="6" t="s">
        <v>253</v>
      </c>
      <c r="B247" s="6" t="s">
        <v>272</v>
      </c>
      <c r="C247" s="6">
        <v>-4.8735755237145136E-2</v>
      </c>
      <c r="D247" s="6">
        <v>-0.37846434532323298</v>
      </c>
      <c r="E247" s="6">
        <v>0.49114465974607541</v>
      </c>
      <c r="F247" s="6">
        <v>0.30092695226892807</v>
      </c>
      <c r="G247" s="6">
        <v>0.53517200805210074</v>
      </c>
      <c r="H247" s="6">
        <v>0.64031579247437176</v>
      </c>
      <c r="I247" s="6">
        <v>0.63516166471437552</v>
      </c>
      <c r="J247" s="6">
        <v>-2.6379468881492351E-2</v>
      </c>
      <c r="K247" s="6">
        <v>-0.26516549862889294</v>
      </c>
      <c r="L247" s="6">
        <v>-0.17952471998212227</v>
      </c>
      <c r="N247" s="8">
        <f>SQRT((C247-Sheet3!$C$525)^2+(D247-Sheet3!$D$525)^2+(E247-Sheet3!$E$525)^2+(F247-Sheet3!$F$525)^2+(G247-Sheet3!$G$525)^2+(H247-Sheet3!$H$525)^2+(I247-Sheet3!$I$525)^2+(J247-Sheet3!$J$525)^2+(K247-Sheet3!$K$525)^2+(L247-Sheet3!$L$525)^2)</f>
        <v>1.9099782488945531</v>
      </c>
      <c r="O247" s="8">
        <f>SQRT((C247-Sheet3!$C$526)^2+(D247-Sheet3!$D$526)^2+(E247-Sheet3!$E$526)^2+(F247-Sheet3!$F$526)^2+(G247-Sheet3!$G$526)^2+(H247-Sheet3!$H$526)^2+(I247-Sheet3!$I$526)^2+(J247-Sheet3!$J$526)^2+(K247-Sheet3!$K$526)^2+(L247-Sheet3!$L$526)^2)</f>
        <v>2.5616653851942748</v>
      </c>
      <c r="P247" s="12">
        <f t="shared" si="3"/>
        <v>0</v>
      </c>
      <c r="Q247" s="11">
        <f>IF(P247=Sheet1!M247, 1, 0)</f>
        <v>1</v>
      </c>
    </row>
    <row r="248" spans="1:17" x14ac:dyDescent="0.35">
      <c r="A248" s="6" t="s">
        <v>253</v>
      </c>
      <c r="B248" s="6" t="s">
        <v>273</v>
      </c>
      <c r="C248" s="6">
        <v>-0.21648847536928667</v>
      </c>
      <c r="D248" s="6">
        <v>-4.7024439700981191E-2</v>
      </c>
      <c r="E248" s="6">
        <v>0.5556132599701612</v>
      </c>
      <c r="F248" s="6">
        <v>0.65065756839739541</v>
      </c>
      <c r="G248" s="6">
        <v>0.86907550600396422</v>
      </c>
      <c r="H248" s="6">
        <v>0.603150018731475</v>
      </c>
      <c r="I248" s="6">
        <v>0.94115966892108338</v>
      </c>
      <c r="J248" s="6">
        <v>-0.4553190857837478</v>
      </c>
      <c r="K248" s="6">
        <v>0.60178974251659834</v>
      </c>
      <c r="L248" s="6">
        <v>-0.17859067087872441</v>
      </c>
      <c r="N248" s="8">
        <f>SQRT((C248-Sheet3!$C$525)^2+(D248-Sheet3!$D$525)^2+(E248-Sheet3!$E$525)^2+(F248-Sheet3!$F$525)^2+(G248-Sheet3!$G$525)^2+(H248-Sheet3!$H$525)^2+(I248-Sheet3!$I$525)^2+(J248-Sheet3!$J$525)^2+(K248-Sheet3!$K$525)^2+(L248-Sheet3!$L$525)^2)</f>
        <v>2.3804717756794691</v>
      </c>
      <c r="O248" s="8">
        <f>SQRT((C248-Sheet3!$C$526)^2+(D248-Sheet3!$D$526)^2+(E248-Sheet3!$E$526)^2+(F248-Sheet3!$F$526)^2+(G248-Sheet3!$G$526)^2+(H248-Sheet3!$H$526)^2+(I248-Sheet3!$I$526)^2+(J248-Sheet3!$J$526)^2+(K248-Sheet3!$K$526)^2+(L248-Sheet3!$L$526)^2)</f>
        <v>2.6896592706371401</v>
      </c>
      <c r="P248" s="12">
        <f t="shared" si="3"/>
        <v>0</v>
      </c>
      <c r="Q248" s="11">
        <f>IF(P248=Sheet1!M248, 1, 0)</f>
        <v>1</v>
      </c>
    </row>
    <row r="249" spans="1:17" x14ac:dyDescent="0.35">
      <c r="A249" s="6" t="s">
        <v>253</v>
      </c>
      <c r="B249" s="6" t="s">
        <v>274</v>
      </c>
      <c r="C249" s="6">
        <v>0.4424442093097653</v>
      </c>
      <c r="D249" s="6">
        <v>-0.72217980300556894</v>
      </c>
      <c r="E249" s="6">
        <v>0.41783465149125787</v>
      </c>
      <c r="F249" s="6">
        <v>0.17151121766632563</v>
      </c>
      <c r="G249" s="6">
        <v>0.79939129773574702</v>
      </c>
      <c r="H249" s="6">
        <v>0.1156858848572466</v>
      </c>
      <c r="I249" s="6">
        <v>0.9424346606052777</v>
      </c>
      <c r="J249" s="6">
        <v>-0.30727797906527027</v>
      </c>
      <c r="K249" s="6">
        <v>0.53449899275259716</v>
      </c>
      <c r="L249" s="6">
        <v>-0.17009843400343092</v>
      </c>
      <c r="N249" s="8">
        <f>SQRT((C249-Sheet3!$C$525)^2+(D249-Sheet3!$D$525)^2+(E249-Sheet3!$E$525)^2+(F249-Sheet3!$F$525)^2+(G249-Sheet3!$G$525)^2+(H249-Sheet3!$H$525)^2+(I249-Sheet3!$I$525)^2+(J249-Sheet3!$J$525)^2+(K249-Sheet3!$K$525)^2+(L249-Sheet3!$L$525)^2)</f>
        <v>1.9581323095831373</v>
      </c>
      <c r="O249" s="8">
        <f>SQRT((C249-Sheet3!$C$526)^2+(D249-Sheet3!$D$526)^2+(E249-Sheet3!$E$526)^2+(F249-Sheet3!$F$526)^2+(G249-Sheet3!$G$526)^2+(H249-Sheet3!$H$526)^2+(I249-Sheet3!$I$526)^2+(J249-Sheet3!$J$526)^2+(K249-Sheet3!$K$526)^2+(L249-Sheet3!$L$526)^2)</f>
        <v>3.3295442983422179</v>
      </c>
      <c r="P249" s="12">
        <f t="shared" si="3"/>
        <v>0</v>
      </c>
      <c r="Q249" s="11">
        <f>IF(P249=Sheet1!M249, 1, 0)</f>
        <v>1</v>
      </c>
    </row>
    <row r="250" spans="1:17" x14ac:dyDescent="0.35">
      <c r="A250" s="6" t="s">
        <v>253</v>
      </c>
      <c r="B250" s="6" t="s">
        <v>275</v>
      </c>
      <c r="C250" s="6">
        <v>0.13377920426662479</v>
      </c>
      <c r="D250" s="6">
        <v>-0.6485264906450684</v>
      </c>
      <c r="E250" s="6">
        <v>-3.8234646093989029E-2</v>
      </c>
      <c r="F250" s="6">
        <v>-5.1884990873884256E-2</v>
      </c>
      <c r="G250" s="6">
        <v>0.59904919896463049</v>
      </c>
      <c r="H250" s="6">
        <v>0.74104042566164263</v>
      </c>
      <c r="I250" s="6">
        <v>0.77158577492319913</v>
      </c>
      <c r="J250" s="6">
        <v>-9.0910207707495333E-2</v>
      </c>
      <c r="K250" s="6">
        <v>0.37174927239315614</v>
      </c>
      <c r="L250" s="6">
        <v>0.91677793991597745</v>
      </c>
      <c r="N250" s="8">
        <f>SQRT((C250-Sheet3!$C$525)^2+(D250-Sheet3!$D$525)^2+(E250-Sheet3!$E$525)^2+(F250-Sheet3!$F$525)^2+(G250-Sheet3!$G$525)^2+(H250-Sheet3!$H$525)^2+(I250-Sheet3!$I$525)^2+(J250-Sheet3!$J$525)^2+(K250-Sheet3!$K$525)^2+(L250-Sheet3!$L$525)^2)</f>
        <v>2.0837439229550028</v>
      </c>
      <c r="O250" s="8">
        <f>SQRT((C250-Sheet3!$C$526)^2+(D250-Sheet3!$D$526)^2+(E250-Sheet3!$E$526)^2+(F250-Sheet3!$F$526)^2+(G250-Sheet3!$G$526)^2+(H250-Sheet3!$H$526)^2+(I250-Sheet3!$I$526)^2+(J250-Sheet3!$J$526)^2+(K250-Sheet3!$K$526)^2+(L250-Sheet3!$L$526)^2)</f>
        <v>3.1094006791688122</v>
      </c>
      <c r="P250" s="12">
        <f t="shared" si="3"/>
        <v>0</v>
      </c>
      <c r="Q250" s="11">
        <f>IF(P250=Sheet1!M250, 1, 0)</f>
        <v>1</v>
      </c>
    </row>
    <row r="251" spans="1:17" x14ac:dyDescent="0.35">
      <c r="A251" s="6" t="s">
        <v>253</v>
      </c>
      <c r="B251" s="6" t="s">
        <v>276</v>
      </c>
      <c r="C251" s="6">
        <v>0.54175381962799285</v>
      </c>
      <c r="D251" s="6">
        <v>-0.77128201124590268</v>
      </c>
      <c r="E251" s="6">
        <v>2.0339682109608917E-2</v>
      </c>
      <c r="F251" s="6">
        <v>-0.15665010936170767</v>
      </c>
      <c r="G251" s="6">
        <v>0.5525930601191551</v>
      </c>
      <c r="H251" s="6">
        <v>0.3553781937788284</v>
      </c>
      <c r="I251" s="6">
        <v>0.71803612418702611</v>
      </c>
      <c r="J251" s="6">
        <v>-0.14405316909361568</v>
      </c>
      <c r="K251" s="6">
        <v>0.67377519575250444</v>
      </c>
      <c r="L251" s="6">
        <v>0.46012107834554333</v>
      </c>
      <c r="N251" s="8">
        <f>SQRT((C251-Sheet3!$C$525)^2+(D251-Sheet3!$D$525)^2+(E251-Sheet3!$E$525)^2+(F251-Sheet3!$F$525)^2+(G251-Sheet3!$G$525)^2+(H251-Sheet3!$H$525)^2+(I251-Sheet3!$I$525)^2+(J251-Sheet3!$J$525)^2+(K251-Sheet3!$K$525)^2+(L251-Sheet3!$L$525)^2)</f>
        <v>1.7635481140200229</v>
      </c>
      <c r="O251" s="8">
        <f>SQRT((C251-Sheet3!$C$526)^2+(D251-Sheet3!$D$526)^2+(E251-Sheet3!$E$526)^2+(F251-Sheet3!$F$526)^2+(G251-Sheet3!$G$526)^2+(H251-Sheet3!$H$526)^2+(I251-Sheet3!$I$526)^2+(J251-Sheet3!$J$526)^2+(K251-Sheet3!$K$526)^2+(L251-Sheet3!$L$526)^2)</f>
        <v>3.4771285205641091</v>
      </c>
      <c r="P251" s="12">
        <f t="shared" si="3"/>
        <v>0</v>
      </c>
      <c r="Q251" s="11">
        <f>IF(P251=Sheet1!M251, 1, 0)</f>
        <v>1</v>
      </c>
    </row>
    <row r="252" spans="1:17" x14ac:dyDescent="0.35">
      <c r="A252" s="6" t="s">
        <v>253</v>
      </c>
      <c r="B252" s="6" t="s">
        <v>277</v>
      </c>
      <c r="C252" s="6">
        <v>0.21295848816899557</v>
      </c>
      <c r="D252" s="6">
        <v>-0.24343327266231607</v>
      </c>
      <c r="E252" s="6">
        <v>0.43662264355656288</v>
      </c>
      <c r="F252" s="6">
        <v>0.49196922715848784</v>
      </c>
      <c r="G252" s="6">
        <v>0.82261936715848472</v>
      </c>
      <c r="H252" s="6">
        <v>0.67317249100070098</v>
      </c>
      <c r="I252" s="6">
        <v>-0.20123288011729001</v>
      </c>
      <c r="J252" s="6">
        <v>-6.0542801201140951E-2</v>
      </c>
      <c r="K252" s="6">
        <v>0.19648034277529458</v>
      </c>
      <c r="L252" s="6">
        <v>0.12395897493554346</v>
      </c>
      <c r="N252" s="8">
        <f>SQRT((C252-Sheet3!$C$525)^2+(D252-Sheet3!$D$525)^2+(E252-Sheet3!$E$525)^2+(F252-Sheet3!$F$525)^2+(G252-Sheet3!$G$525)^2+(H252-Sheet3!$H$525)^2+(I252-Sheet3!$I$525)^2+(J252-Sheet3!$J$525)^2+(K252-Sheet3!$K$525)^2+(L252-Sheet3!$L$525)^2)</f>
        <v>1.8908637545308891</v>
      </c>
      <c r="O252" s="8">
        <f>SQRT((C252-Sheet3!$C$526)^2+(D252-Sheet3!$D$526)^2+(E252-Sheet3!$E$526)^2+(F252-Sheet3!$F$526)^2+(G252-Sheet3!$G$526)^2+(H252-Sheet3!$H$526)^2+(I252-Sheet3!$I$526)^2+(J252-Sheet3!$J$526)^2+(K252-Sheet3!$K$526)^2+(L252-Sheet3!$L$526)^2)</f>
        <v>2.677608859316948</v>
      </c>
      <c r="P252" s="12">
        <f t="shared" si="3"/>
        <v>0</v>
      </c>
      <c r="Q252" s="11">
        <f>IF(P252=Sheet1!M252, 1, 0)</f>
        <v>1</v>
      </c>
    </row>
    <row r="253" spans="1:17" x14ac:dyDescent="0.35">
      <c r="A253" s="6" t="s">
        <v>253</v>
      </c>
      <c r="B253" s="6" t="s">
        <v>278</v>
      </c>
      <c r="C253" s="6">
        <v>1.9707354576768584E-2</v>
      </c>
      <c r="D253" s="6">
        <v>0.68950868390402453</v>
      </c>
      <c r="E253" s="6">
        <v>1.0886764858230307</v>
      </c>
      <c r="F253" s="6">
        <v>1.0127134925832513</v>
      </c>
      <c r="G253" s="6">
        <v>0.87488252335964767</v>
      </c>
      <c r="H253" s="6">
        <v>0.77335848978590138</v>
      </c>
      <c r="I253" s="6">
        <v>0.24565170519292129</v>
      </c>
      <c r="J253" s="6">
        <v>1.1161942009200903</v>
      </c>
      <c r="K253" s="6">
        <v>-5.3919065167046297E-3</v>
      </c>
      <c r="L253" s="6">
        <v>1.6581159889102921</v>
      </c>
      <c r="N253" s="8">
        <f>SQRT((C253-Sheet3!$C$525)^2+(D253-Sheet3!$D$525)^2+(E253-Sheet3!$E$525)^2+(F253-Sheet3!$F$525)^2+(G253-Sheet3!$G$525)^2+(H253-Sheet3!$H$525)^2+(I253-Sheet3!$I$525)^2+(J253-Sheet3!$J$525)^2+(K253-Sheet3!$K$525)^2+(L253-Sheet3!$L$525)^2)</f>
        <v>3.6497564675062448</v>
      </c>
      <c r="O253" s="8">
        <f>SQRT((C253-Sheet3!$C$526)^2+(D253-Sheet3!$D$526)^2+(E253-Sheet3!$E$526)^2+(F253-Sheet3!$F$526)^2+(G253-Sheet3!$G$526)^2+(H253-Sheet3!$H$526)^2+(I253-Sheet3!$I$526)^2+(J253-Sheet3!$J$526)^2+(K253-Sheet3!$K$526)^2+(L253-Sheet3!$L$526)^2)</f>
        <v>1.485949986805555</v>
      </c>
      <c r="P253" s="12">
        <f t="shared" si="3"/>
        <v>1</v>
      </c>
      <c r="Q253" s="11">
        <f>IF(P253=Sheet1!M253, 1, 0)</f>
        <v>0</v>
      </c>
    </row>
    <row r="254" spans="1:17" x14ac:dyDescent="0.35">
      <c r="A254" s="6" t="s">
        <v>253</v>
      </c>
      <c r="B254" s="6" t="s">
        <v>279</v>
      </c>
      <c r="C254" s="6">
        <v>1.2476572659440446</v>
      </c>
      <c r="D254" s="6">
        <v>-1.5200906869109911</v>
      </c>
      <c r="E254" s="6">
        <v>-0.60850546407618789</v>
      </c>
      <c r="F254" s="6">
        <v>-0.85765200512581274</v>
      </c>
      <c r="G254" s="6">
        <v>0.16352289728828898</v>
      </c>
      <c r="H254" s="6">
        <v>-2.0340040138079942</v>
      </c>
      <c r="I254" s="6">
        <v>0.78114821255465916</v>
      </c>
      <c r="J254" s="6">
        <v>1.1427656816131504</v>
      </c>
      <c r="K254" s="6">
        <v>-0.12588929562898557</v>
      </c>
      <c r="L254" s="6">
        <v>-0.10053216933804988</v>
      </c>
      <c r="N254" s="8">
        <f>SQRT((C254-Sheet3!$C$525)^2+(D254-Sheet3!$D$525)^2+(E254-Sheet3!$E$525)^2+(F254-Sheet3!$F$525)^2+(G254-Sheet3!$G$525)^2+(H254-Sheet3!$H$525)^2+(I254-Sheet3!$I$525)^2+(J254-Sheet3!$J$525)^2+(K254-Sheet3!$K$525)^2+(L254-Sheet3!$L$525)^2)</f>
        <v>3.0916249087954188</v>
      </c>
      <c r="O254" s="8">
        <f>SQRT((C254-Sheet3!$C$526)^2+(D254-Sheet3!$D$526)^2+(E254-Sheet3!$E$526)^2+(F254-Sheet3!$F$526)^2+(G254-Sheet3!$G$526)^2+(H254-Sheet3!$H$526)^2+(I254-Sheet3!$I$526)^2+(J254-Sheet3!$J$526)^2+(K254-Sheet3!$K$526)^2+(L254-Sheet3!$L$526)^2)</f>
        <v>5.2478966533377456</v>
      </c>
      <c r="P254" s="12">
        <f t="shared" si="3"/>
        <v>0</v>
      </c>
      <c r="Q254" s="11">
        <f>IF(P254=Sheet1!M254, 1, 0)</f>
        <v>0</v>
      </c>
    </row>
    <row r="255" spans="1:17" x14ac:dyDescent="0.35">
      <c r="A255" s="6" t="s">
        <v>253</v>
      </c>
      <c r="B255" s="6" t="s">
        <v>280</v>
      </c>
      <c r="C255" s="6">
        <v>1.5415600316155569</v>
      </c>
      <c r="D255" s="6">
        <v>-2.1952460502155788</v>
      </c>
      <c r="E255" s="6">
        <v>-0.56540359992637057</v>
      </c>
      <c r="F255" s="6">
        <v>-1.097995512244935</v>
      </c>
      <c r="G255" s="6">
        <v>-0.46073146844780222</v>
      </c>
      <c r="H255" s="6">
        <v>-5.2906682990966757E-2</v>
      </c>
      <c r="I255" s="6">
        <v>0.26796405966632758</v>
      </c>
      <c r="J255" s="6">
        <v>-0.61095204412881376</v>
      </c>
      <c r="K255" s="6">
        <v>0.11354058143827095</v>
      </c>
      <c r="L255" s="6">
        <v>-0.16673199583183601</v>
      </c>
      <c r="N255" s="8">
        <f>SQRT((C255-Sheet3!$C$525)^2+(D255-Sheet3!$D$525)^2+(E255-Sheet3!$E$525)^2+(F255-Sheet3!$F$525)^2+(G255-Sheet3!$G$525)^2+(H255-Sheet3!$H$525)^2+(I255-Sheet3!$I$525)^2+(J255-Sheet3!$J$525)^2+(K255-Sheet3!$K$525)^2+(L255-Sheet3!$L$525)^2)</f>
        <v>2.4763797117639377</v>
      </c>
      <c r="O255" s="8">
        <f>SQRT((C255-Sheet3!$C$526)^2+(D255-Sheet3!$D$526)^2+(E255-Sheet3!$E$526)^2+(F255-Sheet3!$F$526)^2+(G255-Sheet3!$G$526)^2+(H255-Sheet3!$H$526)^2+(I255-Sheet3!$I$526)^2+(J255-Sheet3!$J$526)^2+(K255-Sheet3!$K$526)^2+(L255-Sheet3!$L$526)^2)</f>
        <v>5.6348921811995796</v>
      </c>
      <c r="P255" s="12">
        <f t="shared" si="3"/>
        <v>0</v>
      </c>
      <c r="Q255" s="11">
        <f>IF(P255=Sheet1!M255, 1, 0)</f>
        <v>0</v>
      </c>
    </row>
    <row r="256" spans="1:17" x14ac:dyDescent="0.35">
      <c r="A256" s="6" t="s">
        <v>253</v>
      </c>
      <c r="B256" s="6" t="s">
        <v>281</v>
      </c>
      <c r="C256" s="6">
        <v>0.40620962176122277</v>
      </c>
      <c r="D256" s="6">
        <v>-1.0658952606879044</v>
      </c>
      <c r="E256" s="6">
        <v>-0.56024611190844364</v>
      </c>
      <c r="F256" s="6">
        <v>-0.54335664966234465</v>
      </c>
      <c r="G256" s="6">
        <v>-0.57687181556149081</v>
      </c>
      <c r="H256" s="6">
        <v>-0.34215335690307785</v>
      </c>
      <c r="I256" s="6">
        <v>0.25585163866647886</v>
      </c>
      <c r="J256" s="6">
        <v>-0.74380944759411416</v>
      </c>
      <c r="K256" s="6">
        <v>-0.56093181735903319</v>
      </c>
      <c r="L256" s="6">
        <v>-0.21872573824953981</v>
      </c>
      <c r="N256" s="8">
        <f>SQRT((C256-Sheet3!$C$525)^2+(D256-Sheet3!$D$525)^2+(E256-Sheet3!$E$525)^2+(F256-Sheet3!$F$525)^2+(G256-Sheet3!$G$525)^2+(H256-Sheet3!$H$525)^2+(I256-Sheet3!$I$525)^2+(J256-Sheet3!$J$525)^2+(K256-Sheet3!$K$525)^2+(L256-Sheet3!$L$525)^2)</f>
        <v>1.2893873572592018</v>
      </c>
      <c r="O256" s="8">
        <f>SQRT((C256-Sheet3!$C$526)^2+(D256-Sheet3!$D$526)^2+(E256-Sheet3!$E$526)^2+(F256-Sheet3!$F$526)^2+(G256-Sheet3!$G$526)^2+(H256-Sheet3!$H$526)^2+(I256-Sheet3!$I$526)^2+(J256-Sheet3!$J$526)^2+(K256-Sheet3!$K$526)^2+(L256-Sheet3!$L$526)^2)</f>
        <v>4.5084700224183702</v>
      </c>
      <c r="P256" s="12">
        <f t="shared" si="3"/>
        <v>0</v>
      </c>
      <c r="Q256" s="11">
        <f>IF(P256=Sheet1!M256, 1, 0)</f>
        <v>1</v>
      </c>
    </row>
    <row r="257" spans="1:17" x14ac:dyDescent="0.35">
      <c r="A257" s="6" t="s">
        <v>253</v>
      </c>
      <c r="B257" s="6" t="s">
        <v>282</v>
      </c>
      <c r="C257" s="6">
        <v>1.1054029592719887</v>
      </c>
      <c r="D257" s="6">
        <v>-1.5446417910311578</v>
      </c>
      <c r="E257" s="6">
        <v>-0.48804127965746763</v>
      </c>
      <c r="F257" s="6">
        <v>-0.44475418520321763</v>
      </c>
      <c r="G257" s="6">
        <v>0.5525930601191551</v>
      </c>
      <c r="H257" s="6">
        <v>-0.62170461157791113</v>
      </c>
      <c r="I257" s="6">
        <v>0.83852283834341712</v>
      </c>
      <c r="J257" s="6">
        <v>-1.0436875868443634</v>
      </c>
      <c r="K257" s="6">
        <v>0.96484681101073766</v>
      </c>
      <c r="L257" s="6">
        <v>4.5912070129967716E-2</v>
      </c>
      <c r="N257" s="8">
        <f>SQRT((C257-Sheet3!$C$525)^2+(D257-Sheet3!$D$525)^2+(E257-Sheet3!$E$525)^2+(F257-Sheet3!$F$525)^2+(G257-Sheet3!$G$525)^2+(H257-Sheet3!$H$525)^2+(I257-Sheet3!$I$525)^2+(J257-Sheet3!$J$525)^2+(K257-Sheet3!$K$525)^2+(L257-Sheet3!$L$525)^2)</f>
        <v>2.3263445966025422</v>
      </c>
      <c r="O257" s="8">
        <f>SQRT((C257-Sheet3!$C$526)^2+(D257-Sheet3!$D$526)^2+(E257-Sheet3!$E$526)^2+(F257-Sheet3!$F$526)^2+(G257-Sheet3!$G$526)^2+(H257-Sheet3!$H$526)^2+(I257-Sheet3!$I$526)^2+(J257-Sheet3!$J$526)^2+(K257-Sheet3!$K$526)^2+(L257-Sheet3!$L$526)^2)</f>
        <v>5.0671392519966121</v>
      </c>
      <c r="P257" s="12">
        <f t="shared" si="3"/>
        <v>0</v>
      </c>
      <c r="Q257" s="11">
        <f>IF(P257=Sheet1!M257, 1, 0)</f>
        <v>0</v>
      </c>
    </row>
    <row r="258" spans="1:17" x14ac:dyDescent="0.35">
      <c r="A258" s="6" t="s">
        <v>253</v>
      </c>
      <c r="B258" s="6" t="s">
        <v>283</v>
      </c>
      <c r="C258" s="6">
        <v>-0.60701680783691214</v>
      </c>
      <c r="D258" s="6">
        <v>1.0516374696764854</v>
      </c>
      <c r="E258" s="6">
        <v>0.7493874526436991</v>
      </c>
      <c r="F258" s="6">
        <v>1.3362528290897606</v>
      </c>
      <c r="G258" s="6">
        <v>1.2726632122240409</v>
      </c>
      <c r="H258" s="6">
        <v>0.99904630425363761</v>
      </c>
      <c r="I258" s="6">
        <v>0.88059756392183908</v>
      </c>
      <c r="J258" s="6">
        <v>0.49745829335312031</v>
      </c>
      <c r="K258" s="6">
        <v>-0.33089134723559105</v>
      </c>
      <c r="L258" s="6">
        <v>1.3481782616672624</v>
      </c>
      <c r="N258" s="8">
        <f>SQRT((C258-Sheet3!$C$525)^2+(D258-Sheet3!$D$525)^2+(E258-Sheet3!$E$525)^2+(F258-Sheet3!$F$525)^2+(G258-Sheet3!$G$525)^2+(H258-Sheet3!$H$525)^2+(I258-Sheet3!$I$525)^2+(J258-Sheet3!$J$525)^2+(K258-Sheet3!$K$525)^2+(L258-Sheet3!$L$525)^2)</f>
        <v>3.905983800948396</v>
      </c>
      <c r="O258" s="8">
        <f>SQRT((C258-Sheet3!$C$526)^2+(D258-Sheet3!$D$526)^2+(E258-Sheet3!$E$526)^2+(F258-Sheet3!$F$526)^2+(G258-Sheet3!$G$526)^2+(H258-Sheet3!$H$526)^2+(I258-Sheet3!$I$526)^2+(J258-Sheet3!$J$526)^2+(K258-Sheet3!$K$526)^2+(L258-Sheet3!$L$526)^2)</f>
        <v>1.1515701588930807</v>
      </c>
      <c r="P258" s="12">
        <f t="shared" si="3"/>
        <v>1</v>
      </c>
      <c r="Q258" s="11">
        <f>IF(P258=Sheet1!M258, 1, 0)</f>
        <v>0</v>
      </c>
    </row>
    <row r="259" spans="1:17" x14ac:dyDescent="0.35">
      <c r="A259" s="6" t="s">
        <v>253</v>
      </c>
      <c r="B259" s="6" t="s">
        <v>284</v>
      </c>
      <c r="C259" s="6">
        <v>-0.58822850318211239</v>
      </c>
      <c r="D259" s="6">
        <v>1.1743929902773191</v>
      </c>
      <c r="E259" s="6">
        <v>1.2861345985093733</v>
      </c>
      <c r="F259" s="6">
        <v>1.3947980423623687</v>
      </c>
      <c r="G259" s="6">
        <v>1.220400056022878</v>
      </c>
      <c r="H259" s="6">
        <v>1.0539870132648763</v>
      </c>
      <c r="I259" s="6">
        <v>0.7613858414496425</v>
      </c>
      <c r="J259" s="6">
        <v>0.58856051287218347</v>
      </c>
      <c r="K259" s="6">
        <v>7.7547854820316758E-2</v>
      </c>
      <c r="L259" s="6">
        <v>-0.35604077710757687</v>
      </c>
      <c r="N259" s="8">
        <f>SQRT((C259-Sheet3!$C$525)^2+(D259-Sheet3!$D$525)^2+(E259-Sheet3!$E$525)^2+(F259-Sheet3!$F$525)^2+(G259-Sheet3!$G$525)^2+(H259-Sheet3!$H$525)^2+(I259-Sheet3!$I$525)^2+(J259-Sheet3!$J$525)^2+(K259-Sheet3!$K$525)^2+(L259-Sheet3!$L$525)^2)</f>
        <v>3.8039577865585081</v>
      </c>
      <c r="O259" s="8">
        <f>SQRT((C259-Sheet3!$C$526)^2+(D259-Sheet3!$D$526)^2+(E259-Sheet3!$E$526)^2+(F259-Sheet3!$F$526)^2+(G259-Sheet3!$G$526)^2+(H259-Sheet3!$H$526)^2+(I259-Sheet3!$I$526)^2+(J259-Sheet3!$J$526)^2+(K259-Sheet3!$K$526)^2+(L259-Sheet3!$L$526)^2)</f>
        <v>1.4786181570578258</v>
      </c>
      <c r="P259" s="12">
        <f t="shared" ref="P259:P322" si="4">IF(N259&lt;=O259, 0, 1)</f>
        <v>1</v>
      </c>
      <c r="Q259" s="11">
        <f>IF(P259=Sheet1!M259, 1, 0)</f>
        <v>0</v>
      </c>
    </row>
    <row r="260" spans="1:17" x14ac:dyDescent="0.35">
      <c r="A260" s="6" t="s">
        <v>253</v>
      </c>
      <c r="B260" s="6" t="s">
        <v>285</v>
      </c>
      <c r="C260" s="6">
        <v>-1.0270696190477946</v>
      </c>
      <c r="D260" s="6">
        <v>1.2112196464575697</v>
      </c>
      <c r="E260" s="6">
        <v>2.3349466261549292</v>
      </c>
      <c r="F260" s="6">
        <v>1.8662410755575696</v>
      </c>
      <c r="G260" s="6">
        <v>1.0752246221307642</v>
      </c>
      <c r="H260" s="6">
        <v>0.53205027765810653</v>
      </c>
      <c r="I260" s="6">
        <v>0.94307215644737541</v>
      </c>
      <c r="J260" s="6">
        <v>1.742521960113649</v>
      </c>
      <c r="K260" s="6">
        <v>-0.29333371946033371</v>
      </c>
      <c r="L260" s="6">
        <v>0.65496739465853504</v>
      </c>
      <c r="N260" s="8">
        <f>SQRT((C260-Sheet3!$C$525)^2+(D260-Sheet3!$D$525)^2+(E260-Sheet3!$E$525)^2+(F260-Sheet3!$F$525)^2+(G260-Sheet3!$G$525)^2+(H260-Sheet3!$H$525)^2+(I260-Sheet3!$I$525)^2+(J260-Sheet3!$J$525)^2+(K260-Sheet3!$K$525)^2+(L260-Sheet3!$L$525)^2)</f>
        <v>5.0284906516707117</v>
      </c>
      <c r="O260" s="8">
        <f>SQRT((C260-Sheet3!$C$526)^2+(D260-Sheet3!$D$526)^2+(E260-Sheet3!$E$526)^2+(F260-Sheet3!$F$526)^2+(G260-Sheet3!$G$526)^2+(H260-Sheet3!$H$526)^2+(I260-Sheet3!$I$526)^2+(J260-Sheet3!$J$526)^2+(K260-Sheet3!$K$526)^2+(L260-Sheet3!$L$526)^2)</f>
        <v>1.5375455678963283</v>
      </c>
      <c r="P260" s="12">
        <f t="shared" si="4"/>
        <v>1</v>
      </c>
      <c r="Q260" s="11">
        <f>IF(P260=Sheet1!M260, 1, 0)</f>
        <v>0</v>
      </c>
    </row>
    <row r="261" spans="1:17" x14ac:dyDescent="0.35">
      <c r="A261" s="6" t="s">
        <v>253</v>
      </c>
      <c r="B261" s="6" t="s">
        <v>286</v>
      </c>
      <c r="C261" s="6">
        <v>-0.64861948242968326</v>
      </c>
      <c r="D261" s="6">
        <v>0.31510434607147958</v>
      </c>
      <c r="E261" s="6">
        <v>0.7073907644977232</v>
      </c>
      <c r="F261" s="6">
        <v>0.57516505654587502</v>
      </c>
      <c r="G261" s="6">
        <v>0.20126851010023725</v>
      </c>
      <c r="H261" s="6">
        <v>0.67694293181519738</v>
      </c>
      <c r="I261" s="6">
        <v>0.92585976871074749</v>
      </c>
      <c r="J261" s="6">
        <v>0.56578495799241746</v>
      </c>
      <c r="K261" s="6">
        <v>3.8425325887758537E-2</v>
      </c>
      <c r="L261" s="6">
        <v>-0.28423358442572877</v>
      </c>
      <c r="N261" s="8">
        <f>SQRT((C261-Sheet3!$C$525)^2+(D261-Sheet3!$D$525)^2+(E261-Sheet3!$E$525)^2+(F261-Sheet3!$F$525)^2+(G261-Sheet3!$G$525)^2+(H261-Sheet3!$H$525)^2+(I261-Sheet3!$I$525)^2+(J261-Sheet3!$J$525)^2+(K261-Sheet3!$K$525)^2+(L261-Sheet3!$L$525)^2)</f>
        <v>2.5253594039448766</v>
      </c>
      <c r="O261" s="8">
        <f>SQRT((C261-Sheet3!$C$526)^2+(D261-Sheet3!$D$526)^2+(E261-Sheet3!$E$526)^2+(F261-Sheet3!$F$526)^2+(G261-Sheet3!$G$526)^2+(H261-Sheet3!$H$526)^2+(I261-Sheet3!$I$526)^2+(J261-Sheet3!$J$526)^2+(K261-Sheet3!$K$526)^2+(L261-Sheet3!$L$526)^2)</f>
        <v>1.917034033665487</v>
      </c>
      <c r="P261" s="12">
        <f t="shared" si="4"/>
        <v>1</v>
      </c>
      <c r="Q261" s="11">
        <f>IF(P261=Sheet1!M261, 1, 0)</f>
        <v>0</v>
      </c>
    </row>
    <row r="262" spans="1:17" x14ac:dyDescent="0.35">
      <c r="A262" s="6" t="s">
        <v>253</v>
      </c>
      <c r="B262" s="6" t="s">
        <v>287</v>
      </c>
      <c r="C262" s="6">
        <v>-0.72377270104888269</v>
      </c>
      <c r="D262" s="6">
        <v>0.54833983521306495</v>
      </c>
      <c r="E262" s="6">
        <v>1.1159374939177868</v>
      </c>
      <c r="F262" s="6">
        <v>0.87713510395195238</v>
      </c>
      <c r="G262" s="6">
        <v>0.56420709483052189</v>
      </c>
      <c r="H262" s="6">
        <v>0.80244474749773331</v>
      </c>
      <c r="I262" s="6">
        <v>0.92522227286865066</v>
      </c>
      <c r="J262" s="6">
        <v>0.44431533196700029</v>
      </c>
      <c r="K262" s="6">
        <v>0.34358105156171315</v>
      </c>
      <c r="L262" s="6">
        <v>-0.33535443745829446</v>
      </c>
      <c r="N262" s="8">
        <f>SQRT((C262-Sheet3!$C$525)^2+(D262-Sheet3!$D$525)^2+(E262-Sheet3!$E$525)^2+(F262-Sheet3!$F$525)^2+(G262-Sheet3!$G$525)^2+(H262-Sheet3!$H$525)^2+(I262-Sheet3!$I$525)^2+(J262-Sheet3!$J$525)^2+(K262-Sheet3!$K$525)^2+(L262-Sheet3!$L$525)^2)</f>
        <v>3.0180385881541207</v>
      </c>
      <c r="O262" s="8">
        <f>SQRT((C262-Sheet3!$C$526)^2+(D262-Sheet3!$D$526)^2+(E262-Sheet3!$E$526)^2+(F262-Sheet3!$F$526)^2+(G262-Sheet3!$G$526)^2+(H262-Sheet3!$H$526)^2+(I262-Sheet3!$I$526)^2+(J262-Sheet3!$J$526)^2+(K262-Sheet3!$K$526)^2+(L262-Sheet3!$L$526)^2)</f>
        <v>1.7730981590208197</v>
      </c>
      <c r="P262" s="12">
        <f t="shared" si="4"/>
        <v>1</v>
      </c>
      <c r="Q262" s="11">
        <f>IF(P262=Sheet1!M262, 1, 0)</f>
        <v>0</v>
      </c>
    </row>
    <row r="263" spans="1:17" x14ac:dyDescent="0.35">
      <c r="A263" s="6" t="s">
        <v>253</v>
      </c>
      <c r="B263" s="6" t="s">
        <v>288</v>
      </c>
      <c r="C263" s="6">
        <v>-0.7895317673406822</v>
      </c>
      <c r="D263" s="6">
        <v>1.2480463026378201</v>
      </c>
      <c r="E263" s="6">
        <v>1.2102458462455923</v>
      </c>
      <c r="F263" s="6">
        <v>1.310061549467807</v>
      </c>
      <c r="G263" s="6">
        <v>1.0839351481642914</v>
      </c>
      <c r="H263" s="6">
        <v>0.98504180979979217</v>
      </c>
      <c r="I263" s="6">
        <v>0.92394728118445546</v>
      </c>
      <c r="J263" s="6">
        <v>0.68725458401783501</v>
      </c>
      <c r="K263" s="6">
        <v>-0.37157877732545014</v>
      </c>
      <c r="L263" s="6">
        <v>-0.35495594955287663</v>
      </c>
      <c r="N263" s="8">
        <f>SQRT((C263-Sheet3!$C$525)^2+(D263-Sheet3!$D$525)^2+(E263-Sheet3!$E$525)^2+(F263-Sheet3!$F$525)^2+(G263-Sheet3!$G$525)^2+(H263-Sheet3!$H$525)^2+(I263-Sheet3!$I$525)^2+(J263-Sheet3!$J$525)^2+(K263-Sheet3!$K$525)^2+(L263-Sheet3!$L$525)^2)</f>
        <v>3.8461938837172109</v>
      </c>
      <c r="O263" s="8">
        <f>SQRT((C263-Sheet3!$C$526)^2+(D263-Sheet3!$D$526)^2+(E263-Sheet3!$E$526)^2+(F263-Sheet3!$F$526)^2+(G263-Sheet3!$G$526)^2+(H263-Sheet3!$H$526)^2+(I263-Sheet3!$I$526)^2+(J263-Sheet3!$J$526)^2+(K263-Sheet3!$K$526)^2+(L263-Sheet3!$L$526)^2)</f>
        <v>1.2660802527480242</v>
      </c>
      <c r="P263" s="12">
        <f t="shared" si="4"/>
        <v>1</v>
      </c>
      <c r="Q263" s="11">
        <f>IF(P263=Sheet1!M263, 1, 0)</f>
        <v>0</v>
      </c>
    </row>
    <row r="264" spans="1:17" x14ac:dyDescent="0.35">
      <c r="A264" s="6" t="s">
        <v>253</v>
      </c>
      <c r="B264" s="6" t="s">
        <v>289</v>
      </c>
      <c r="C264" s="6">
        <v>-0.96399459627810935</v>
      </c>
      <c r="D264" s="6">
        <v>1.8004461453415732</v>
      </c>
      <c r="E264" s="6">
        <v>2.1256999694276106</v>
      </c>
      <c r="F264" s="6">
        <v>1.7445286584908339</v>
      </c>
      <c r="G264" s="6">
        <v>0.92133866220512306</v>
      </c>
      <c r="H264" s="6">
        <v>1.083073270976709</v>
      </c>
      <c r="I264" s="6">
        <v>0.91757232276348277</v>
      </c>
      <c r="J264" s="6">
        <v>1.1731330881195048</v>
      </c>
      <c r="K264" s="6">
        <v>-0.40600660278610123</v>
      </c>
      <c r="L264" s="6">
        <v>-0.23435803268760869</v>
      </c>
      <c r="N264" s="8">
        <f>SQRT((C264-Sheet3!$C$525)^2+(D264-Sheet3!$D$525)^2+(E264-Sheet3!$E$525)^2+(F264-Sheet3!$F$525)^2+(G264-Sheet3!$G$525)^2+(H264-Sheet3!$H$525)^2+(I264-Sheet3!$I$525)^2+(J264-Sheet3!$J$525)^2+(K264-Sheet3!$K$525)^2+(L264-Sheet3!$L$525)^2)</f>
        <v>4.8664103527569722</v>
      </c>
      <c r="O264" s="8">
        <f>SQRT((C264-Sheet3!$C$526)^2+(D264-Sheet3!$D$526)^2+(E264-Sheet3!$E$526)^2+(F264-Sheet3!$F$526)^2+(G264-Sheet3!$G$526)^2+(H264-Sheet3!$H$526)^2+(I264-Sheet3!$I$526)^2+(J264-Sheet3!$J$526)^2+(K264-Sheet3!$K$526)^2+(L264-Sheet3!$L$526)^2)</f>
        <v>1.6571484226771807</v>
      </c>
      <c r="P264" s="12">
        <f t="shared" si="4"/>
        <v>1</v>
      </c>
      <c r="Q264" s="11">
        <f>IF(P264=Sheet1!M264, 1, 0)</f>
        <v>0</v>
      </c>
    </row>
    <row r="265" spans="1:17" x14ac:dyDescent="0.35">
      <c r="A265" s="6" t="s">
        <v>253</v>
      </c>
      <c r="B265" s="6" t="s">
        <v>290</v>
      </c>
      <c r="C265" s="6">
        <v>-0.94520629162330949</v>
      </c>
      <c r="D265" s="6">
        <v>1.266459630727945</v>
      </c>
      <c r="E265" s="6">
        <v>2.7766486356902367</v>
      </c>
      <c r="F265" s="6">
        <v>1.9078389902512631</v>
      </c>
      <c r="G265" s="6">
        <v>1.313312333713833</v>
      </c>
      <c r="H265" s="6">
        <v>0.96942141213973443</v>
      </c>
      <c r="I265" s="6">
        <v>0.82386043397517872</v>
      </c>
      <c r="J265" s="6">
        <v>1.7539097375535317</v>
      </c>
      <c r="K265" s="6">
        <v>-0.33871585302210222</v>
      </c>
      <c r="L265" s="6">
        <v>8.0605190854491298</v>
      </c>
      <c r="N265" s="8">
        <f>SQRT((C265-Sheet3!$C$525)^2+(D265-Sheet3!$D$525)^2+(E265-Sheet3!$E$525)^2+(F265-Sheet3!$F$525)^2+(G265-Sheet3!$G$525)^2+(H265-Sheet3!$H$525)^2+(I265-Sheet3!$I$525)^2+(J265-Sheet3!$J$525)^2+(K265-Sheet3!$K$525)^2+(L265-Sheet3!$L$525)^2)</f>
        <v>9.8606700208961566</v>
      </c>
      <c r="O265" s="8">
        <f>SQRT((C265-Sheet3!$C$526)^2+(D265-Sheet3!$D$526)^2+(E265-Sheet3!$E$526)^2+(F265-Sheet3!$F$526)^2+(G265-Sheet3!$G$526)^2+(H265-Sheet3!$H$526)^2+(I265-Sheet3!$I$526)^2+(J265-Sheet3!$J$526)^2+(K265-Sheet3!$K$526)^2+(L265-Sheet3!$L$526)^2)</f>
        <v>7.5718775240635985</v>
      </c>
      <c r="P265" s="12">
        <f t="shared" si="4"/>
        <v>1</v>
      </c>
      <c r="Q265" s="11">
        <f>IF(P265=Sheet1!M265, 1, 0)</f>
        <v>0</v>
      </c>
    </row>
    <row r="266" spans="1:17" x14ac:dyDescent="0.35">
      <c r="A266" s="6" t="s">
        <v>253</v>
      </c>
      <c r="B266" s="6" t="s">
        <v>291</v>
      </c>
      <c r="C266" s="6">
        <v>-1.0981967723838226</v>
      </c>
      <c r="D266" s="6">
        <v>0.53606428315298182</v>
      </c>
      <c r="E266" s="6">
        <v>0.94389842931979795</v>
      </c>
      <c r="F266" s="6">
        <v>0.97881889542542655</v>
      </c>
      <c r="G266" s="6">
        <v>0.86907550600396422</v>
      </c>
      <c r="H266" s="6">
        <v>0.98935088501635982</v>
      </c>
      <c r="I266" s="6">
        <v>0.94753462734205607</v>
      </c>
      <c r="J266" s="6">
        <v>0.57337680961900628</v>
      </c>
      <c r="K266" s="6">
        <v>0.66908049228059729</v>
      </c>
      <c r="L266" s="6">
        <v>-0.21924395559581894</v>
      </c>
      <c r="N266" s="8">
        <f>SQRT((C266-Sheet3!$C$525)^2+(D266-Sheet3!$D$525)^2+(E266-Sheet3!$E$525)^2+(F266-Sheet3!$F$525)^2+(G266-Sheet3!$G$525)^2+(H266-Sheet3!$H$525)^2+(I266-Sheet3!$I$525)^2+(J266-Sheet3!$J$525)^2+(K266-Sheet3!$K$525)^2+(L266-Sheet3!$L$525)^2)</f>
        <v>3.3461835292622819</v>
      </c>
      <c r="O266" s="8">
        <f>SQRT((C266-Sheet3!$C$526)^2+(D266-Sheet3!$D$526)^2+(E266-Sheet3!$E$526)^2+(F266-Sheet3!$F$526)^2+(G266-Sheet3!$G$526)^2+(H266-Sheet3!$H$526)^2+(I266-Sheet3!$I$526)^2+(J266-Sheet3!$J$526)^2+(K266-Sheet3!$K$526)^2+(L266-Sheet3!$L$526)^2)</f>
        <v>1.9007248448502119</v>
      </c>
      <c r="P266" s="12">
        <f t="shared" si="4"/>
        <v>1</v>
      </c>
      <c r="Q266" s="11">
        <f>IF(P266=Sheet1!M266, 1, 0)</f>
        <v>0</v>
      </c>
    </row>
    <row r="267" spans="1:17" x14ac:dyDescent="0.35">
      <c r="A267" s="6" t="s">
        <v>292</v>
      </c>
      <c r="B267" s="6" t="s">
        <v>293</v>
      </c>
      <c r="C267" s="6">
        <v>-0.20843634480294382</v>
      </c>
      <c r="D267" s="6">
        <v>-0.81424644345619435</v>
      </c>
      <c r="E267" s="6">
        <v>-0.62250436012484656</v>
      </c>
      <c r="F267" s="6">
        <v>-0.73285826104472984</v>
      </c>
      <c r="G267" s="6">
        <v>-1.4130823147800653</v>
      </c>
      <c r="H267" s="6">
        <v>-1.5131445470053662</v>
      </c>
      <c r="I267" s="6">
        <v>-0.19932039259099801</v>
      </c>
      <c r="J267" s="6">
        <v>1.0023164265212616</v>
      </c>
      <c r="K267" s="6">
        <v>-1.1180366293586617</v>
      </c>
      <c r="L267" s="6">
        <v>-3.8369949895332593E-2</v>
      </c>
      <c r="N267" s="8">
        <f>SQRT((C267-Sheet3!$C$525)^2+(D267-Sheet3!$D$525)^2+(E267-Sheet3!$E$525)^2+(F267-Sheet3!$F$525)^2+(G267-Sheet3!$G$525)^2+(H267-Sheet3!$H$525)^2+(I267-Sheet3!$I$525)^2+(J267-Sheet3!$J$525)^2+(K267-Sheet3!$K$525)^2+(L267-Sheet3!$L$525)^2)</f>
        <v>2.6623512001775458</v>
      </c>
      <c r="O267" s="8">
        <f>SQRT((C267-Sheet3!$C$526)^2+(D267-Sheet3!$D$526)^2+(E267-Sheet3!$E$526)^2+(F267-Sheet3!$F$526)^2+(G267-Sheet3!$G$526)^2+(H267-Sheet3!$H$526)^2+(I267-Sheet3!$I$526)^2+(J267-Sheet3!$J$526)^2+(K267-Sheet3!$K$526)^2+(L267-Sheet3!$L$526)^2)</f>
        <v>4.8332905392579093</v>
      </c>
      <c r="P267" s="12">
        <f t="shared" si="4"/>
        <v>0</v>
      </c>
      <c r="Q267" s="11">
        <f>IF(P267=Sheet1!M267, 1, 0)</f>
        <v>1</v>
      </c>
    </row>
    <row r="268" spans="1:17" x14ac:dyDescent="0.35">
      <c r="A268" s="6" t="s">
        <v>292</v>
      </c>
      <c r="B268" s="6" t="s">
        <v>294</v>
      </c>
      <c r="C268" s="6">
        <v>-0.26614328052840069</v>
      </c>
      <c r="D268" s="6">
        <v>-1.243890765559114</v>
      </c>
      <c r="E268" s="6">
        <v>-0.58971747201088287</v>
      </c>
      <c r="F268" s="6">
        <v>-0.90849390086254977</v>
      </c>
      <c r="G268" s="6">
        <v>-0.67559111060812926</v>
      </c>
      <c r="H268" s="6">
        <v>-1.0978574230086484</v>
      </c>
      <c r="I268" s="6">
        <v>-0.75330427937355815</v>
      </c>
      <c r="J268" s="6">
        <v>1.0630512395339704</v>
      </c>
      <c r="K268" s="6">
        <v>-0.42478541667372988</v>
      </c>
      <c r="L268" s="6">
        <v>-1.5024238595189919E-2</v>
      </c>
      <c r="N268" s="8">
        <f>SQRT((C268-Sheet3!$C$525)^2+(D268-Sheet3!$D$525)^2+(E268-Sheet3!$E$525)^2+(F268-Sheet3!$F$525)^2+(G268-Sheet3!$G$525)^2+(H268-Sheet3!$H$525)^2+(I268-Sheet3!$I$525)^2+(J268-Sheet3!$J$525)^2+(K268-Sheet3!$K$525)^2+(L268-Sheet3!$L$525)^2)</f>
        <v>2.2289932027354991</v>
      </c>
      <c r="O268" s="8">
        <f>SQRT((C268-Sheet3!$C$526)^2+(D268-Sheet3!$D$526)^2+(E268-Sheet3!$E$526)^2+(F268-Sheet3!$F$526)^2+(G268-Sheet3!$G$526)^2+(H268-Sheet3!$H$526)^2+(I268-Sheet3!$I$526)^2+(J268-Sheet3!$J$526)^2+(K268-Sheet3!$K$526)^2+(L268-Sheet3!$L$526)^2)</f>
        <v>4.7188051472178625</v>
      </c>
      <c r="P268" s="12">
        <f t="shared" si="4"/>
        <v>0</v>
      </c>
      <c r="Q268" s="11">
        <f>IF(P268=Sheet1!M268, 1, 0)</f>
        <v>1</v>
      </c>
    </row>
    <row r="269" spans="1:17" x14ac:dyDescent="0.35">
      <c r="A269" s="6" t="s">
        <v>292</v>
      </c>
      <c r="B269" s="6" t="s">
        <v>295</v>
      </c>
      <c r="C269" s="6">
        <v>-0.69156417878351151</v>
      </c>
      <c r="D269" s="6">
        <v>0.10641996105006153</v>
      </c>
      <c r="E269" s="6">
        <v>0.71770574053357694</v>
      </c>
      <c r="F269" s="6">
        <v>0.36409415606305789</v>
      </c>
      <c r="G269" s="6">
        <v>7.9321145630865258E-2</v>
      </c>
      <c r="H269" s="6">
        <v>0.46795278381166128</v>
      </c>
      <c r="I269" s="6">
        <v>0.81812297139630275</v>
      </c>
      <c r="J269" s="6">
        <v>1.5185623371292858</v>
      </c>
      <c r="K269" s="6">
        <v>-0.86452264187568473</v>
      </c>
      <c r="L269" s="6">
        <v>1.5847998833844377</v>
      </c>
      <c r="N269" s="8">
        <f>SQRT((C269-Sheet3!$C$525)^2+(D269-Sheet3!$D$525)^2+(E269-Sheet3!$E$525)^2+(F269-Sheet3!$F$525)^2+(G269-Sheet3!$G$525)^2+(H269-Sheet3!$H$525)^2+(I269-Sheet3!$I$525)^2+(J269-Sheet3!$J$525)^2+(K269-Sheet3!$K$525)^2+(L269-Sheet3!$L$525)^2)</f>
        <v>3.4896732504560228</v>
      </c>
      <c r="O269" s="8">
        <f>SQRT((C269-Sheet3!$C$526)^2+(D269-Sheet3!$D$526)^2+(E269-Sheet3!$E$526)^2+(F269-Sheet3!$F$526)^2+(G269-Sheet3!$G$526)^2+(H269-Sheet3!$H$526)^2+(I269-Sheet3!$I$526)^2+(J269-Sheet3!$J$526)^2+(K269-Sheet3!$K$526)^2+(L269-Sheet3!$L$526)^2)</f>
        <v>1.9503294406038101</v>
      </c>
      <c r="P269" s="12">
        <f t="shared" si="4"/>
        <v>1</v>
      </c>
      <c r="Q269" s="11">
        <f>IF(P269=Sheet1!M269, 1, 0)</f>
        <v>0</v>
      </c>
    </row>
    <row r="270" spans="1:17" x14ac:dyDescent="0.35">
      <c r="A270" s="6" t="s">
        <v>292</v>
      </c>
      <c r="B270" s="6" t="s">
        <v>296</v>
      </c>
      <c r="C270" s="6">
        <v>-0.91031372583582404</v>
      </c>
      <c r="D270" s="6">
        <v>-0.56873540225452623</v>
      </c>
      <c r="E270" s="6">
        <v>0.14301421853601215</v>
      </c>
      <c r="F270" s="6">
        <v>-0.47864878236104458</v>
      </c>
      <c r="G270" s="6">
        <v>-1.4217928408135925</v>
      </c>
      <c r="H270" s="6">
        <v>0.16901069066227312</v>
      </c>
      <c r="I270" s="6">
        <v>0.45857531645342187</v>
      </c>
      <c r="J270" s="6">
        <v>2.0955430607500185</v>
      </c>
      <c r="K270" s="6">
        <v>-0.87704185113410305</v>
      </c>
      <c r="L270" s="6">
        <v>0.69012994917913772</v>
      </c>
      <c r="N270" s="8">
        <f>SQRT((C270-Sheet3!$C$525)^2+(D270-Sheet3!$D$525)^2+(E270-Sheet3!$E$525)^2+(F270-Sheet3!$F$525)^2+(G270-Sheet3!$G$525)^2+(H270-Sheet3!$H$525)^2+(I270-Sheet3!$I$525)^2+(J270-Sheet3!$J$525)^2+(K270-Sheet3!$K$525)^2+(L270-Sheet3!$L$525)^2)</f>
        <v>3.368978464128991</v>
      </c>
      <c r="O270" s="8">
        <f>SQRT((C270-Sheet3!$C$526)^2+(D270-Sheet3!$D$526)^2+(E270-Sheet3!$E$526)^2+(F270-Sheet3!$F$526)^2+(G270-Sheet3!$G$526)^2+(H270-Sheet3!$H$526)^2+(I270-Sheet3!$I$526)^2+(J270-Sheet3!$J$526)^2+(K270-Sheet3!$K$526)^2+(L270-Sheet3!$L$526)^2)</f>
        <v>3.7286487249890921</v>
      </c>
      <c r="P270" s="12">
        <f t="shared" si="4"/>
        <v>0</v>
      </c>
      <c r="Q270" s="11">
        <f>IF(P270=Sheet1!M270, 1, 0)</f>
        <v>1</v>
      </c>
    </row>
    <row r="271" spans="1:17" x14ac:dyDescent="0.35">
      <c r="A271" s="6" t="s">
        <v>292</v>
      </c>
      <c r="B271" s="6" t="s">
        <v>297</v>
      </c>
      <c r="C271" s="6">
        <v>-0.85126476834931031</v>
      </c>
      <c r="D271" s="6">
        <v>1.4690062397193213</v>
      </c>
      <c r="E271" s="6">
        <v>1.5657441274812653</v>
      </c>
      <c r="F271" s="6">
        <v>1.3208461940180229</v>
      </c>
      <c r="G271" s="6">
        <v>0.56420709483052189</v>
      </c>
      <c r="H271" s="6">
        <v>0.95541691768588888</v>
      </c>
      <c r="I271" s="6">
        <v>0.82003545892259477</v>
      </c>
      <c r="J271" s="6">
        <v>1.52235826294258</v>
      </c>
      <c r="K271" s="6">
        <v>-0.77375837475214992</v>
      </c>
      <c r="L271" s="6">
        <v>1.770667861118824</v>
      </c>
      <c r="N271" s="8">
        <f>SQRT((C271-Sheet3!$C$525)^2+(D271-Sheet3!$D$525)^2+(E271-Sheet3!$E$525)^2+(F271-Sheet3!$F$525)^2+(G271-Sheet3!$G$525)^2+(H271-Sheet3!$H$525)^2+(I271-Sheet3!$I$525)^2+(J271-Sheet3!$J$525)^2+(K271-Sheet3!$K$525)^2+(L271-Sheet3!$L$525)^2)</f>
        <v>4.741839483779942</v>
      </c>
      <c r="O271" s="8">
        <f>SQRT((C271-Sheet3!$C$526)^2+(D271-Sheet3!$D$526)^2+(E271-Sheet3!$E$526)^2+(F271-Sheet3!$F$526)^2+(G271-Sheet3!$G$526)^2+(H271-Sheet3!$H$526)^2+(I271-Sheet3!$I$526)^2+(J271-Sheet3!$J$526)^2+(K271-Sheet3!$K$526)^2+(L271-Sheet3!$L$526)^2)</f>
        <v>1.3092018463460655</v>
      </c>
      <c r="P271" s="12">
        <f t="shared" si="4"/>
        <v>1</v>
      </c>
      <c r="Q271" s="11">
        <f>IF(P271=Sheet1!M271, 1, 0)</f>
        <v>0</v>
      </c>
    </row>
    <row r="272" spans="1:17" x14ac:dyDescent="0.35">
      <c r="A272" s="6" t="s">
        <v>292</v>
      </c>
      <c r="B272" s="6" t="s">
        <v>298</v>
      </c>
      <c r="C272" s="6">
        <v>-1.0780664459679656</v>
      </c>
      <c r="D272" s="6">
        <v>1.0086730374661932</v>
      </c>
      <c r="E272" s="6">
        <v>1.0006307975169935</v>
      </c>
      <c r="F272" s="6">
        <v>0.52740448782348504</v>
      </c>
      <c r="G272" s="6">
        <v>-0.86141566599003516</v>
      </c>
      <c r="H272" s="6">
        <v>1.0701460453270053</v>
      </c>
      <c r="I272" s="6">
        <v>0.86593515955360079</v>
      </c>
      <c r="J272" s="6">
        <v>1.9247263991517753</v>
      </c>
      <c r="K272" s="6">
        <v>-1.2667022393023832</v>
      </c>
      <c r="L272" s="6">
        <v>1.1514678380959502</v>
      </c>
      <c r="N272" s="8">
        <f>SQRT((C272-Sheet3!$C$525)^2+(D272-Sheet3!$D$525)^2+(E272-Sheet3!$E$525)^2+(F272-Sheet3!$F$525)^2+(G272-Sheet3!$G$525)^2+(H272-Sheet3!$H$525)^2+(I272-Sheet3!$I$525)^2+(J272-Sheet3!$J$525)^2+(K272-Sheet3!$K$525)^2+(L272-Sheet3!$L$525)^2)</f>
        <v>4.2912340390223109</v>
      </c>
      <c r="O272" s="8">
        <f>SQRT((C272-Sheet3!$C$526)^2+(D272-Sheet3!$D$526)^2+(E272-Sheet3!$E$526)^2+(F272-Sheet3!$F$526)^2+(G272-Sheet3!$G$526)^2+(H272-Sheet3!$H$526)^2+(I272-Sheet3!$I$526)^2+(J272-Sheet3!$J$526)^2+(K272-Sheet3!$K$526)^2+(L272-Sheet3!$L$526)^2)</f>
        <v>2.2974281616624754</v>
      </c>
      <c r="P272" s="12">
        <f t="shared" si="4"/>
        <v>1</v>
      </c>
      <c r="Q272" s="11">
        <f>IF(P272=Sheet1!M272, 1, 0)</f>
        <v>0</v>
      </c>
    </row>
    <row r="273" spans="1:17" x14ac:dyDescent="0.35">
      <c r="A273" s="6" t="s">
        <v>292</v>
      </c>
      <c r="B273" s="6" t="s">
        <v>299</v>
      </c>
      <c r="C273" s="6">
        <v>-0.73585089689839689</v>
      </c>
      <c r="D273" s="6">
        <v>0.27827768989123008</v>
      </c>
      <c r="E273" s="6">
        <v>1.0890448778243111</v>
      </c>
      <c r="F273" s="6">
        <v>0.38720410867066446</v>
      </c>
      <c r="G273" s="6">
        <v>-0.44621392505858753</v>
      </c>
      <c r="H273" s="6">
        <v>0.7302677376202239</v>
      </c>
      <c r="I273" s="6">
        <v>0.8442603009222921</v>
      </c>
      <c r="J273" s="6">
        <v>1.6514197405945858</v>
      </c>
      <c r="K273" s="6">
        <v>-1.1430750478754994</v>
      </c>
      <c r="L273" s="6">
        <v>2.9462132734870916E-2</v>
      </c>
      <c r="N273" s="8">
        <f>SQRT((C273-Sheet3!$C$525)^2+(D273-Sheet3!$D$525)^2+(E273-Sheet3!$E$525)^2+(F273-Sheet3!$F$525)^2+(G273-Sheet3!$G$525)^2+(H273-Sheet3!$H$525)^2+(I273-Sheet3!$I$525)^2+(J273-Sheet3!$J$525)^2+(K273-Sheet3!$K$525)^2+(L273-Sheet3!$L$525)^2)</f>
        <v>3.4315623923379421</v>
      </c>
      <c r="O273" s="8">
        <f>SQRT((C273-Sheet3!$C$526)^2+(D273-Sheet3!$D$526)^2+(E273-Sheet3!$E$526)^2+(F273-Sheet3!$F$526)^2+(G273-Sheet3!$G$526)^2+(H273-Sheet3!$H$526)^2+(I273-Sheet3!$I$526)^2+(J273-Sheet3!$J$526)^2+(K273-Sheet3!$K$526)^2+(L273-Sheet3!$L$526)^2)</f>
        <v>2.106748351786234</v>
      </c>
      <c r="P273" s="12">
        <f t="shared" si="4"/>
        <v>1</v>
      </c>
      <c r="Q273" s="11">
        <f>IF(P273=Sheet1!M273, 1, 0)</f>
        <v>0</v>
      </c>
    </row>
    <row r="274" spans="1:17" x14ac:dyDescent="0.35">
      <c r="A274" s="6" t="s">
        <v>292</v>
      </c>
      <c r="B274" s="6" t="s">
        <v>300</v>
      </c>
      <c r="C274" s="6">
        <v>-1.3021840800645066</v>
      </c>
      <c r="D274" s="6">
        <v>2.0766460666934505</v>
      </c>
      <c r="E274" s="6">
        <v>1.998973120987122</v>
      </c>
      <c r="F274" s="6">
        <v>1.7984518812419181</v>
      </c>
      <c r="G274" s="6">
        <v>0.81681234980280126</v>
      </c>
      <c r="H274" s="6">
        <v>1.1654843344935675</v>
      </c>
      <c r="I274" s="6">
        <v>0.89780995165846611</v>
      </c>
      <c r="J274" s="6">
        <v>1.3439497497177479</v>
      </c>
      <c r="K274" s="6">
        <v>-1.0804790015834054</v>
      </c>
      <c r="L274" s="6">
        <v>0.84416041753347004</v>
      </c>
      <c r="N274" s="8">
        <f>SQRT((C274-Sheet3!$C$525)^2+(D274-Sheet3!$D$525)^2+(E274-Sheet3!$E$525)^2+(F274-Sheet3!$F$525)^2+(G274-Sheet3!$G$525)^2+(H274-Sheet3!$H$525)^2+(I274-Sheet3!$I$525)^2+(J274-Sheet3!$J$525)^2+(K274-Sheet3!$K$525)^2+(L274-Sheet3!$L$525)^2)</f>
        <v>5.3223134650671478</v>
      </c>
      <c r="O274" s="8">
        <f>SQRT((C274-Sheet3!$C$526)^2+(D274-Sheet3!$D$526)^2+(E274-Sheet3!$E$526)^2+(F274-Sheet3!$F$526)^2+(G274-Sheet3!$G$526)^2+(H274-Sheet3!$H$526)^2+(I274-Sheet3!$I$526)^2+(J274-Sheet3!$J$526)^2+(K274-Sheet3!$K$526)^2+(L274-Sheet3!$L$526)^2)</f>
        <v>1.6492061896668415</v>
      </c>
      <c r="P274" s="12">
        <f t="shared" si="4"/>
        <v>1</v>
      </c>
      <c r="Q274" s="11">
        <f>IF(P274=Sheet1!M274, 1, 0)</f>
        <v>0</v>
      </c>
    </row>
    <row r="275" spans="1:17" x14ac:dyDescent="0.35">
      <c r="A275" s="6" t="s">
        <v>301</v>
      </c>
      <c r="B275" s="6" t="s">
        <v>302</v>
      </c>
      <c r="C275" s="6">
        <v>-0.96802066156128086</v>
      </c>
      <c r="D275" s="6">
        <v>-5.3162215731022769E-2</v>
      </c>
      <c r="E275" s="6">
        <v>0.49740732376784375</v>
      </c>
      <c r="F275" s="6">
        <v>0.43496467739305439</v>
      </c>
      <c r="G275" s="6">
        <v>0.81390884112495754</v>
      </c>
      <c r="H275" s="6">
        <v>1.0254393899551149</v>
      </c>
      <c r="I275" s="6">
        <v>0.44455040792728123</v>
      </c>
      <c r="J275" s="6">
        <v>-0.36042094045139028</v>
      </c>
      <c r="K275" s="6">
        <v>1.8458861625719505</v>
      </c>
      <c r="L275" s="6">
        <v>-0.27312455994665846</v>
      </c>
      <c r="N275" s="8">
        <f>SQRT((C275-Sheet3!$C$525)^2+(D275-Sheet3!$D$525)^2+(E275-Sheet3!$E$525)^2+(F275-Sheet3!$F$525)^2+(G275-Sheet3!$G$525)^2+(H275-Sheet3!$H$525)^2+(I275-Sheet3!$I$525)^2+(J275-Sheet3!$J$525)^2+(K275-Sheet3!$K$525)^2+(L275-Sheet3!$L$525)^2)</f>
        <v>2.9666895354924065</v>
      </c>
      <c r="O275" s="8">
        <f>SQRT((C275-Sheet3!$C$526)^2+(D275-Sheet3!$D$526)^2+(E275-Sheet3!$E$526)^2+(F275-Sheet3!$F$526)^2+(G275-Sheet3!$G$526)^2+(H275-Sheet3!$H$526)^2+(I275-Sheet3!$I$526)^2+(J275-Sheet3!$J$526)^2+(K275-Sheet3!$K$526)^2+(L275-Sheet3!$L$526)^2)</f>
        <v>3.4642836374042059</v>
      </c>
      <c r="P275" s="12">
        <f t="shared" si="4"/>
        <v>0</v>
      </c>
      <c r="Q275" s="11">
        <f>IF(P275=Sheet1!M275, 1, 0)</f>
        <v>1</v>
      </c>
    </row>
    <row r="276" spans="1:17" x14ac:dyDescent="0.35">
      <c r="A276" s="6" t="s">
        <v>301</v>
      </c>
      <c r="B276" s="6" t="s">
        <v>303</v>
      </c>
      <c r="C276" s="6">
        <v>-0.95996853099493795</v>
      </c>
      <c r="D276" s="6">
        <v>0.43172209064227285</v>
      </c>
      <c r="E276" s="6">
        <v>1.4740145191624234</v>
      </c>
      <c r="F276" s="6">
        <v>1.0050101750473823</v>
      </c>
      <c r="G276" s="6">
        <v>1.1884614605666131</v>
      </c>
      <c r="H276" s="6">
        <v>1.1385526143900191</v>
      </c>
      <c r="I276" s="6">
        <v>0.82959789655405469</v>
      </c>
      <c r="J276" s="6">
        <v>-0.42495167927739341</v>
      </c>
      <c r="K276" s="6">
        <v>0.86312823578608755</v>
      </c>
      <c r="L276" s="6">
        <v>-0.15561563720137889</v>
      </c>
      <c r="N276" s="8">
        <f>SQRT((C276-Sheet3!$C$525)^2+(D276-Sheet3!$D$525)^2+(E276-Sheet3!$E$525)^2+(F276-Sheet3!$F$525)^2+(G276-Sheet3!$G$525)^2+(H276-Sheet3!$H$525)^2+(I276-Sheet3!$I$525)^2+(J276-Sheet3!$J$525)^2+(K276-Sheet3!$K$525)^2+(L276-Sheet3!$L$525)^2)</f>
        <v>3.5757372358840125</v>
      </c>
      <c r="O276" s="8">
        <f>SQRT((C276-Sheet3!$C$526)^2+(D276-Sheet3!$D$526)^2+(E276-Sheet3!$E$526)^2+(F276-Sheet3!$F$526)^2+(G276-Sheet3!$G$526)^2+(H276-Sheet3!$H$526)^2+(I276-Sheet3!$I$526)^2+(J276-Sheet3!$J$526)^2+(K276-Sheet3!$K$526)^2+(L276-Sheet3!$L$526)^2)</f>
        <v>2.5059918779459847</v>
      </c>
      <c r="P276" s="12">
        <f t="shared" si="4"/>
        <v>1</v>
      </c>
      <c r="Q276" s="11">
        <f>IF(P276=Sheet1!M276, 1, 0)</f>
        <v>0</v>
      </c>
    </row>
    <row r="277" spans="1:17" x14ac:dyDescent="0.35">
      <c r="A277" s="6" t="s">
        <v>301</v>
      </c>
      <c r="B277" s="6" t="s">
        <v>304</v>
      </c>
      <c r="C277" s="6">
        <v>-1.2954739712592209</v>
      </c>
      <c r="D277" s="6">
        <v>1.3401129430884449</v>
      </c>
      <c r="E277" s="6">
        <v>2.5795589150051748</v>
      </c>
      <c r="F277" s="6">
        <v>1.8338871419069174</v>
      </c>
      <c r="G277" s="6">
        <v>1.6036632014980607</v>
      </c>
      <c r="H277" s="6">
        <v>1.2058819146488902</v>
      </c>
      <c r="I277" s="6">
        <v>0.94753462734205607</v>
      </c>
      <c r="J277" s="6">
        <v>0.71003013889760069</v>
      </c>
      <c r="K277" s="6">
        <v>0.47816255108971334</v>
      </c>
      <c r="L277" s="6">
        <v>0.14805042943510158</v>
      </c>
      <c r="N277" s="8">
        <f>SQRT((C277-Sheet3!$C$525)^2+(D277-Sheet3!$D$525)^2+(E277-Sheet3!$E$525)^2+(F277-Sheet3!$F$525)^2+(G277-Sheet3!$G$525)^2+(H277-Sheet3!$H$525)^2+(I277-Sheet3!$I$525)^2+(J277-Sheet3!$J$525)^2+(K277-Sheet3!$K$525)^2+(L277-Sheet3!$L$525)^2)</f>
        <v>5.1824091541261854</v>
      </c>
      <c r="O277" s="8">
        <f>SQRT((C277-Sheet3!$C$526)^2+(D277-Sheet3!$D$526)^2+(E277-Sheet3!$E$526)^2+(F277-Sheet3!$F$526)^2+(G277-Sheet3!$G$526)^2+(H277-Sheet3!$H$526)^2+(I277-Sheet3!$I$526)^2+(J277-Sheet3!$J$526)^2+(K277-Sheet3!$K$526)^2+(L277-Sheet3!$L$526)^2)</f>
        <v>2.2505497104765917</v>
      </c>
      <c r="P277" s="12">
        <f t="shared" si="4"/>
        <v>1</v>
      </c>
      <c r="Q277" s="11">
        <f>IF(P277=Sheet1!M277, 1, 0)</f>
        <v>0</v>
      </c>
    </row>
    <row r="278" spans="1:17" x14ac:dyDescent="0.35">
      <c r="A278" s="6" t="s">
        <v>301</v>
      </c>
      <c r="B278" s="6" t="s">
        <v>305</v>
      </c>
      <c r="C278" s="6">
        <v>-0.99620311854348065</v>
      </c>
      <c r="D278" s="6">
        <v>0.52378873109289759</v>
      </c>
      <c r="E278" s="6">
        <v>1.4979599992456551</v>
      </c>
      <c r="F278" s="6">
        <v>1.1975931134441147</v>
      </c>
      <c r="G278" s="6">
        <v>1.1971719866001402</v>
      </c>
      <c r="H278" s="6">
        <v>0.8767762949835276</v>
      </c>
      <c r="I278" s="6">
        <v>0.86529766371150318</v>
      </c>
      <c r="J278" s="6">
        <v>0.69864236145771796</v>
      </c>
      <c r="K278" s="6">
        <v>6.5028645561898399E-2</v>
      </c>
      <c r="L278" s="6">
        <v>-9.8404325160059633E-2</v>
      </c>
      <c r="N278" s="8">
        <f>SQRT((C278-Sheet3!$C$525)^2+(D278-Sheet3!$D$525)^2+(E278-Sheet3!$E$525)^2+(F278-Sheet3!$F$525)^2+(G278-Sheet3!$G$525)^2+(H278-Sheet3!$H$525)^2+(I278-Sheet3!$I$525)^2+(J278-Sheet3!$J$525)^2+(K278-Sheet3!$K$525)^2+(L278-Sheet3!$L$525)^2)</f>
        <v>3.7094301270220944</v>
      </c>
      <c r="O278" s="8">
        <f>SQRT((C278-Sheet3!$C$526)^2+(D278-Sheet3!$D$526)^2+(E278-Sheet3!$E$526)^2+(F278-Sheet3!$F$526)^2+(G278-Sheet3!$G$526)^2+(H278-Sheet3!$H$526)^2+(I278-Sheet3!$I$526)^2+(J278-Sheet3!$J$526)^2+(K278-Sheet3!$K$526)^2+(L278-Sheet3!$L$526)^2)</f>
        <v>1.4181127976573273</v>
      </c>
      <c r="P278" s="12">
        <f t="shared" si="4"/>
        <v>1</v>
      </c>
      <c r="Q278" s="11">
        <f>IF(P278=Sheet1!M278, 1, 0)</f>
        <v>0</v>
      </c>
    </row>
    <row r="279" spans="1:17" x14ac:dyDescent="0.35">
      <c r="A279" s="6" t="s">
        <v>301</v>
      </c>
      <c r="B279" s="6" t="s">
        <v>306</v>
      </c>
      <c r="C279" s="6">
        <v>-0.89018339941996716</v>
      </c>
      <c r="D279" s="6">
        <v>-0.1820555123618981</v>
      </c>
      <c r="E279" s="6">
        <v>0.35447122727101354</v>
      </c>
      <c r="F279" s="6">
        <v>0.28089832667566861</v>
      </c>
      <c r="G279" s="6">
        <v>0.50904042995151932</v>
      </c>
      <c r="H279" s="6">
        <v>1.007664454686773</v>
      </c>
      <c r="I279" s="6">
        <v>0.94498464397366644</v>
      </c>
      <c r="J279" s="6">
        <v>0.11027386039710205</v>
      </c>
      <c r="K279" s="6">
        <v>0.52667448696608588</v>
      </c>
      <c r="L279" s="6">
        <v>-0.3420137215473979</v>
      </c>
      <c r="N279" s="8">
        <f>SQRT((C279-Sheet3!$C$525)^2+(D279-Sheet3!$D$525)^2+(E279-Sheet3!$E$525)^2+(F279-Sheet3!$F$525)^2+(G279-Sheet3!$G$525)^2+(H279-Sheet3!$H$525)^2+(I279-Sheet3!$I$525)^2+(J279-Sheet3!$J$525)^2+(K279-Sheet3!$K$525)^2+(L279-Sheet3!$L$525)^2)</f>
        <v>2.4413321536882662</v>
      </c>
      <c r="O279" s="8">
        <f>SQRT((C279-Sheet3!$C$526)^2+(D279-Sheet3!$D$526)^2+(E279-Sheet3!$E$526)^2+(F279-Sheet3!$F$526)^2+(G279-Sheet3!$G$526)^2+(H279-Sheet3!$H$526)^2+(I279-Sheet3!$I$526)^2+(J279-Sheet3!$J$526)^2+(K279-Sheet3!$K$526)^2+(L279-Sheet3!$L$526)^2)</f>
        <v>2.6826394604679771</v>
      </c>
      <c r="P279" s="12">
        <f t="shared" si="4"/>
        <v>0</v>
      </c>
      <c r="Q279" s="11">
        <f>IF(P279=Sheet1!M279, 1, 0)</f>
        <v>1</v>
      </c>
    </row>
    <row r="280" spans="1:17" x14ac:dyDescent="0.35">
      <c r="A280" s="6" t="s">
        <v>301</v>
      </c>
      <c r="B280" s="6" t="s">
        <v>307</v>
      </c>
      <c r="C280" s="6">
        <v>-0.96399459627810935</v>
      </c>
      <c r="D280" s="6">
        <v>-0.77128201124590268</v>
      </c>
      <c r="E280" s="6">
        <v>0.32278951516089138</v>
      </c>
      <c r="F280" s="6">
        <v>-8.5779588031708959E-2</v>
      </c>
      <c r="G280" s="6">
        <v>0.2796632444019817</v>
      </c>
      <c r="H280" s="6">
        <v>0.52827983684361013</v>
      </c>
      <c r="I280" s="6">
        <v>0.38398830292803693</v>
      </c>
      <c r="J280" s="6">
        <v>-1.2372798033223726</v>
      </c>
      <c r="K280" s="6">
        <v>1.9757729586280435</v>
      </c>
      <c r="L280" s="6">
        <v>-0.36732139147607279</v>
      </c>
      <c r="N280" s="8">
        <f>SQRT((C280-Sheet3!$C$525)^2+(D280-Sheet3!$D$525)^2+(E280-Sheet3!$E$525)^2+(F280-Sheet3!$F$525)^2+(G280-Sheet3!$G$525)^2+(H280-Sheet3!$H$525)^2+(I280-Sheet3!$I$525)^2+(J280-Sheet3!$J$525)^2+(K280-Sheet3!$K$525)^2+(L280-Sheet3!$L$525)^2)</f>
        <v>2.7183304600272673</v>
      </c>
      <c r="O280" s="8">
        <f>SQRT((C280-Sheet3!$C$526)^2+(D280-Sheet3!$D$526)^2+(E280-Sheet3!$E$526)^2+(F280-Sheet3!$F$526)^2+(G280-Sheet3!$G$526)^2+(H280-Sheet3!$H$526)^2+(I280-Sheet3!$I$526)^2+(J280-Sheet3!$J$526)^2+(K280-Sheet3!$K$526)^2+(L280-Sheet3!$L$526)^2)</f>
        <v>4.4929568516276124</v>
      </c>
      <c r="P280" s="12">
        <f t="shared" si="4"/>
        <v>0</v>
      </c>
      <c r="Q280" s="11">
        <f>IF(P280=Sheet1!M280, 1, 0)</f>
        <v>1</v>
      </c>
    </row>
    <row r="281" spans="1:17" x14ac:dyDescent="0.35">
      <c r="A281" s="6" t="s">
        <v>301</v>
      </c>
      <c r="B281" s="6" t="s">
        <v>308</v>
      </c>
      <c r="C281" s="6">
        <v>-0.73719291865945402</v>
      </c>
      <c r="D281" s="6">
        <v>-1.2929929737994477</v>
      </c>
      <c r="E281" s="6">
        <v>-5.5180678152891585E-2</v>
      </c>
      <c r="F281" s="6">
        <v>-0.39545295297365524</v>
      </c>
      <c r="G281" s="6">
        <v>0.2622421923349274</v>
      </c>
      <c r="H281" s="6">
        <v>0.5471320409160938</v>
      </c>
      <c r="I281" s="6">
        <v>0.84872277181697375</v>
      </c>
      <c r="J281" s="6">
        <v>-1.0398916610310691</v>
      </c>
      <c r="K281" s="6">
        <v>1.8286722498416248</v>
      </c>
      <c r="L281" s="6">
        <v>-0.23806685662736335</v>
      </c>
      <c r="N281" s="8">
        <f>SQRT((C281-Sheet3!$C$525)^2+(D281-Sheet3!$D$525)^2+(E281-Sheet3!$E$525)^2+(F281-Sheet3!$F$525)^2+(G281-Sheet3!$G$525)^2+(H281-Sheet3!$H$525)^2+(I281-Sheet3!$I$525)^2+(J281-Sheet3!$J$525)^2+(K281-Sheet3!$K$525)^2+(L281-Sheet3!$L$525)^2)</f>
        <v>2.665062157323935</v>
      </c>
      <c r="O281" s="8">
        <f>SQRT((C281-Sheet3!$C$526)^2+(D281-Sheet3!$D$526)^2+(E281-Sheet3!$E$526)^2+(F281-Sheet3!$F$526)^2+(G281-Sheet3!$G$526)^2+(H281-Sheet3!$H$526)^2+(I281-Sheet3!$I$526)^2+(J281-Sheet3!$J$526)^2+(K281-Sheet3!$K$526)^2+(L281-Sheet3!$L$526)^2)</f>
        <v>4.7069153474773913</v>
      </c>
      <c r="P281" s="12">
        <f t="shared" si="4"/>
        <v>0</v>
      </c>
      <c r="Q281" s="11">
        <f>IF(P281=Sheet1!M281, 1, 0)</f>
        <v>1</v>
      </c>
    </row>
    <row r="282" spans="1:17" x14ac:dyDescent="0.35">
      <c r="A282" s="6" t="s">
        <v>301</v>
      </c>
      <c r="B282" s="6" t="s">
        <v>309</v>
      </c>
      <c r="C282" s="6">
        <v>-0.82576635488922479</v>
      </c>
      <c r="D282" s="6">
        <v>-0.72831757903561056</v>
      </c>
      <c r="E282" s="6">
        <v>1.1188846299280308</v>
      </c>
      <c r="F282" s="6">
        <v>0.40569207075675146</v>
      </c>
      <c r="G282" s="6">
        <v>0.66582989855500407</v>
      </c>
      <c r="H282" s="6">
        <v>0.91286479992228275</v>
      </c>
      <c r="I282" s="6">
        <v>0.52551237987363886</v>
      </c>
      <c r="J282" s="6">
        <v>0.12166163783698503</v>
      </c>
      <c r="K282" s="6">
        <v>0.56579701589864417</v>
      </c>
      <c r="L282" s="6">
        <v>-3.4757709884394076E-3</v>
      </c>
      <c r="N282" s="8">
        <f>SQRT((C282-Sheet3!$C$525)^2+(D282-Sheet3!$D$525)^2+(E282-Sheet3!$E$525)^2+(F282-Sheet3!$F$525)^2+(G282-Sheet3!$G$525)^2+(H282-Sheet3!$H$525)^2+(I282-Sheet3!$I$525)^2+(J282-Sheet3!$J$525)^2+(K282-Sheet3!$K$525)^2+(L282-Sheet3!$L$525)^2)</f>
        <v>2.669103953845505</v>
      </c>
      <c r="O282" s="8">
        <f>SQRT((C282-Sheet3!$C$526)^2+(D282-Sheet3!$D$526)^2+(E282-Sheet3!$E$526)^2+(F282-Sheet3!$F$526)^2+(G282-Sheet3!$G$526)^2+(H282-Sheet3!$H$526)^2+(I282-Sheet3!$I$526)^2+(J282-Sheet3!$J$526)^2+(K282-Sheet3!$K$526)^2+(L282-Sheet3!$L$526)^2)</f>
        <v>2.6970165790197513</v>
      </c>
      <c r="P282" s="12">
        <f t="shared" si="4"/>
        <v>0</v>
      </c>
      <c r="Q282" s="11">
        <f>IF(P282=Sheet1!M282, 1, 0)</f>
        <v>1</v>
      </c>
    </row>
    <row r="283" spans="1:17" x14ac:dyDescent="0.35">
      <c r="A283" s="6" t="s">
        <v>301</v>
      </c>
      <c r="B283" s="6" t="s">
        <v>310</v>
      </c>
      <c r="C283" s="6">
        <v>-1.2498452313832784</v>
      </c>
      <c r="D283" s="6">
        <v>1.8679616816720328</v>
      </c>
      <c r="E283" s="6">
        <v>3.4161771499131679</v>
      </c>
      <c r="F283" s="6">
        <v>2.1728331134851668</v>
      </c>
      <c r="G283" s="6">
        <v>1.5310754845520038</v>
      </c>
      <c r="H283" s="6">
        <v>1.2263500219275869</v>
      </c>
      <c r="I283" s="6">
        <v>0.94753462734205607</v>
      </c>
      <c r="J283" s="6">
        <v>0.74419347121724921</v>
      </c>
      <c r="K283" s="6">
        <v>-0.12432439447168243</v>
      </c>
      <c r="L283" s="6">
        <v>0.21904202687170493</v>
      </c>
      <c r="N283" s="8">
        <f>SQRT((C283-Sheet3!$C$525)^2+(D283-Sheet3!$D$525)^2+(E283-Sheet3!$E$525)^2+(F283-Sheet3!$F$525)^2+(G283-Sheet3!$G$525)^2+(H283-Sheet3!$H$525)^2+(I283-Sheet3!$I$525)^2+(J283-Sheet3!$J$525)^2+(K283-Sheet3!$K$525)^2+(L283-Sheet3!$L$525)^2)</f>
        <v>5.9952522849093777</v>
      </c>
      <c r="O283" s="8">
        <f>SQRT((C283-Sheet3!$C$526)^2+(D283-Sheet3!$D$526)^2+(E283-Sheet3!$E$526)^2+(F283-Sheet3!$F$526)^2+(G283-Sheet3!$G$526)^2+(H283-Sheet3!$H$526)^2+(I283-Sheet3!$I$526)^2+(J283-Sheet3!$J$526)^2+(K283-Sheet3!$K$526)^2+(L283-Sheet3!$L$526)^2)</f>
        <v>2.8089202083427161</v>
      </c>
      <c r="P283" s="12">
        <f t="shared" si="4"/>
        <v>1</v>
      </c>
      <c r="Q283" s="11">
        <f>IF(P283=Sheet1!M283, 1, 0)</f>
        <v>0</v>
      </c>
    </row>
    <row r="284" spans="1:17" x14ac:dyDescent="0.35">
      <c r="A284" s="6" t="s">
        <v>311</v>
      </c>
      <c r="B284" s="6" t="s">
        <v>312</v>
      </c>
      <c r="C284" s="6">
        <v>0.29482181559348081</v>
      </c>
      <c r="D284" s="6">
        <v>-1.2377529895290724</v>
      </c>
      <c r="E284" s="6">
        <v>0.37178565133119662</v>
      </c>
      <c r="F284" s="6">
        <v>-0.20287001457692297</v>
      </c>
      <c r="G284" s="6">
        <v>-0.71624023209792131</v>
      </c>
      <c r="H284" s="6">
        <v>-0.16709717623001263</v>
      </c>
      <c r="I284" s="6">
        <v>0.42223805345387583</v>
      </c>
      <c r="J284" s="6">
        <v>-0.6602990797016397</v>
      </c>
      <c r="K284" s="6">
        <v>0.15892271500003949</v>
      </c>
      <c r="L284" s="6">
        <v>-0.24011906083948406</v>
      </c>
      <c r="N284" s="8">
        <f>SQRT((C284-Sheet3!$C$525)^2+(D284-Sheet3!$D$525)^2+(E284-Sheet3!$E$525)^2+(F284-Sheet3!$F$525)^2+(G284-Sheet3!$G$525)^2+(H284-Sheet3!$H$525)^2+(I284-Sheet3!$I$525)^2+(J284-Sheet3!$J$525)^2+(K284-Sheet3!$K$525)^2+(L284-Sheet3!$L$525)^2)</f>
        <v>1.4424521282326539</v>
      </c>
      <c r="O284" s="8">
        <f>SQRT((C284-Sheet3!$C$526)^2+(D284-Sheet3!$D$526)^2+(E284-Sheet3!$E$526)^2+(F284-Sheet3!$F$526)^2+(G284-Sheet3!$G$526)^2+(H284-Sheet3!$H$526)^2+(I284-Sheet3!$I$526)^2+(J284-Sheet3!$J$526)^2+(K284-Sheet3!$K$526)^2+(L284-Sheet3!$L$526)^2)</f>
        <v>4.1978064652859741</v>
      </c>
      <c r="P284" s="12">
        <f t="shared" si="4"/>
        <v>0</v>
      </c>
      <c r="Q284" s="11">
        <f>IF(P284=Sheet1!M284, 1, 0)</f>
        <v>1</v>
      </c>
    </row>
    <row r="285" spans="1:17" x14ac:dyDescent="0.35">
      <c r="A285" s="6" t="s">
        <v>311</v>
      </c>
      <c r="B285" s="6" t="s">
        <v>313</v>
      </c>
      <c r="C285" s="6">
        <v>0.15659357420459602</v>
      </c>
      <c r="D285" s="6">
        <v>-1.3175440779196146</v>
      </c>
      <c r="E285" s="6">
        <v>-0.13364817442563601</v>
      </c>
      <c r="F285" s="6">
        <v>-0.49405541743278225</v>
      </c>
      <c r="G285" s="6">
        <v>-0.95142443500314633</v>
      </c>
      <c r="H285" s="6">
        <v>0.10437456241375656</v>
      </c>
      <c r="I285" s="6">
        <v>0.47068773745327058</v>
      </c>
      <c r="J285" s="6">
        <v>-1.0360957352177749</v>
      </c>
      <c r="K285" s="6">
        <v>0.87408254388720275</v>
      </c>
      <c r="L285" s="6">
        <v>-0.20741256944269451</v>
      </c>
      <c r="N285" s="8">
        <f>SQRT((C285-Sheet3!$C$525)^2+(D285-Sheet3!$D$525)^2+(E285-Sheet3!$E$525)^2+(F285-Sheet3!$F$525)^2+(G285-Sheet3!$G$525)^2+(H285-Sheet3!$H$525)^2+(I285-Sheet3!$I$525)^2+(J285-Sheet3!$J$525)^2+(K285-Sheet3!$K$525)^2+(L285-Sheet3!$L$525)^2)</f>
        <v>1.7368383794811135</v>
      </c>
      <c r="O285" s="8">
        <f>SQRT((C285-Sheet3!$C$526)^2+(D285-Sheet3!$D$526)^2+(E285-Sheet3!$E$526)^2+(F285-Sheet3!$F$526)^2+(G285-Sheet3!$G$526)^2+(H285-Sheet3!$H$526)^2+(I285-Sheet3!$I$526)^2+(J285-Sheet3!$J$526)^2+(K285-Sheet3!$K$526)^2+(L285-Sheet3!$L$526)^2)</f>
        <v>4.8136674601944316</v>
      </c>
      <c r="P285" s="12">
        <f t="shared" si="4"/>
        <v>0</v>
      </c>
      <c r="Q285" s="11">
        <f>IF(P285=Sheet1!M285, 1, 0)</f>
        <v>1</v>
      </c>
    </row>
    <row r="286" spans="1:17" x14ac:dyDescent="0.35">
      <c r="A286" s="6" t="s">
        <v>311</v>
      </c>
      <c r="B286" s="6" t="s">
        <v>314</v>
      </c>
      <c r="C286" s="6">
        <v>0.41694579584967983</v>
      </c>
      <c r="D286" s="6">
        <v>-1.0597574846578628</v>
      </c>
      <c r="E286" s="6">
        <v>-0.32226487908124701</v>
      </c>
      <c r="F286" s="6">
        <v>-0.50329939847582572</v>
      </c>
      <c r="G286" s="6">
        <v>-1.0153016259156762</v>
      </c>
      <c r="H286" s="6">
        <v>0.39523713953208062</v>
      </c>
      <c r="I286" s="6">
        <v>0.62878670629340283</v>
      </c>
      <c r="J286" s="6">
        <v>-0.86148314780623725</v>
      </c>
      <c r="K286" s="6">
        <v>2.4325992698065704E-3</v>
      </c>
      <c r="L286" s="6">
        <v>-0.15782578685604323</v>
      </c>
      <c r="N286" s="8">
        <f>SQRT((C286-Sheet3!$C$525)^2+(D286-Sheet3!$D$525)^2+(E286-Sheet3!$E$525)^2+(F286-Sheet3!$F$525)^2+(G286-Sheet3!$G$525)^2+(H286-Sheet3!$H$525)^2+(I286-Sheet3!$I$525)^2+(J286-Sheet3!$J$525)^2+(K286-Sheet3!$K$525)^2+(L286-Sheet3!$L$525)^2)</f>
        <v>1.5841516922795569</v>
      </c>
      <c r="O286" s="8">
        <f>SQRT((C286-Sheet3!$C$526)^2+(D286-Sheet3!$D$526)^2+(E286-Sheet3!$E$526)^2+(F286-Sheet3!$F$526)^2+(G286-Sheet3!$G$526)^2+(H286-Sheet3!$H$526)^2+(I286-Sheet3!$I$526)^2+(J286-Sheet3!$J$526)^2+(K286-Sheet3!$K$526)^2+(L286-Sheet3!$L$526)^2)</f>
        <v>4.5139125384288938</v>
      </c>
      <c r="P286" s="12">
        <f t="shared" si="4"/>
        <v>0</v>
      </c>
      <c r="Q286" s="11">
        <f>IF(P286=Sheet1!M286, 1, 0)</f>
        <v>1</v>
      </c>
    </row>
    <row r="287" spans="1:17" x14ac:dyDescent="0.35">
      <c r="A287" s="6" t="s">
        <v>311</v>
      </c>
      <c r="B287" s="6" t="s">
        <v>315</v>
      </c>
      <c r="C287" s="6">
        <v>0.21966859697428132</v>
      </c>
      <c r="D287" s="6">
        <v>-0.17591773633185653</v>
      </c>
      <c r="E287" s="6">
        <v>-0.42651981544362572</v>
      </c>
      <c r="F287" s="6">
        <v>-0.29530982500735359</v>
      </c>
      <c r="G287" s="6">
        <v>-0.55945076349443645</v>
      </c>
      <c r="H287" s="6">
        <v>0.58214327705070712</v>
      </c>
      <c r="I287" s="6">
        <v>0.74863592460769612</v>
      </c>
      <c r="J287" s="6">
        <v>-0.63372759900857956</v>
      </c>
      <c r="K287" s="6">
        <v>-0.40757150394340436</v>
      </c>
      <c r="L287" s="6">
        <v>-0.24537169230363243</v>
      </c>
      <c r="N287" s="8">
        <f>SQRT((C287-Sheet3!$C$525)^2+(D287-Sheet3!$D$525)^2+(E287-Sheet3!$E$525)^2+(F287-Sheet3!$F$525)^2+(G287-Sheet3!$G$525)^2+(H287-Sheet3!$H$525)^2+(I287-Sheet3!$I$525)^2+(J287-Sheet3!$J$525)^2+(K287-Sheet3!$K$525)^2+(L287-Sheet3!$L$525)^2)</f>
        <v>1.4529447404985718</v>
      </c>
      <c r="O287" s="8">
        <f>SQRT((C287-Sheet3!$C$526)^2+(D287-Sheet3!$D$526)^2+(E287-Sheet3!$E$526)^2+(F287-Sheet3!$F$526)^2+(G287-Sheet3!$G$526)^2+(H287-Sheet3!$H$526)^2+(I287-Sheet3!$I$526)^2+(J287-Sheet3!$J$526)^2+(K287-Sheet3!$K$526)^2+(L287-Sheet3!$L$526)^2)</f>
        <v>3.7227101436935017</v>
      </c>
      <c r="P287" s="12">
        <f t="shared" si="4"/>
        <v>0</v>
      </c>
      <c r="Q287" s="11">
        <f>IF(P287=Sheet1!M287, 1, 0)</f>
        <v>1</v>
      </c>
    </row>
    <row r="288" spans="1:17" x14ac:dyDescent="0.35">
      <c r="A288" s="6" t="s">
        <v>311</v>
      </c>
      <c r="B288" s="6" t="s">
        <v>316</v>
      </c>
      <c r="C288" s="6">
        <v>4.3863746275796929E-2</v>
      </c>
      <c r="D288" s="6">
        <v>0.17393549738052108</v>
      </c>
      <c r="E288" s="6">
        <v>-0.52524887178679713</v>
      </c>
      <c r="F288" s="6">
        <v>-0.22752063069170417</v>
      </c>
      <c r="G288" s="6">
        <v>-0.77431040565476761</v>
      </c>
      <c r="H288" s="6">
        <v>0.3510691185622607</v>
      </c>
      <c r="I288" s="6">
        <v>0.72887355350267946</v>
      </c>
      <c r="J288" s="6">
        <v>-0.77417685410046855</v>
      </c>
      <c r="K288" s="6">
        <v>-0.29802842293224086</v>
      </c>
      <c r="L288" s="6">
        <v>-0.35489938673862004</v>
      </c>
      <c r="N288" s="8">
        <f>SQRT((C288-Sheet3!$C$525)^2+(D288-Sheet3!$D$525)^2+(E288-Sheet3!$E$525)^2+(F288-Sheet3!$F$525)^2+(G288-Sheet3!$G$525)^2+(H288-Sheet3!$H$525)^2+(I288-Sheet3!$I$525)^2+(J288-Sheet3!$J$525)^2+(K288-Sheet3!$K$525)^2+(L288-Sheet3!$L$525)^2)</f>
        <v>1.4968932202918277</v>
      </c>
      <c r="O288" s="8">
        <f>SQRT((C288-Sheet3!$C$526)^2+(D288-Sheet3!$D$526)^2+(E288-Sheet3!$E$526)^2+(F288-Sheet3!$F$526)^2+(G288-Sheet3!$G$526)^2+(H288-Sheet3!$H$526)^2+(I288-Sheet3!$I$526)^2+(J288-Sheet3!$J$526)^2+(K288-Sheet3!$K$526)^2+(L288-Sheet3!$L$526)^2)</f>
        <v>3.8029464321198763</v>
      </c>
      <c r="P288" s="12">
        <f t="shared" si="4"/>
        <v>0</v>
      </c>
      <c r="Q288" s="11">
        <f>IF(P288=Sheet1!M288, 1, 0)</f>
        <v>1</v>
      </c>
    </row>
    <row r="289" spans="1:17" x14ac:dyDescent="0.35">
      <c r="A289" s="6" t="s">
        <v>311</v>
      </c>
      <c r="B289" s="6" t="s">
        <v>317</v>
      </c>
      <c r="C289" s="6">
        <v>0.34984470779682325</v>
      </c>
      <c r="D289" s="6">
        <v>-0.32322436105285768</v>
      </c>
      <c r="E289" s="6">
        <v>-0.67407924030411515</v>
      </c>
      <c r="F289" s="6">
        <v>-0.50329939847582572</v>
      </c>
      <c r="G289" s="6">
        <v>-0.91658233086903773</v>
      </c>
      <c r="H289" s="6">
        <v>0.20671509880724115</v>
      </c>
      <c r="I289" s="6">
        <v>0.71803612418702611</v>
      </c>
      <c r="J289" s="6">
        <v>-1.3207901712148469</v>
      </c>
      <c r="K289" s="6">
        <v>0.34201615040441224</v>
      </c>
      <c r="L289" s="6">
        <v>-0.28999252307578455</v>
      </c>
      <c r="N289" s="8">
        <f>SQRT((C289-Sheet3!$C$525)^2+(D289-Sheet3!$D$525)^2+(E289-Sheet3!$E$525)^2+(F289-Sheet3!$F$525)^2+(G289-Sheet3!$G$525)^2+(H289-Sheet3!$H$525)^2+(I289-Sheet3!$I$525)^2+(J289-Sheet3!$J$525)^2+(K289-Sheet3!$K$525)^2+(L289-Sheet3!$L$525)^2)</f>
        <v>1.6108373555338651</v>
      </c>
      <c r="O289" s="8">
        <f>SQRT((C289-Sheet3!$C$526)^2+(D289-Sheet3!$D$526)^2+(E289-Sheet3!$E$526)^2+(F289-Sheet3!$F$526)^2+(G289-Sheet3!$G$526)^2+(H289-Sheet3!$H$526)^2+(I289-Sheet3!$I$526)^2+(J289-Sheet3!$J$526)^2+(K289-Sheet3!$K$526)^2+(L289-Sheet3!$L$526)^2)</f>
        <v>4.6130298670194598</v>
      </c>
      <c r="P289" s="12">
        <f t="shared" si="4"/>
        <v>0</v>
      </c>
      <c r="Q289" s="11">
        <f>IF(P289=Sheet1!M289, 1, 0)</f>
        <v>1</v>
      </c>
    </row>
    <row r="290" spans="1:17" x14ac:dyDescent="0.35">
      <c r="A290" s="6" t="s">
        <v>311</v>
      </c>
      <c r="B290" s="6" t="s">
        <v>318</v>
      </c>
      <c r="C290" s="6">
        <v>0.17001379181516729</v>
      </c>
      <c r="D290" s="6">
        <v>0.17393549738052108</v>
      </c>
      <c r="E290" s="6">
        <v>0.4506215396052215</v>
      </c>
      <c r="F290" s="6">
        <v>0.29630496174740628</v>
      </c>
      <c r="G290" s="6">
        <v>-0.39104726017958491</v>
      </c>
      <c r="H290" s="6">
        <v>0.84715140286962443</v>
      </c>
      <c r="I290" s="6">
        <v>0.65492403581939218</v>
      </c>
      <c r="J290" s="6">
        <v>0.17480459922310504</v>
      </c>
      <c r="K290" s="6">
        <v>0.24342737749436399</v>
      </c>
      <c r="L290" s="6">
        <v>-0.11592692920926659</v>
      </c>
      <c r="N290" s="8">
        <f>SQRT((C290-Sheet3!$C$525)^2+(D290-Sheet3!$D$525)^2+(E290-Sheet3!$E$525)^2+(F290-Sheet3!$F$525)^2+(G290-Sheet3!$G$525)^2+(H290-Sheet3!$H$525)^2+(I290-Sheet3!$I$525)^2+(J290-Sheet3!$J$525)^2+(K290-Sheet3!$K$525)^2+(L290-Sheet3!$L$525)^2)</f>
        <v>1.8855667898380988</v>
      </c>
      <c r="O290" s="8">
        <f>SQRT((C290-Sheet3!$C$526)^2+(D290-Sheet3!$D$526)^2+(E290-Sheet3!$E$526)^2+(F290-Sheet3!$F$526)^2+(G290-Sheet3!$G$526)^2+(H290-Sheet3!$H$526)^2+(I290-Sheet3!$I$526)^2+(J290-Sheet3!$J$526)^2+(K290-Sheet3!$K$526)^2+(L290-Sheet3!$L$526)^2)</f>
        <v>2.679922868760555</v>
      </c>
      <c r="P290" s="12">
        <f t="shared" si="4"/>
        <v>0</v>
      </c>
      <c r="Q290" s="11">
        <f>IF(P290=Sheet1!M290, 1, 0)</f>
        <v>1</v>
      </c>
    </row>
    <row r="291" spans="1:17" x14ac:dyDescent="0.35">
      <c r="A291" s="6" t="s">
        <v>311</v>
      </c>
      <c r="B291" s="6" t="s">
        <v>319</v>
      </c>
      <c r="C291" s="6">
        <v>1.981743169242296</v>
      </c>
      <c r="D291" s="6">
        <v>-1.4709884786706573</v>
      </c>
      <c r="E291" s="6">
        <v>-0.46704293558447968</v>
      </c>
      <c r="F291" s="6">
        <v>-0.79448480133168509</v>
      </c>
      <c r="G291" s="6">
        <v>-0.66688058457460209</v>
      </c>
      <c r="H291" s="6">
        <v>0.10922227203239547</v>
      </c>
      <c r="I291" s="6">
        <v>0.20485197129869362</v>
      </c>
      <c r="J291" s="6">
        <v>-1.2562594323888439</v>
      </c>
      <c r="K291" s="6">
        <v>0.62056855640422703</v>
      </c>
      <c r="L291" s="6">
        <v>-0.39077477480497946</v>
      </c>
      <c r="N291" s="8">
        <f>SQRT((C291-Sheet3!$C$525)^2+(D291-Sheet3!$D$525)^2+(E291-Sheet3!$E$525)^2+(F291-Sheet3!$F$525)^2+(G291-Sheet3!$G$525)^2+(H291-Sheet3!$H$525)^2+(I291-Sheet3!$I$525)^2+(J291-Sheet3!$J$525)^2+(K291-Sheet3!$K$525)^2+(L291-Sheet3!$L$525)^2)</f>
        <v>2.4696126662431923</v>
      </c>
      <c r="O291" s="8">
        <f>SQRT((C291-Sheet3!$C$526)^2+(D291-Sheet3!$D$526)^2+(E291-Sheet3!$E$526)^2+(F291-Sheet3!$F$526)^2+(G291-Sheet3!$G$526)^2+(H291-Sheet3!$H$526)^2+(I291-Sheet3!$I$526)^2+(J291-Sheet3!$J$526)^2+(K291-Sheet3!$K$526)^2+(L291-Sheet3!$L$526)^2)</f>
        <v>5.6955707649908724</v>
      </c>
      <c r="P291" s="12">
        <f t="shared" si="4"/>
        <v>0</v>
      </c>
      <c r="Q291" s="11">
        <f>IF(P291=Sheet1!M291, 1, 0)</f>
        <v>0</v>
      </c>
    </row>
    <row r="292" spans="1:17" x14ac:dyDescent="0.35">
      <c r="A292" s="6" t="s">
        <v>311</v>
      </c>
      <c r="B292" s="6" t="s">
        <v>320</v>
      </c>
      <c r="C292" s="6">
        <v>-0.48623484934177025</v>
      </c>
      <c r="D292" s="6">
        <v>0.67723313184394029</v>
      </c>
      <c r="E292" s="6">
        <v>1.7219423360241932</v>
      </c>
      <c r="F292" s="6">
        <v>1.41944865847715</v>
      </c>
      <c r="G292" s="6">
        <v>0.64550533781010599</v>
      </c>
      <c r="H292" s="6">
        <v>0.77712893060039778</v>
      </c>
      <c r="I292" s="6">
        <v>0.83023539239615152</v>
      </c>
      <c r="J292" s="6">
        <v>4.953904738439361E-2</v>
      </c>
      <c r="K292" s="6">
        <v>-0.60318414860619551</v>
      </c>
      <c r="L292" s="6">
        <v>-0.17735583798839505</v>
      </c>
      <c r="N292" s="8">
        <f>SQRT((C292-Sheet3!$C$525)^2+(D292-Sheet3!$D$525)^2+(E292-Sheet3!$E$525)^2+(F292-Sheet3!$F$525)^2+(G292-Sheet3!$G$525)^2+(H292-Sheet3!$H$525)^2+(I292-Sheet3!$I$525)^2+(J292-Sheet3!$J$525)^2+(K292-Sheet3!$K$525)^2+(L292-Sheet3!$L$525)^2)</f>
        <v>3.5737145509218049</v>
      </c>
      <c r="O292" s="8">
        <f>SQRT((C292-Sheet3!$C$526)^2+(D292-Sheet3!$D$526)^2+(E292-Sheet3!$E$526)^2+(F292-Sheet3!$F$526)^2+(G292-Sheet3!$G$526)^2+(H292-Sheet3!$H$526)^2+(I292-Sheet3!$I$526)^2+(J292-Sheet3!$J$526)^2+(K292-Sheet3!$K$526)^2+(L292-Sheet3!$L$526)^2)</f>
        <v>1.6234894758305056</v>
      </c>
      <c r="P292" s="12">
        <f t="shared" si="4"/>
        <v>1</v>
      </c>
      <c r="Q292" s="11">
        <f>IF(P292=Sheet1!M292, 1, 0)</f>
        <v>0</v>
      </c>
    </row>
    <row r="293" spans="1:17" x14ac:dyDescent="0.35">
      <c r="A293" s="6" t="s">
        <v>311</v>
      </c>
      <c r="B293" s="6" t="s">
        <v>321</v>
      </c>
      <c r="C293" s="6">
        <v>-0.45536834883745614</v>
      </c>
      <c r="D293" s="6">
        <v>1.3585262711785708</v>
      </c>
      <c r="E293" s="6">
        <v>0.29847564307637903</v>
      </c>
      <c r="F293" s="6">
        <v>0.95262761580347066</v>
      </c>
      <c r="G293" s="6">
        <v>0.24482114026787305</v>
      </c>
      <c r="H293" s="6">
        <v>0.72595866240365625</v>
      </c>
      <c r="I293" s="6">
        <v>0.94307215644737541</v>
      </c>
      <c r="J293" s="6">
        <v>-0.56919686018257654</v>
      </c>
      <c r="K293" s="6">
        <v>0.93824349133659779</v>
      </c>
      <c r="L293" s="6">
        <v>-0.39752656113963664</v>
      </c>
      <c r="N293" s="8">
        <f>SQRT((C293-Sheet3!$C$525)^2+(D293-Sheet3!$D$525)^2+(E293-Sheet3!$E$525)^2+(F293-Sheet3!$F$525)^2+(G293-Sheet3!$G$525)^2+(H293-Sheet3!$H$525)^2+(I293-Sheet3!$I$525)^2+(J293-Sheet3!$J$525)^2+(K293-Sheet3!$K$525)^2+(L293-Sheet3!$L$525)^2)</f>
        <v>2.9499061042964909</v>
      </c>
      <c r="O293" s="8">
        <f>SQRT((C293-Sheet3!$C$526)^2+(D293-Sheet3!$D$526)^2+(E293-Sheet3!$E$526)^2+(F293-Sheet3!$F$526)^2+(G293-Sheet3!$G$526)^2+(H293-Sheet3!$H$526)^2+(I293-Sheet3!$I$526)^2+(J293-Sheet3!$J$526)^2+(K293-Sheet3!$K$526)^2+(L293-Sheet3!$L$526)^2)</f>
        <v>2.8215257413411821</v>
      </c>
      <c r="P293" s="12">
        <f t="shared" si="4"/>
        <v>1</v>
      </c>
      <c r="Q293" s="11">
        <f>IF(P293=Sheet1!M293, 1, 0)</f>
        <v>0</v>
      </c>
    </row>
    <row r="294" spans="1:17" x14ac:dyDescent="0.35">
      <c r="A294" s="6" t="s">
        <v>322</v>
      </c>
      <c r="B294" s="6" t="s">
        <v>323</v>
      </c>
      <c r="C294" s="6">
        <v>2.1629161069850089</v>
      </c>
      <c r="D294" s="6">
        <v>-0.97996639626732074</v>
      </c>
      <c r="E294" s="6">
        <v>-1.1117289378253377</v>
      </c>
      <c r="F294" s="6">
        <v>-0.93930717100602734</v>
      </c>
      <c r="G294" s="6">
        <v>-0.73656479284281529</v>
      </c>
      <c r="H294" s="6">
        <v>-1.23197738912432</v>
      </c>
      <c r="I294" s="6">
        <v>9.9665157352638603E-2</v>
      </c>
      <c r="J294" s="6">
        <v>-1.2600553582021381</v>
      </c>
      <c r="K294" s="6">
        <v>0.73167653857269133</v>
      </c>
      <c r="L294" s="6">
        <v>-0.42859555175044162</v>
      </c>
      <c r="N294" s="8">
        <f>SQRT((C294-Sheet3!$C$525)^2+(D294-Sheet3!$D$525)^2+(E294-Sheet3!$E$525)^2+(F294-Sheet3!$F$525)^2+(G294-Sheet3!$G$525)^2+(H294-Sheet3!$H$525)^2+(I294-Sheet3!$I$525)^2+(J294-Sheet3!$J$525)^2+(K294-Sheet3!$K$525)^2+(L294-Sheet3!$L$525)^2)</f>
        <v>2.7676480715180007</v>
      </c>
      <c r="O294" s="8">
        <f>SQRT((C294-Sheet3!$C$526)^2+(D294-Sheet3!$D$526)^2+(E294-Sheet3!$E$526)^2+(F294-Sheet3!$F$526)^2+(G294-Sheet3!$G$526)^2+(H294-Sheet3!$H$526)^2+(I294-Sheet3!$I$526)^2+(J294-Sheet3!$J$526)^2+(K294-Sheet3!$K$526)^2+(L294-Sheet3!$L$526)^2)</f>
        <v>6.1965129750995862</v>
      </c>
      <c r="P294" s="12">
        <f t="shared" si="4"/>
        <v>0</v>
      </c>
      <c r="Q294" s="11">
        <f>IF(P294=Sheet1!M294, 1, 0)</f>
        <v>0</v>
      </c>
    </row>
    <row r="295" spans="1:17" x14ac:dyDescent="0.35">
      <c r="A295" s="6" t="s">
        <v>322</v>
      </c>
      <c r="B295" s="6" t="s">
        <v>324</v>
      </c>
      <c r="C295" s="6">
        <v>2.336036914161379</v>
      </c>
      <c r="D295" s="6">
        <v>-0.68535314682531845</v>
      </c>
      <c r="E295" s="6">
        <v>-0.35763051120417405</v>
      </c>
      <c r="F295" s="6">
        <v>-0.64504044113582093</v>
      </c>
      <c r="G295" s="6">
        <v>-1.3056524936999039</v>
      </c>
      <c r="H295" s="6">
        <v>-0.43856891487378108</v>
      </c>
      <c r="I295" s="6">
        <v>-0.3510444030101576</v>
      </c>
      <c r="J295" s="6">
        <v>-0.64891130226175675</v>
      </c>
      <c r="K295" s="6">
        <v>0.45781883604478379</v>
      </c>
      <c r="L295" s="6">
        <v>-0.37515930085655835</v>
      </c>
      <c r="N295" s="8">
        <f>SQRT((C295-Sheet3!$C$525)^2+(D295-Sheet3!$D$525)^2+(E295-Sheet3!$E$525)^2+(F295-Sheet3!$F$525)^2+(G295-Sheet3!$G$525)^2+(H295-Sheet3!$H$525)^2+(I295-Sheet3!$I$525)^2+(J295-Sheet3!$J$525)^2+(K295-Sheet3!$K$525)^2+(L295-Sheet3!$L$525)^2)</f>
        <v>2.459895966936867</v>
      </c>
      <c r="O295" s="8">
        <f>SQRT((C295-Sheet3!$C$526)^2+(D295-Sheet3!$D$526)^2+(E295-Sheet3!$E$526)^2+(F295-Sheet3!$F$526)^2+(G295-Sheet3!$G$526)^2+(H295-Sheet3!$H$526)^2+(I295-Sheet3!$I$526)^2+(J295-Sheet3!$J$526)^2+(K295-Sheet3!$K$526)^2+(L295-Sheet3!$L$526)^2)</f>
        <v>5.5977452056109627</v>
      </c>
      <c r="P295" s="12">
        <f t="shared" si="4"/>
        <v>0</v>
      </c>
      <c r="Q295" s="11">
        <f>IF(P295=Sheet1!M295, 1, 0)</f>
        <v>0</v>
      </c>
    </row>
    <row r="296" spans="1:17" x14ac:dyDescent="0.35">
      <c r="A296" s="6" t="s">
        <v>322</v>
      </c>
      <c r="B296" s="6" t="s">
        <v>325</v>
      </c>
      <c r="C296" s="6">
        <v>1.4368823342531003</v>
      </c>
      <c r="D296" s="6">
        <v>-0.64238871461502689</v>
      </c>
      <c r="E296" s="6">
        <v>-1.0494706896089347</v>
      </c>
      <c r="F296" s="6">
        <v>-0.8499486875899438</v>
      </c>
      <c r="G296" s="6">
        <v>-1.3782402106459608</v>
      </c>
      <c r="H296" s="6">
        <v>-0.1229291552601927</v>
      </c>
      <c r="I296" s="6">
        <v>-3.357147364569868E-2</v>
      </c>
      <c r="J296" s="6">
        <v>-0.40597205021092181</v>
      </c>
      <c r="K296" s="6">
        <v>0.67221029459520354</v>
      </c>
      <c r="L296" s="6">
        <v>-0.35686516915548205</v>
      </c>
      <c r="N296" s="8">
        <f>SQRT((C296-Sheet3!$C$525)^2+(D296-Sheet3!$D$525)^2+(E296-Sheet3!$E$525)^2+(F296-Sheet3!$F$525)^2+(G296-Sheet3!$G$525)^2+(H296-Sheet3!$H$525)^2+(I296-Sheet3!$I$525)^2+(J296-Sheet3!$J$525)^2+(K296-Sheet3!$K$525)^2+(L296-Sheet3!$L$525)^2)</f>
        <v>1.9552907557328556</v>
      </c>
      <c r="O296" s="8">
        <f>SQRT((C296-Sheet3!$C$526)^2+(D296-Sheet3!$D$526)^2+(E296-Sheet3!$E$526)^2+(F296-Sheet3!$F$526)^2+(G296-Sheet3!$G$526)^2+(H296-Sheet3!$H$526)^2+(I296-Sheet3!$I$526)^2+(J296-Sheet3!$J$526)^2+(K296-Sheet3!$K$526)^2+(L296-Sheet3!$L$526)^2)</f>
        <v>5.3655121958542527</v>
      </c>
      <c r="P296" s="12">
        <f t="shared" si="4"/>
        <v>0</v>
      </c>
      <c r="Q296" s="11">
        <f>IF(P296=Sheet1!M296, 1, 0)</f>
        <v>0</v>
      </c>
    </row>
    <row r="297" spans="1:17" x14ac:dyDescent="0.35">
      <c r="A297" s="6" t="s">
        <v>322</v>
      </c>
      <c r="B297" s="6" t="s">
        <v>326</v>
      </c>
      <c r="C297" s="6">
        <v>1.9280622988000107</v>
      </c>
      <c r="D297" s="6">
        <v>-1.0413441565677377</v>
      </c>
      <c r="E297" s="6">
        <v>-1.2841363944246069</v>
      </c>
      <c r="F297" s="6">
        <v>-1.196597976704062</v>
      </c>
      <c r="G297" s="6">
        <v>-0.92819636558040863</v>
      </c>
      <c r="H297" s="6">
        <v>-1.4571265691899855</v>
      </c>
      <c r="I297" s="6">
        <v>-1.5010869021536981</v>
      </c>
      <c r="J297" s="6">
        <v>-0.94499351569871182</v>
      </c>
      <c r="K297" s="6">
        <v>1.4280575535722282</v>
      </c>
      <c r="L297" s="6">
        <v>-0.35689011780720808</v>
      </c>
      <c r="N297" s="8">
        <f>SQRT((C297-Sheet3!$C$525)^2+(D297-Sheet3!$D$525)^2+(E297-Sheet3!$E$525)^2+(F297-Sheet3!$F$525)^2+(G297-Sheet3!$G$525)^2+(H297-Sheet3!$H$525)^2+(I297-Sheet3!$I$525)^2+(J297-Sheet3!$J$525)^2+(K297-Sheet3!$K$525)^2+(L297-Sheet3!$L$525)^2)</f>
        <v>3.2479726864423917</v>
      </c>
      <c r="O297" s="8">
        <f>SQRT((C297-Sheet3!$C$526)^2+(D297-Sheet3!$D$526)^2+(E297-Sheet3!$E$526)^2+(F297-Sheet3!$F$526)^2+(G297-Sheet3!$G$526)^2+(H297-Sheet3!$H$526)^2+(I297-Sheet3!$I$526)^2+(J297-Sheet3!$J$526)^2+(K297-Sheet3!$K$526)^2+(L297-Sheet3!$L$526)^2)</f>
        <v>6.803272171830649</v>
      </c>
      <c r="P297" s="12">
        <f t="shared" si="4"/>
        <v>0</v>
      </c>
      <c r="Q297" s="11">
        <f>IF(P297=Sheet1!M297, 1, 0)</f>
        <v>0</v>
      </c>
    </row>
    <row r="298" spans="1:17" x14ac:dyDescent="0.35">
      <c r="A298" s="6" t="s">
        <v>322</v>
      </c>
      <c r="B298" s="6" t="s">
        <v>327</v>
      </c>
      <c r="C298" s="6">
        <v>1.3885695508550437</v>
      </c>
      <c r="D298" s="6">
        <v>-0.29253548090264925</v>
      </c>
      <c r="E298" s="6">
        <v>-1.4738582750840594</v>
      </c>
      <c r="F298" s="6">
        <v>-0.96087646010646144</v>
      </c>
      <c r="G298" s="6">
        <v>-0.74527531887634235</v>
      </c>
      <c r="H298" s="6">
        <v>-0.38632137787289705</v>
      </c>
      <c r="I298" s="6">
        <v>0.14110238708896297</v>
      </c>
      <c r="J298" s="6">
        <v>-0.4477272341571592</v>
      </c>
      <c r="K298" s="6">
        <v>1.3998893327407853</v>
      </c>
      <c r="L298" s="6">
        <v>-0.39731579309109355</v>
      </c>
      <c r="N298" s="8">
        <f>SQRT((C298-Sheet3!$C$525)^2+(D298-Sheet3!$D$525)^2+(E298-Sheet3!$E$525)^2+(F298-Sheet3!$F$525)^2+(G298-Sheet3!$G$525)^2+(H298-Sheet3!$H$525)^2+(I298-Sheet3!$I$525)^2+(J298-Sheet3!$J$525)^2+(K298-Sheet3!$K$525)^2+(L298-Sheet3!$L$525)^2)</f>
        <v>2.2123387636894316</v>
      </c>
      <c r="O298" s="8">
        <f>SQRT((C298-Sheet3!$C$526)^2+(D298-Sheet3!$D$526)^2+(E298-Sheet3!$E$526)^2+(F298-Sheet3!$F$526)^2+(G298-Sheet3!$G$526)^2+(H298-Sheet3!$H$526)^2+(I298-Sheet3!$I$526)^2+(J298-Sheet3!$J$526)^2+(K298-Sheet3!$K$526)^2+(L298-Sheet3!$L$526)^2)</f>
        <v>5.5115158261722685</v>
      </c>
      <c r="P298" s="12">
        <f t="shared" si="4"/>
        <v>0</v>
      </c>
      <c r="Q298" s="11">
        <f>IF(P298=Sheet1!M298, 1, 0)</f>
        <v>0</v>
      </c>
    </row>
    <row r="299" spans="1:17" x14ac:dyDescent="0.35">
      <c r="A299" s="6" t="s">
        <v>322</v>
      </c>
      <c r="B299" s="6" t="s">
        <v>328</v>
      </c>
      <c r="C299" s="6">
        <v>0.45720644868139365</v>
      </c>
      <c r="D299" s="6">
        <v>-0.66080204270515153</v>
      </c>
      <c r="E299" s="6">
        <v>-1.0660483296665568</v>
      </c>
      <c r="F299" s="6">
        <v>-1.1026175027664555</v>
      </c>
      <c r="G299" s="6">
        <v>-1.3840472280016443</v>
      </c>
      <c r="H299" s="6">
        <v>-0.29098308870633555</v>
      </c>
      <c r="I299" s="6">
        <v>0.20038950040401293</v>
      </c>
      <c r="J299" s="6">
        <v>0.11027386039710205</v>
      </c>
      <c r="K299" s="6">
        <v>0.21056445319101608</v>
      </c>
      <c r="L299" s="6">
        <v>-0.39583270648957741</v>
      </c>
      <c r="N299" s="8">
        <f>SQRT((C299-Sheet3!$C$525)^2+(D299-Sheet3!$D$525)^2+(E299-Sheet3!$E$525)^2+(F299-Sheet3!$F$525)^2+(G299-Sheet3!$G$525)^2+(H299-Sheet3!$H$525)^2+(I299-Sheet3!$I$525)^2+(J299-Sheet3!$J$525)^2+(K299-Sheet3!$K$525)^2+(L299-Sheet3!$L$525)^2)</f>
        <v>1.6830435945185878</v>
      </c>
      <c r="O299" s="8">
        <f>SQRT((C299-Sheet3!$C$526)^2+(D299-Sheet3!$D$526)^2+(E299-Sheet3!$E$526)^2+(F299-Sheet3!$F$526)^2+(G299-Sheet3!$G$526)^2+(H299-Sheet3!$H$526)^2+(I299-Sheet3!$I$526)^2+(J299-Sheet3!$J$526)^2+(K299-Sheet3!$K$526)^2+(L299-Sheet3!$L$526)^2)</f>
        <v>4.9692211251886071</v>
      </c>
      <c r="P299" s="12">
        <f t="shared" si="4"/>
        <v>0</v>
      </c>
      <c r="Q299" s="11">
        <f>IF(P299=Sheet1!M299, 1, 0)</f>
        <v>1</v>
      </c>
    </row>
    <row r="300" spans="1:17" x14ac:dyDescent="0.35">
      <c r="A300" s="6" t="s">
        <v>322</v>
      </c>
      <c r="B300" s="6" t="s">
        <v>329</v>
      </c>
      <c r="C300" s="6">
        <v>1.1832402214133022</v>
      </c>
      <c r="D300" s="6">
        <v>-1.0197783520730632E-2</v>
      </c>
      <c r="E300" s="6">
        <v>-1.3165548905372901</v>
      </c>
      <c r="F300" s="6">
        <v>-1.3183103937707965</v>
      </c>
      <c r="G300" s="6">
        <v>-2.3276875483003843</v>
      </c>
      <c r="H300" s="6">
        <v>0.32090559204628627</v>
      </c>
      <c r="I300" s="6">
        <v>-0.68254224090075621</v>
      </c>
      <c r="J300" s="6">
        <v>-0.93740166407212322</v>
      </c>
      <c r="K300" s="6">
        <v>0.45938373720208692</v>
      </c>
      <c r="L300" s="6">
        <v>-0.41618871679619918</v>
      </c>
      <c r="N300" s="8">
        <f>SQRT((C300-Sheet3!$C$525)^2+(D300-Sheet3!$D$525)^2+(E300-Sheet3!$E$525)^2+(F300-Sheet3!$F$525)^2+(G300-Sheet3!$G$525)^2+(H300-Sheet3!$H$525)^2+(I300-Sheet3!$I$525)^2+(J300-Sheet3!$J$525)^2+(K300-Sheet3!$K$525)^2+(L300-Sheet3!$L$525)^2)</f>
        <v>2.8401153505146768</v>
      </c>
      <c r="O300" s="8">
        <f>SQRT((C300-Sheet3!$C$526)^2+(D300-Sheet3!$D$526)^2+(E300-Sheet3!$E$526)^2+(F300-Sheet3!$F$526)^2+(G300-Sheet3!$G$526)^2+(H300-Sheet3!$H$526)^2+(I300-Sheet3!$I$526)^2+(J300-Sheet3!$J$526)^2+(K300-Sheet3!$K$526)^2+(L300-Sheet3!$L$526)^2)</f>
        <v>6.0822838077872907</v>
      </c>
      <c r="P300" s="12">
        <f t="shared" si="4"/>
        <v>0</v>
      </c>
      <c r="Q300" s="11">
        <f>IF(P300=Sheet1!M300, 1, 0)</f>
        <v>0</v>
      </c>
    </row>
    <row r="301" spans="1:17" x14ac:dyDescent="0.35">
      <c r="A301" s="6" t="s">
        <v>322</v>
      </c>
      <c r="B301" s="6" t="s">
        <v>330</v>
      </c>
      <c r="C301" s="6">
        <v>1.8703553630745542</v>
      </c>
      <c r="D301" s="6">
        <v>-0.1268155280915228</v>
      </c>
      <c r="E301" s="6">
        <v>-1.1301485378893621</v>
      </c>
      <c r="F301" s="6">
        <v>-0.79756612834603213</v>
      </c>
      <c r="G301" s="6">
        <v>-0.71333672342007748</v>
      </c>
      <c r="H301" s="6">
        <v>0.79059479065217197</v>
      </c>
      <c r="I301" s="6">
        <v>0.49555007529506556</v>
      </c>
      <c r="J301" s="6">
        <v>-4.5359097947963757E-2</v>
      </c>
      <c r="K301" s="6">
        <v>-0.19161514423568365</v>
      </c>
      <c r="L301" s="6">
        <v>-0.43427609229222597</v>
      </c>
      <c r="N301" s="8">
        <f>SQRT((C301-Sheet3!$C$525)^2+(D301-Sheet3!$D$525)^2+(E301-Sheet3!$E$525)^2+(F301-Sheet3!$F$525)^2+(G301-Sheet3!$G$525)^2+(H301-Sheet3!$H$525)^2+(I301-Sheet3!$I$525)^2+(J301-Sheet3!$J$525)^2+(K301-Sheet3!$K$525)^2+(L301-Sheet3!$L$525)^2)</f>
        <v>2.3552602095133666</v>
      </c>
      <c r="O301" s="8">
        <f>SQRT((C301-Sheet3!$C$526)^2+(D301-Sheet3!$D$526)^2+(E301-Sheet3!$E$526)^2+(F301-Sheet3!$F$526)^2+(G301-Sheet3!$G$526)^2+(H301-Sheet3!$H$526)^2+(I301-Sheet3!$I$526)^2+(J301-Sheet3!$J$526)^2+(K301-Sheet3!$K$526)^2+(L301-Sheet3!$L$526)^2)</f>
        <v>4.8356693851995125</v>
      </c>
      <c r="P301" s="12">
        <f t="shared" si="4"/>
        <v>0</v>
      </c>
      <c r="Q301" s="11">
        <f>IF(P301=Sheet1!M301, 1, 0)</f>
        <v>0</v>
      </c>
    </row>
    <row r="302" spans="1:17" x14ac:dyDescent="0.35">
      <c r="A302" s="6" t="s">
        <v>322</v>
      </c>
      <c r="B302" s="6" t="s">
        <v>331</v>
      </c>
      <c r="C302" s="6">
        <v>-0.15207143083854427</v>
      </c>
      <c r="D302" s="6">
        <v>-0.43984210562365039</v>
      </c>
      <c r="E302" s="6">
        <v>-1.0118947054783247</v>
      </c>
      <c r="F302" s="6">
        <v>-0.87922129422624684</v>
      </c>
      <c r="G302" s="6">
        <v>-1.262099863532268</v>
      </c>
      <c r="H302" s="6">
        <v>0.85415365009654687</v>
      </c>
      <c r="I302" s="6">
        <v>0.88633502650071505</v>
      </c>
      <c r="J302" s="6">
        <v>-0.47429871485021918</v>
      </c>
      <c r="K302" s="6">
        <v>0.36548966776394587</v>
      </c>
      <c r="L302" s="6">
        <v>-0.3854336947288074</v>
      </c>
      <c r="N302" s="8">
        <f>SQRT((C302-Sheet3!$C$525)^2+(D302-Sheet3!$D$525)^2+(E302-Sheet3!$E$525)^2+(F302-Sheet3!$F$525)^2+(G302-Sheet3!$G$525)^2+(H302-Sheet3!$H$525)^2+(I302-Sheet3!$I$525)^2+(J302-Sheet3!$J$525)^2+(K302-Sheet3!$K$525)^2+(L302-Sheet3!$L$525)^2)</f>
        <v>2.0553249601825705</v>
      </c>
      <c r="O302" s="8">
        <f>SQRT((C302-Sheet3!$C$526)^2+(D302-Sheet3!$D$526)^2+(E302-Sheet3!$E$526)^2+(F302-Sheet3!$F$526)^2+(G302-Sheet3!$G$526)^2+(H302-Sheet3!$H$526)^2+(I302-Sheet3!$I$526)^2+(J302-Sheet3!$J$526)^2+(K302-Sheet3!$K$526)^2+(L302-Sheet3!$L$526)^2)</f>
        <v>4.6586267502130889</v>
      </c>
      <c r="P302" s="12">
        <f t="shared" si="4"/>
        <v>0</v>
      </c>
      <c r="Q302" s="11">
        <f>IF(P302=Sheet1!M302, 1, 0)</f>
        <v>1</v>
      </c>
    </row>
    <row r="303" spans="1:17" x14ac:dyDescent="0.35">
      <c r="A303" s="6" t="s">
        <v>322</v>
      </c>
      <c r="B303" s="6" t="s">
        <v>332</v>
      </c>
      <c r="C303" s="6">
        <v>0.14451537835508185</v>
      </c>
      <c r="D303" s="6">
        <v>-0.9124508599368617</v>
      </c>
      <c r="E303" s="6">
        <v>-0.84869704891106756</v>
      </c>
      <c r="F303" s="6">
        <v>-0.69588233687255807</v>
      </c>
      <c r="G303" s="6">
        <v>-0.64074900647402055</v>
      </c>
      <c r="H303" s="6">
        <v>0.31982832324214455</v>
      </c>
      <c r="I303" s="6">
        <v>0.44455040792728123</v>
      </c>
      <c r="J303" s="6">
        <v>-0.19719613047973569</v>
      </c>
      <c r="K303" s="6">
        <v>0.69724871311204029</v>
      </c>
      <c r="L303" s="6">
        <v>-0.38849611038565041</v>
      </c>
      <c r="N303" s="8">
        <f>SQRT((C303-Sheet3!$C$525)^2+(D303-Sheet3!$D$525)^2+(E303-Sheet3!$E$525)^2+(F303-Sheet3!$F$525)^2+(G303-Sheet3!$G$525)^2+(H303-Sheet3!$H$525)^2+(I303-Sheet3!$I$525)^2+(J303-Sheet3!$J$525)^2+(K303-Sheet3!$K$525)^2+(L303-Sheet3!$L$525)^2)</f>
        <v>1.3537309407716733</v>
      </c>
      <c r="O303" s="8">
        <f>SQRT((C303-Sheet3!$C$526)^2+(D303-Sheet3!$D$526)^2+(E303-Sheet3!$E$526)^2+(F303-Sheet3!$F$526)^2+(G303-Sheet3!$G$526)^2+(H303-Sheet3!$H$526)^2+(I303-Sheet3!$I$526)^2+(J303-Sheet3!$J$526)^2+(K303-Sheet3!$K$526)^2+(L303-Sheet3!$L$526)^2)</f>
        <v>4.4952500918748397</v>
      </c>
      <c r="P303" s="12">
        <f t="shared" si="4"/>
        <v>0</v>
      </c>
      <c r="Q303" s="11">
        <f>IF(P303=Sheet1!M303, 1, 0)</f>
        <v>1</v>
      </c>
    </row>
    <row r="304" spans="1:17" x14ac:dyDescent="0.35">
      <c r="A304" s="6" t="s">
        <v>322</v>
      </c>
      <c r="B304" s="6" t="s">
        <v>333</v>
      </c>
      <c r="C304" s="6">
        <v>1.5912148367746703</v>
      </c>
      <c r="D304" s="6">
        <v>-0.24957104869235763</v>
      </c>
      <c r="E304" s="6">
        <v>-0.47809469562289436</v>
      </c>
      <c r="F304" s="6">
        <v>-0.40469693401669876</v>
      </c>
      <c r="G304" s="6">
        <v>-1.2272577593981593</v>
      </c>
      <c r="H304" s="6">
        <v>0.50781172956491283</v>
      </c>
      <c r="I304" s="6">
        <v>0.82003545892259477</v>
      </c>
      <c r="J304" s="6">
        <v>-0.92980981244553462</v>
      </c>
      <c r="K304" s="6">
        <v>1.2684376355273892</v>
      </c>
      <c r="L304" s="6">
        <v>-0.37195417222543659</v>
      </c>
      <c r="N304" s="8">
        <f>SQRT((C304-Sheet3!$C$525)^2+(D304-Sheet3!$D$525)^2+(E304-Sheet3!$E$525)^2+(F304-Sheet3!$F$525)^2+(G304-Sheet3!$G$525)^2+(H304-Sheet3!$H$525)^2+(I304-Sheet3!$I$525)^2+(J304-Sheet3!$J$525)^2+(K304-Sheet3!$K$525)^2+(L304-Sheet3!$L$525)^2)</f>
        <v>2.4500311138928432</v>
      </c>
      <c r="O304" s="8">
        <f>SQRT((C304-Sheet3!$C$526)^2+(D304-Sheet3!$D$526)^2+(E304-Sheet3!$E$526)^2+(F304-Sheet3!$F$526)^2+(G304-Sheet3!$G$526)^2+(H304-Sheet3!$H$526)^2+(I304-Sheet3!$I$526)^2+(J304-Sheet3!$J$526)^2+(K304-Sheet3!$K$526)^2+(L304-Sheet3!$L$526)^2)</f>
        <v>5.1179387645129015</v>
      </c>
      <c r="P304" s="12">
        <f t="shared" si="4"/>
        <v>0</v>
      </c>
      <c r="Q304" s="11">
        <f>IF(P304=Sheet1!M304, 1, 0)</f>
        <v>0</v>
      </c>
    </row>
    <row r="305" spans="1:17" x14ac:dyDescent="0.35">
      <c r="A305" s="6" t="s">
        <v>322</v>
      </c>
      <c r="B305" s="6" t="s">
        <v>334</v>
      </c>
      <c r="C305" s="6">
        <v>4.1179702753682719E-2</v>
      </c>
      <c r="D305" s="6">
        <v>5.7317752809727819E-2</v>
      </c>
      <c r="E305" s="6">
        <v>-0.55472023188923636</v>
      </c>
      <c r="F305" s="6">
        <v>-0.31533845060061522</v>
      </c>
      <c r="G305" s="6">
        <v>-0.44621392505858753</v>
      </c>
      <c r="H305" s="6">
        <v>0.76474033935276597</v>
      </c>
      <c r="I305" s="6">
        <v>0.60009939339902385</v>
      </c>
      <c r="J305" s="6">
        <v>-0.78556463154035128</v>
      </c>
      <c r="K305" s="6">
        <v>0.47346784761780619</v>
      </c>
      <c r="L305" s="6">
        <v>-0.41013171071157739</v>
      </c>
      <c r="N305" s="8">
        <f>SQRT((C305-Sheet3!$C$525)^2+(D305-Sheet3!$D$525)^2+(E305-Sheet3!$E$525)^2+(F305-Sheet3!$F$525)^2+(G305-Sheet3!$G$525)^2+(H305-Sheet3!$H$525)^2+(I305-Sheet3!$I$525)^2+(J305-Sheet3!$J$525)^2+(K305-Sheet3!$K$525)^2+(L305-Sheet3!$L$525)^2)</f>
        <v>1.484796880871659</v>
      </c>
      <c r="O305" s="8">
        <f>SQRT((C305-Sheet3!$C$526)^2+(D305-Sheet3!$D$526)^2+(E305-Sheet3!$E$526)^2+(F305-Sheet3!$F$526)^2+(G305-Sheet3!$G$526)^2+(H305-Sheet3!$H$526)^2+(I305-Sheet3!$I$526)^2+(J305-Sheet3!$J$526)^2+(K305-Sheet3!$K$526)^2+(L305-Sheet3!$L$526)^2)</f>
        <v>3.8957325798134037</v>
      </c>
      <c r="P305" s="12">
        <f t="shared" si="4"/>
        <v>0</v>
      </c>
      <c r="Q305" s="11">
        <f>IF(P305=Sheet1!M305, 1, 0)</f>
        <v>1</v>
      </c>
    </row>
    <row r="306" spans="1:17" x14ac:dyDescent="0.35">
      <c r="A306" s="6" t="s">
        <v>322</v>
      </c>
      <c r="B306" s="6" t="s">
        <v>335</v>
      </c>
      <c r="C306" s="6">
        <v>1.1013768939888173</v>
      </c>
      <c r="D306" s="6">
        <v>-0.50735764195410882</v>
      </c>
      <c r="E306" s="6">
        <v>-1.1758291460481429</v>
      </c>
      <c r="F306" s="6">
        <v>-0.7575088771595111</v>
      </c>
      <c r="G306" s="6">
        <v>-0.73946830152065901</v>
      </c>
      <c r="H306" s="6">
        <v>-0.23496511089095434</v>
      </c>
      <c r="I306" s="6">
        <v>0.41713808671709751</v>
      </c>
      <c r="J306" s="6">
        <v>-0.51605389879645636</v>
      </c>
      <c r="K306" s="6">
        <v>1.2731323389992963</v>
      </c>
      <c r="L306" s="6">
        <v>-0.39571398099618771</v>
      </c>
      <c r="N306" s="8">
        <f>SQRT((C306-Sheet3!$C$525)^2+(D306-Sheet3!$D$525)^2+(E306-Sheet3!$E$525)^2+(F306-Sheet3!$F$525)^2+(G306-Sheet3!$G$525)^2+(H306-Sheet3!$H$525)^2+(I306-Sheet3!$I$525)^2+(J306-Sheet3!$J$525)^2+(K306-Sheet3!$K$525)^2+(L306-Sheet3!$L$525)^2)</f>
        <v>1.8743500040290404</v>
      </c>
      <c r="O306" s="8">
        <f>SQRT((C306-Sheet3!$C$526)^2+(D306-Sheet3!$D$526)^2+(E306-Sheet3!$E$526)^2+(F306-Sheet3!$F$526)^2+(G306-Sheet3!$G$526)^2+(H306-Sheet3!$H$526)^2+(I306-Sheet3!$I$526)^2+(J306-Sheet3!$J$526)^2+(K306-Sheet3!$K$526)^2+(L306-Sheet3!$L$526)^2)</f>
        <v>5.170338860447611</v>
      </c>
      <c r="P306" s="12">
        <f t="shared" si="4"/>
        <v>0</v>
      </c>
      <c r="Q306" s="11">
        <f>IF(P306=Sheet1!M306, 1, 0)</f>
        <v>0</v>
      </c>
    </row>
    <row r="307" spans="1:17" x14ac:dyDescent="0.35">
      <c r="A307" s="6" t="s">
        <v>322</v>
      </c>
      <c r="B307" s="6" t="s">
        <v>336</v>
      </c>
      <c r="C307" s="6">
        <v>2.1213134323922374</v>
      </c>
      <c r="D307" s="6">
        <v>-0.44597988165369196</v>
      </c>
      <c r="E307" s="6">
        <v>-1.4079161068548518</v>
      </c>
      <c r="F307" s="6">
        <v>-1.1288087823884114</v>
      </c>
      <c r="G307" s="6">
        <v>-1.386950736679488</v>
      </c>
      <c r="H307" s="6">
        <v>0.55628882575130034</v>
      </c>
      <c r="I307" s="6">
        <v>0.4573003247692275</v>
      </c>
      <c r="J307" s="6">
        <v>-0.52744167623633942</v>
      </c>
      <c r="K307" s="6">
        <v>0.73480634088729546</v>
      </c>
      <c r="L307" s="6">
        <v>-0.41774111217307142</v>
      </c>
      <c r="N307" s="8">
        <f>SQRT((C307-Sheet3!$C$525)^2+(D307-Sheet3!$D$525)^2+(E307-Sheet3!$E$525)^2+(F307-Sheet3!$F$525)^2+(G307-Sheet3!$G$525)^2+(H307-Sheet3!$H$525)^2+(I307-Sheet3!$I$525)^2+(J307-Sheet3!$J$525)^2+(K307-Sheet3!$K$525)^2+(L307-Sheet3!$L$525)^2)</f>
        <v>2.8282528533573088</v>
      </c>
      <c r="O307" s="8">
        <f>SQRT((C307-Sheet3!$C$526)^2+(D307-Sheet3!$D$526)^2+(E307-Sheet3!$E$526)^2+(F307-Sheet3!$F$526)^2+(G307-Sheet3!$G$526)^2+(H307-Sheet3!$H$526)^2+(I307-Sheet3!$I$526)^2+(J307-Sheet3!$J$526)^2+(K307-Sheet3!$K$526)^2+(L307-Sheet3!$L$526)^2)</f>
        <v>5.8360153670617985</v>
      </c>
      <c r="P307" s="12">
        <f t="shared" si="4"/>
        <v>0</v>
      </c>
      <c r="Q307" s="11">
        <f>IF(P307=Sheet1!M307, 1, 0)</f>
        <v>0</v>
      </c>
    </row>
    <row r="308" spans="1:17" x14ac:dyDescent="0.35">
      <c r="A308" s="6" t="s">
        <v>322</v>
      </c>
      <c r="B308" s="6" t="s">
        <v>337</v>
      </c>
      <c r="C308" s="6">
        <v>0.75781932315819156</v>
      </c>
      <c r="D308" s="6">
        <v>-0.5380465221043178</v>
      </c>
      <c r="E308" s="6">
        <v>-1.0737845616934472</v>
      </c>
      <c r="F308" s="6">
        <v>-0.88692461176211568</v>
      </c>
      <c r="G308" s="6">
        <v>-0.63784549779618094</v>
      </c>
      <c r="H308" s="6">
        <v>-0.23658101409716734</v>
      </c>
      <c r="I308" s="6">
        <v>0.35020102329687958</v>
      </c>
      <c r="J308" s="6">
        <v>-4.5359097947963757E-2</v>
      </c>
      <c r="K308" s="6">
        <v>0.58144602747166874</v>
      </c>
      <c r="L308" s="6">
        <v>-0.41094878950311398</v>
      </c>
      <c r="N308" s="8">
        <f>SQRT((C308-Sheet3!$C$525)^2+(D308-Sheet3!$D$525)^2+(E308-Sheet3!$E$525)^2+(F308-Sheet3!$F$525)^2+(G308-Sheet3!$G$525)^2+(H308-Sheet3!$H$525)^2+(I308-Sheet3!$I$525)^2+(J308-Sheet3!$J$525)^2+(K308-Sheet3!$K$525)^2+(L308-Sheet3!$L$525)^2)</f>
        <v>1.358820034134645</v>
      </c>
      <c r="O308" s="8">
        <f>SQRT((C308-Sheet3!$C$526)^2+(D308-Sheet3!$D$526)^2+(E308-Sheet3!$E$526)^2+(F308-Sheet3!$F$526)^2+(G308-Sheet3!$G$526)^2+(H308-Sheet3!$H$526)^2+(I308-Sheet3!$I$526)^2+(J308-Sheet3!$J$526)^2+(K308-Sheet3!$K$526)^2+(L308-Sheet3!$L$526)^2)</f>
        <v>4.7032053914188436</v>
      </c>
      <c r="P308" s="12">
        <f t="shared" si="4"/>
        <v>0</v>
      </c>
      <c r="Q308" s="11">
        <f>IF(P308=Sheet1!M308, 1, 0)</f>
        <v>1</v>
      </c>
    </row>
    <row r="309" spans="1:17" x14ac:dyDescent="0.35">
      <c r="A309" s="6" t="s">
        <v>322</v>
      </c>
      <c r="B309" s="6" t="s">
        <v>338</v>
      </c>
      <c r="C309" s="6">
        <v>2.952024902486603</v>
      </c>
      <c r="D309" s="6">
        <v>-1.2070641093788641</v>
      </c>
      <c r="E309" s="6">
        <v>-1.5707453714208284</v>
      </c>
      <c r="F309" s="6">
        <v>-1.2520618629623208</v>
      </c>
      <c r="G309" s="6">
        <v>-0.35910866472332004</v>
      </c>
      <c r="H309" s="6">
        <v>-1.4361198275092175</v>
      </c>
      <c r="I309" s="6">
        <v>-1.5590990237845532</v>
      </c>
      <c r="J309" s="6">
        <v>-1.3701372067876727</v>
      </c>
      <c r="K309" s="6">
        <v>-5.3903842393077189E-2</v>
      </c>
      <c r="L309" s="6">
        <v>-0.44290788699405059</v>
      </c>
      <c r="N309" s="8">
        <f>SQRT((C309-Sheet3!$C$525)^2+(D309-Sheet3!$D$525)^2+(E309-Sheet3!$E$525)^2+(F309-Sheet3!$F$525)^2+(G309-Sheet3!$G$525)^2+(H309-Sheet3!$H$525)^2+(I309-Sheet3!$I$525)^2+(J309-Sheet3!$J$525)^2+(K309-Sheet3!$K$525)^2+(L309-Sheet3!$L$525)^2)</f>
        <v>3.8695170103659775</v>
      </c>
      <c r="O309" s="8">
        <f>SQRT((C309-Sheet3!$C$526)^2+(D309-Sheet3!$D$526)^2+(E309-Sheet3!$E$526)^2+(F309-Sheet3!$F$526)^2+(G309-Sheet3!$G$526)^2+(H309-Sheet3!$H$526)^2+(I309-Sheet3!$I$526)^2+(J309-Sheet3!$J$526)^2+(K309-Sheet3!$K$526)^2+(L309-Sheet3!$L$526)^2)</f>
        <v>7.2115764543969645</v>
      </c>
      <c r="P309" s="12">
        <f t="shared" si="4"/>
        <v>0</v>
      </c>
      <c r="Q309" s="11">
        <f>IF(P309=Sheet1!M309, 1, 0)</f>
        <v>0</v>
      </c>
    </row>
    <row r="310" spans="1:17" x14ac:dyDescent="0.35">
      <c r="A310" s="6" t="s">
        <v>322</v>
      </c>
      <c r="B310" s="6" t="s">
        <v>339</v>
      </c>
      <c r="C310" s="6">
        <v>2.1347336500028091</v>
      </c>
      <c r="D310" s="6">
        <v>-1.2807174217393646</v>
      </c>
      <c r="E310" s="6">
        <v>-1.4624381230443642</v>
      </c>
      <c r="F310" s="6">
        <v>-1.1765693511108013</v>
      </c>
      <c r="G310" s="6">
        <v>-0.31555603455568837</v>
      </c>
      <c r="H310" s="6">
        <v>-1.8880340908467614</v>
      </c>
      <c r="I310" s="6">
        <v>-0.15214570027579766</v>
      </c>
      <c r="J310" s="6">
        <v>-1.1461775838033095</v>
      </c>
      <c r="K310" s="6">
        <v>2.1698207021335314</v>
      </c>
      <c r="L310" s="6">
        <v>-0.40972860402054001</v>
      </c>
      <c r="N310" s="8">
        <f>SQRT((C310-Sheet3!$C$525)^2+(D310-Sheet3!$D$525)^2+(E310-Sheet3!$E$525)^2+(F310-Sheet3!$F$525)^2+(G310-Sheet3!$G$525)^2+(H310-Sheet3!$H$525)^2+(I310-Sheet3!$I$525)^2+(J310-Sheet3!$J$525)^2+(K310-Sheet3!$K$525)^2+(L310-Sheet3!$L$525)^2)</f>
        <v>3.7303906040834129</v>
      </c>
      <c r="O310" s="8">
        <f>SQRT((C310-Sheet3!$C$526)^2+(D310-Sheet3!$D$526)^2+(E310-Sheet3!$E$526)^2+(F310-Sheet3!$F$526)^2+(G310-Sheet3!$G$526)^2+(H310-Sheet3!$H$526)^2+(I310-Sheet3!$I$526)^2+(J310-Sheet3!$J$526)^2+(K310-Sheet3!$K$526)^2+(L310-Sheet3!$L$526)^2)</f>
        <v>7.0618266348038032</v>
      </c>
      <c r="P310" s="12">
        <f t="shared" si="4"/>
        <v>0</v>
      </c>
      <c r="Q310" s="11">
        <f>IF(P310=Sheet1!M310, 1, 0)</f>
        <v>0</v>
      </c>
    </row>
    <row r="311" spans="1:17" x14ac:dyDescent="0.35">
      <c r="A311" s="6" t="s">
        <v>322</v>
      </c>
      <c r="B311" s="6" t="s">
        <v>340</v>
      </c>
      <c r="C311" s="6">
        <v>8.5466420868568094E-2</v>
      </c>
      <c r="D311" s="6">
        <v>-0.32936213708289924</v>
      </c>
      <c r="E311" s="6">
        <v>-0.76286171261271329</v>
      </c>
      <c r="F311" s="6">
        <v>-0.63271513307843041</v>
      </c>
      <c r="G311" s="6">
        <v>-0.69881918003086696</v>
      </c>
      <c r="H311" s="6">
        <v>0.63923852367022937</v>
      </c>
      <c r="I311" s="6">
        <v>0.58352450150449442</v>
      </c>
      <c r="J311" s="6">
        <v>-1.552341645825799</v>
      </c>
      <c r="K311" s="6">
        <v>-0.35592976575242774</v>
      </c>
      <c r="L311" s="6">
        <v>-0.42955388086498325</v>
      </c>
      <c r="N311" s="8">
        <f>SQRT((C311-Sheet3!$C$525)^2+(D311-Sheet3!$D$525)^2+(E311-Sheet3!$E$525)^2+(F311-Sheet3!$F$525)^2+(G311-Sheet3!$G$525)^2+(H311-Sheet3!$H$525)^2+(I311-Sheet3!$I$525)^2+(J311-Sheet3!$J$525)^2+(K311-Sheet3!$K$525)^2+(L311-Sheet3!$L$525)^2)</f>
        <v>1.8944911643345366</v>
      </c>
      <c r="O311" s="8">
        <f>SQRT((C311-Sheet3!$C$526)^2+(D311-Sheet3!$D$526)^2+(E311-Sheet3!$E$526)^2+(F311-Sheet3!$F$526)^2+(G311-Sheet3!$G$526)^2+(H311-Sheet3!$H$526)^2+(I311-Sheet3!$I$526)^2+(J311-Sheet3!$J$526)^2+(K311-Sheet3!$K$526)^2+(L311-Sheet3!$L$526)^2)</f>
        <v>4.6195161974678971</v>
      </c>
      <c r="P311" s="12">
        <f t="shared" si="4"/>
        <v>0</v>
      </c>
      <c r="Q311" s="11">
        <f>IF(P311=Sheet1!M311, 1, 0)</f>
        <v>1</v>
      </c>
    </row>
    <row r="312" spans="1:17" x14ac:dyDescent="0.35">
      <c r="A312" s="6" t="s">
        <v>322</v>
      </c>
      <c r="B312" s="6" t="s">
        <v>341</v>
      </c>
      <c r="C312" s="6">
        <v>1.9092739941452108</v>
      </c>
      <c r="D312" s="6">
        <v>-0.6669398187351937</v>
      </c>
      <c r="E312" s="6">
        <v>-1.6742635237806462</v>
      </c>
      <c r="F312" s="6">
        <v>-1.3183103937707965</v>
      </c>
      <c r="G312" s="6">
        <v>-0.46073146844780222</v>
      </c>
      <c r="H312" s="6">
        <v>-1.627873674646483</v>
      </c>
      <c r="I312" s="6">
        <v>-0.60604273984908019</v>
      </c>
      <c r="J312" s="6">
        <v>-1.1765449903096639</v>
      </c>
      <c r="K312" s="6">
        <v>1.9538643424258106</v>
      </c>
      <c r="L312" s="6">
        <v>-0.41533519709292871</v>
      </c>
      <c r="N312" s="8">
        <f>SQRT((C312-Sheet3!$C$525)^2+(D312-Sheet3!$D$525)^2+(E312-Sheet3!$E$525)^2+(F312-Sheet3!$F$525)^2+(G312-Sheet3!$G$525)^2+(H312-Sheet3!$H$525)^2+(I312-Sheet3!$I$525)^2+(J312-Sheet3!$J$525)^2+(K312-Sheet3!$K$525)^2+(L312-Sheet3!$L$525)^2)</f>
        <v>3.4209557367197658</v>
      </c>
      <c r="O312" s="8">
        <f>SQRT((C312-Sheet3!$C$526)^2+(D312-Sheet3!$D$526)^2+(E312-Sheet3!$E$526)^2+(F312-Sheet3!$F$526)^2+(G312-Sheet3!$G$526)^2+(H312-Sheet3!$H$526)^2+(I312-Sheet3!$I$526)^2+(J312-Sheet3!$J$526)^2+(K312-Sheet3!$K$526)^2+(L312-Sheet3!$L$526)^2)</f>
        <v>6.8564436241032301</v>
      </c>
      <c r="P312" s="12">
        <f t="shared" si="4"/>
        <v>0</v>
      </c>
      <c r="Q312" s="11">
        <f>IF(P312=Sheet1!M312, 1, 0)</f>
        <v>0</v>
      </c>
    </row>
    <row r="313" spans="1:17" x14ac:dyDescent="0.35">
      <c r="A313" s="6" t="s">
        <v>322</v>
      </c>
      <c r="B313" s="6" t="s">
        <v>342</v>
      </c>
      <c r="C313" s="6">
        <v>2.3964278934089496</v>
      </c>
      <c r="D313" s="6">
        <v>-1.0904463648080713</v>
      </c>
      <c r="E313" s="6">
        <v>-1.867300932451623</v>
      </c>
      <c r="F313" s="6">
        <v>-1.9869583558842505</v>
      </c>
      <c r="G313" s="6">
        <v>-2.6122313987289285</v>
      </c>
      <c r="H313" s="6">
        <v>0.21964232445694415</v>
      </c>
      <c r="I313" s="6">
        <v>-2.2412195748286714</v>
      </c>
      <c r="J313" s="6">
        <v>-1.4460557230535587</v>
      </c>
      <c r="K313" s="6">
        <v>-0.10085087711214884</v>
      </c>
      <c r="L313" s="6">
        <v>-0.44253432585874242</v>
      </c>
      <c r="N313" s="8">
        <f>SQRT((C313-Sheet3!$C$525)^2+(D313-Sheet3!$D$525)^2+(E313-Sheet3!$E$525)^2+(F313-Sheet3!$F$525)^2+(G313-Sheet3!$G$525)^2+(H313-Sheet3!$H$525)^2+(I313-Sheet3!$I$525)^2+(J313-Sheet3!$J$525)^2+(K313-Sheet3!$K$525)^2+(L313-Sheet3!$L$525)^2)</f>
        <v>4.6167128475169008</v>
      </c>
      <c r="O313" s="8">
        <f>SQRT((C313-Sheet3!$C$526)^2+(D313-Sheet3!$D$526)^2+(E313-Sheet3!$E$526)^2+(F313-Sheet3!$F$526)^2+(G313-Sheet3!$G$526)^2+(H313-Sheet3!$H$526)^2+(I313-Sheet3!$I$526)^2+(J313-Sheet3!$J$526)^2+(K313-Sheet3!$K$526)^2+(L313-Sheet3!$L$526)^2)</f>
        <v>8.001222665855229</v>
      </c>
      <c r="P313" s="12">
        <f t="shared" si="4"/>
        <v>0</v>
      </c>
      <c r="Q313" s="11">
        <f>IF(P313=Sheet1!M313, 1, 0)</f>
        <v>0</v>
      </c>
    </row>
    <row r="314" spans="1:17" x14ac:dyDescent="0.35">
      <c r="A314" s="6" t="s">
        <v>322</v>
      </c>
      <c r="B314" s="6" t="s">
        <v>343</v>
      </c>
      <c r="C314" s="6">
        <v>0.54443786315010712</v>
      </c>
      <c r="D314" s="6">
        <v>-0.82038421948623641</v>
      </c>
      <c r="E314" s="6">
        <v>-1.6444237716769265</v>
      </c>
      <c r="F314" s="6">
        <v>-1.4646734269523125</v>
      </c>
      <c r="G314" s="6">
        <v>-1.3492051238675355</v>
      </c>
      <c r="H314" s="6">
        <v>-0.32976476565544532</v>
      </c>
      <c r="I314" s="6">
        <v>5.6315440090021318E-2</v>
      </c>
      <c r="J314" s="6">
        <v>-0.61854389575540236</v>
      </c>
      <c r="K314" s="6">
        <v>9.9456471022549467E-2</v>
      </c>
      <c r="L314" s="6">
        <v>-0.41891455549994094</v>
      </c>
      <c r="N314" s="8">
        <f>SQRT((C314-Sheet3!$C$525)^2+(D314-Sheet3!$D$525)^2+(E314-Sheet3!$E$525)^2+(F314-Sheet3!$F$525)^2+(G314-Sheet3!$G$525)^2+(H314-Sheet3!$H$525)^2+(I314-Sheet3!$I$525)^2+(J314-Sheet3!$J$525)^2+(K314-Sheet3!$K$525)^2+(L314-Sheet3!$L$525)^2)</f>
        <v>2.1305140783779497</v>
      </c>
      <c r="O314" s="8">
        <f>SQRT((C314-Sheet3!$C$526)^2+(D314-Sheet3!$D$526)^2+(E314-Sheet3!$E$526)^2+(F314-Sheet3!$F$526)^2+(G314-Sheet3!$G$526)^2+(H314-Sheet3!$H$526)^2+(I314-Sheet3!$I$526)^2+(J314-Sheet3!$J$526)^2+(K314-Sheet3!$K$526)^2+(L314-Sheet3!$L$526)^2)</f>
        <v>5.6814370601331854</v>
      </c>
      <c r="P314" s="12">
        <f t="shared" si="4"/>
        <v>0</v>
      </c>
      <c r="Q314" s="11">
        <f>IF(P314=Sheet1!M314, 1, 0)</f>
        <v>1</v>
      </c>
    </row>
    <row r="315" spans="1:17" x14ac:dyDescent="0.35">
      <c r="A315" s="6" t="s">
        <v>322</v>
      </c>
      <c r="B315" s="6" t="s">
        <v>344</v>
      </c>
      <c r="C315" s="6">
        <v>-0.4164497177667994</v>
      </c>
      <c r="D315" s="6">
        <v>1.9416149940325327</v>
      </c>
      <c r="E315" s="6">
        <v>1.0658361817436401</v>
      </c>
      <c r="F315" s="6">
        <v>1.5118884689075804</v>
      </c>
      <c r="G315" s="6">
        <v>2.1250972074018888E-2</v>
      </c>
      <c r="H315" s="6">
        <v>0.68179064143383628</v>
      </c>
      <c r="I315" s="6">
        <v>0.73014854518687478</v>
      </c>
      <c r="J315" s="6">
        <v>1.7842771440598861</v>
      </c>
      <c r="K315" s="6">
        <v>-1.1149068270440565</v>
      </c>
      <c r="L315" s="6">
        <v>-0.11353933906008178</v>
      </c>
      <c r="N315" s="8">
        <f>SQRT((C315-Sheet3!$C$525)^2+(D315-Sheet3!$D$525)^2+(E315-Sheet3!$E$525)^2+(F315-Sheet3!$F$525)^2+(G315-Sheet3!$G$525)^2+(H315-Sheet3!$H$525)^2+(I315-Sheet3!$I$525)^2+(J315-Sheet3!$J$525)^2+(K315-Sheet3!$K$525)^2+(L315-Sheet3!$L$525)^2)</f>
        <v>4.3803322905855397</v>
      </c>
      <c r="O315" s="8">
        <f>SQRT((C315-Sheet3!$C$526)^2+(D315-Sheet3!$D$526)^2+(E315-Sheet3!$E$526)^2+(F315-Sheet3!$F$526)^2+(G315-Sheet3!$G$526)^2+(H315-Sheet3!$H$526)^2+(I315-Sheet3!$I$526)^2+(J315-Sheet3!$J$526)^2+(K315-Sheet3!$K$526)^2+(L315-Sheet3!$L$526)^2)</f>
        <v>1.7390453206186114</v>
      </c>
      <c r="P315" s="12">
        <f t="shared" si="4"/>
        <v>1</v>
      </c>
      <c r="Q315" s="11">
        <f>IF(P315=Sheet1!M315, 1, 0)</f>
        <v>0</v>
      </c>
    </row>
    <row r="316" spans="1:17" x14ac:dyDescent="0.35">
      <c r="A316" s="6" t="s">
        <v>345</v>
      </c>
      <c r="B316" s="6" t="s">
        <v>346</v>
      </c>
      <c r="C316" s="6">
        <v>-0.61909500368642634</v>
      </c>
      <c r="D316" s="6">
        <v>-1.0536197086278214</v>
      </c>
      <c r="E316" s="6">
        <v>-0.18301270259722169</v>
      </c>
      <c r="F316" s="6">
        <v>-0.43551020416017633</v>
      </c>
      <c r="G316" s="6">
        <v>-0.16747709198573077</v>
      </c>
      <c r="H316" s="6">
        <v>0.83260827401370774</v>
      </c>
      <c r="I316" s="6">
        <v>0.66703645681924084</v>
      </c>
      <c r="J316" s="6">
        <v>-0.41356390183751041</v>
      </c>
      <c r="K316" s="6">
        <v>0.528239388123389</v>
      </c>
      <c r="L316" s="6">
        <v>-0.16749357745504403</v>
      </c>
      <c r="N316" s="8">
        <f>SQRT((C316-Sheet3!$C$525)^2+(D316-Sheet3!$D$525)^2+(E316-Sheet3!$E$525)^2+(F316-Sheet3!$F$525)^2+(G316-Sheet3!$G$525)^2+(H316-Sheet3!$H$525)^2+(I316-Sheet3!$I$525)^2+(J316-Sheet3!$J$525)^2+(K316-Sheet3!$K$525)^2+(L316-Sheet3!$L$525)^2)</f>
        <v>1.7976874710875432</v>
      </c>
      <c r="O316" s="8">
        <f>SQRT((C316-Sheet3!$C$526)^2+(D316-Sheet3!$D$526)^2+(E316-Sheet3!$E$526)^2+(F316-Sheet3!$F$526)^2+(G316-Sheet3!$G$526)^2+(H316-Sheet3!$H$526)^2+(I316-Sheet3!$I$526)^2+(J316-Sheet3!$J$526)^2+(K316-Sheet3!$K$526)^2+(L316-Sheet3!$L$526)^2)</f>
        <v>3.8990289663377267</v>
      </c>
      <c r="P316" s="12">
        <f t="shared" si="4"/>
        <v>0</v>
      </c>
      <c r="Q316" s="11">
        <f>IF(P316=Sheet1!M316, 1, 0)</f>
        <v>1</v>
      </c>
    </row>
    <row r="317" spans="1:17" x14ac:dyDescent="0.35">
      <c r="A317" s="6" t="s">
        <v>345</v>
      </c>
      <c r="B317" s="6" t="s">
        <v>347</v>
      </c>
      <c r="C317" s="6">
        <v>-0.77745357149116789</v>
      </c>
      <c r="D317" s="6">
        <v>-1.0045175003874875</v>
      </c>
      <c r="E317" s="6">
        <v>-0.41694162341033297</v>
      </c>
      <c r="F317" s="6">
        <v>-0.29068783448583185</v>
      </c>
      <c r="G317" s="6">
        <v>1.2145930386671946</v>
      </c>
      <c r="H317" s="6">
        <v>0.26758078624126053</v>
      </c>
      <c r="I317" s="6">
        <v>-0.67744227416397784</v>
      </c>
      <c r="J317" s="6">
        <v>-0.24274724023926728</v>
      </c>
      <c r="K317" s="6">
        <v>0.10884587796636379</v>
      </c>
      <c r="L317" s="6">
        <v>-0.33685166998712923</v>
      </c>
      <c r="N317" s="8">
        <f>SQRT((C317-Sheet3!$C$525)^2+(D317-Sheet3!$D$525)^2+(E317-Sheet3!$E$525)^2+(F317-Sheet3!$F$525)^2+(G317-Sheet3!$G$525)^2+(H317-Sheet3!$H$525)^2+(I317-Sheet3!$I$525)^2+(J317-Sheet3!$J$525)^2+(K317-Sheet3!$K$525)^2+(L317-Sheet3!$L$525)^2)</f>
        <v>2.0226058695012017</v>
      </c>
      <c r="O317" s="8">
        <f>SQRT((C317-Sheet3!$C$526)^2+(D317-Sheet3!$D$526)^2+(E317-Sheet3!$E$526)^2+(F317-Sheet3!$F$526)^2+(G317-Sheet3!$G$526)^2+(H317-Sheet3!$H$526)^2+(I317-Sheet3!$I$526)^2+(J317-Sheet3!$J$526)^2+(K317-Sheet3!$K$526)^2+(L317-Sheet3!$L$526)^2)</f>
        <v>3.9214577518687834</v>
      </c>
      <c r="P317" s="12">
        <f t="shared" si="4"/>
        <v>0</v>
      </c>
      <c r="Q317" s="11">
        <f>IF(P317=Sheet1!M317, 1, 0)</f>
        <v>1</v>
      </c>
    </row>
    <row r="318" spans="1:17" x14ac:dyDescent="0.35">
      <c r="A318" s="6" t="s">
        <v>345</v>
      </c>
      <c r="B318" s="6" t="s">
        <v>348</v>
      </c>
      <c r="C318" s="6">
        <v>-0.17220175725440129</v>
      </c>
      <c r="D318" s="6">
        <v>-0.80810866742615273</v>
      </c>
      <c r="E318" s="6">
        <v>-1.0660483296665568</v>
      </c>
      <c r="F318" s="6">
        <v>-0.5726292562986498</v>
      </c>
      <c r="G318" s="6">
        <v>0.98231234443981319</v>
      </c>
      <c r="H318" s="6">
        <v>-0.77306087855985339</v>
      </c>
      <c r="I318" s="6">
        <v>-1.2492760445252618</v>
      </c>
      <c r="J318" s="6">
        <v>-0.69825833783458258</v>
      </c>
      <c r="K318" s="6">
        <v>0.11354058143827095</v>
      </c>
      <c r="L318" s="6">
        <v>-0.30614159310387706</v>
      </c>
      <c r="N318" s="8">
        <f>SQRT((C318-Sheet3!$C$525)^2+(D318-Sheet3!$D$525)^2+(E318-Sheet3!$E$525)^2+(F318-Sheet3!$F$525)^2+(G318-Sheet3!$G$525)^2+(H318-Sheet3!$H$525)^2+(I318-Sheet3!$I$525)^2+(J318-Sheet3!$J$525)^2+(K318-Sheet3!$K$525)^2+(L318-Sheet3!$L$525)^2)</f>
        <v>1.9966906881338062</v>
      </c>
      <c r="O318" s="8">
        <f>SQRT((C318-Sheet3!$C$526)^2+(D318-Sheet3!$D$526)^2+(E318-Sheet3!$E$526)^2+(F318-Sheet3!$F$526)^2+(G318-Sheet3!$G$526)^2+(H318-Sheet3!$H$526)^2+(I318-Sheet3!$I$526)^2+(J318-Sheet3!$J$526)^2+(K318-Sheet3!$K$526)^2+(L318-Sheet3!$L$526)^2)</f>
        <v>4.848692047559684</v>
      </c>
      <c r="P318" s="12">
        <f t="shared" si="4"/>
        <v>0</v>
      </c>
      <c r="Q318" s="11">
        <f>IF(P318=Sheet1!M318, 1, 0)</f>
        <v>1</v>
      </c>
    </row>
    <row r="319" spans="1:17" x14ac:dyDescent="0.35">
      <c r="A319" s="6" t="s">
        <v>345</v>
      </c>
      <c r="B319" s="6" t="s">
        <v>349</v>
      </c>
      <c r="C319" s="6">
        <v>-0.95191640042859527</v>
      </c>
      <c r="D319" s="6">
        <v>-0.85721087566648646</v>
      </c>
      <c r="E319" s="6">
        <v>-0.94558414524783652</v>
      </c>
      <c r="F319" s="6">
        <v>-0.6003611994277781</v>
      </c>
      <c r="G319" s="6">
        <v>0.44225973036114985</v>
      </c>
      <c r="H319" s="6">
        <v>0.36345770980989323</v>
      </c>
      <c r="I319" s="6">
        <v>0.2373642592456566</v>
      </c>
      <c r="J319" s="6">
        <v>1.0061123523345556</v>
      </c>
      <c r="K319" s="6">
        <v>-1.3465121983248018</v>
      </c>
      <c r="L319" s="6">
        <v>-0.34472088010487245</v>
      </c>
      <c r="N319" s="8">
        <f>SQRT((C319-Sheet3!$C$525)^2+(D319-Sheet3!$D$525)^2+(E319-Sheet3!$E$525)^2+(F319-Sheet3!$F$525)^2+(G319-Sheet3!$G$525)^2+(H319-Sheet3!$H$525)^2+(I319-Sheet3!$I$525)^2+(J319-Sheet3!$J$525)^2+(K319-Sheet3!$K$525)^2+(L319-Sheet3!$L$525)^2)</f>
        <v>2.6795605815802488</v>
      </c>
      <c r="O319" s="8">
        <f>SQRT((C319-Sheet3!$C$526)^2+(D319-Sheet3!$D$526)^2+(E319-Sheet3!$E$526)^2+(F319-Sheet3!$F$526)^2+(G319-Sheet3!$G$526)^2+(H319-Sheet3!$H$526)^2+(I319-Sheet3!$I$526)^2+(J319-Sheet3!$J$526)^2+(K319-Sheet3!$K$526)^2+(L319-Sheet3!$L$526)^2)</f>
        <v>3.802900937074345</v>
      </c>
      <c r="P319" s="12">
        <f t="shared" si="4"/>
        <v>0</v>
      </c>
      <c r="Q319" s="11">
        <f>IF(P319=Sheet1!M319, 1, 0)</f>
        <v>1</v>
      </c>
    </row>
    <row r="320" spans="1:17" x14ac:dyDescent="0.35">
      <c r="A320" s="6" t="s">
        <v>345</v>
      </c>
      <c r="B320" s="6" t="s">
        <v>350</v>
      </c>
      <c r="C320" s="6">
        <v>-1.0364637713751945</v>
      </c>
      <c r="D320" s="6">
        <v>-0.64238871461502689</v>
      </c>
      <c r="E320" s="6">
        <v>-0.735600704517957</v>
      </c>
      <c r="F320" s="6">
        <v>-0.57416991980582233</v>
      </c>
      <c r="G320" s="6">
        <v>0.51194393862936305</v>
      </c>
      <c r="H320" s="6">
        <v>-0.36962371140869682</v>
      </c>
      <c r="I320" s="6">
        <v>-0.22035775538020902</v>
      </c>
      <c r="J320" s="6">
        <v>-0.61095204412881376</v>
      </c>
      <c r="K320" s="6">
        <v>-8.5217088313108893E-3</v>
      </c>
      <c r="L320" s="6">
        <v>-0.17078811586902648</v>
      </c>
      <c r="N320" s="8">
        <f>SQRT((C320-Sheet3!$C$525)^2+(D320-Sheet3!$D$525)^2+(E320-Sheet3!$E$525)^2+(F320-Sheet3!$F$525)^2+(G320-Sheet3!$G$525)^2+(H320-Sheet3!$H$525)^2+(I320-Sheet3!$I$525)^2+(J320-Sheet3!$J$525)^2+(K320-Sheet3!$K$525)^2+(L320-Sheet3!$L$525)^2)</f>
        <v>1.6025890605074213</v>
      </c>
      <c r="O320" s="8">
        <f>SQRT((C320-Sheet3!$C$526)^2+(D320-Sheet3!$D$526)^2+(E320-Sheet3!$E$526)^2+(F320-Sheet3!$F$526)^2+(G320-Sheet3!$G$526)^2+(H320-Sheet3!$H$526)^2+(I320-Sheet3!$I$526)^2+(J320-Sheet3!$J$526)^2+(K320-Sheet3!$K$526)^2+(L320-Sheet3!$L$526)^2)</f>
        <v>4.0916614254988026</v>
      </c>
      <c r="P320" s="12">
        <f t="shared" si="4"/>
        <v>0</v>
      </c>
      <c r="Q320" s="11">
        <f>IF(P320=Sheet1!M320, 1, 0)</f>
        <v>1</v>
      </c>
    </row>
    <row r="321" spans="1:17" x14ac:dyDescent="0.35">
      <c r="A321" s="6" t="s">
        <v>345</v>
      </c>
      <c r="B321" s="6" t="s">
        <v>351</v>
      </c>
      <c r="C321" s="6">
        <v>-0.2876156287053146</v>
      </c>
      <c r="D321" s="6">
        <v>-0.59942428240473467</v>
      </c>
      <c r="E321" s="6">
        <v>-0.41104735138984516</v>
      </c>
      <c r="F321" s="6">
        <v>-0.38466830842343708</v>
      </c>
      <c r="G321" s="6">
        <v>0.42193516961625177</v>
      </c>
      <c r="H321" s="6">
        <v>-9.384289754836074E-2</v>
      </c>
      <c r="I321" s="6">
        <v>-1.7777600976239292</v>
      </c>
      <c r="J321" s="6">
        <v>0.71382606471089516</v>
      </c>
      <c r="K321" s="6">
        <v>-0.78627758401056824</v>
      </c>
      <c r="L321" s="6">
        <v>-6.5095806499006745E-2</v>
      </c>
      <c r="N321" s="8">
        <f>SQRT((C321-Sheet3!$C$525)^2+(D321-Sheet3!$D$525)^2+(E321-Sheet3!$E$525)^2+(F321-Sheet3!$F$525)^2+(G321-Sheet3!$G$525)^2+(H321-Sheet3!$H$525)^2+(I321-Sheet3!$I$525)^2+(J321-Sheet3!$J$525)^2+(K321-Sheet3!$K$525)^2+(L321-Sheet3!$L$525)^2)</f>
        <v>2.3020657898908197</v>
      </c>
      <c r="O321" s="8">
        <f>SQRT((C321-Sheet3!$C$526)^2+(D321-Sheet3!$D$526)^2+(E321-Sheet3!$E$526)^2+(F321-Sheet3!$F$526)^2+(G321-Sheet3!$G$526)^2+(H321-Sheet3!$H$526)^2+(I321-Sheet3!$I$526)^2+(J321-Sheet3!$J$526)^2+(K321-Sheet3!$K$526)^2+(L321-Sheet3!$L$526)^2)</f>
        <v>4.0555499611841332</v>
      </c>
      <c r="P321" s="12">
        <f t="shared" si="4"/>
        <v>0</v>
      </c>
      <c r="Q321" s="11">
        <f>IF(P321=Sheet1!M321, 1, 0)</f>
        <v>1</v>
      </c>
    </row>
    <row r="322" spans="1:17" x14ac:dyDescent="0.35">
      <c r="A322" s="6" t="s">
        <v>345</v>
      </c>
      <c r="B322" s="6" t="s">
        <v>352</v>
      </c>
      <c r="C322" s="6">
        <v>-0.40168747839517105</v>
      </c>
      <c r="D322" s="6">
        <v>-0.83265977154631954</v>
      </c>
      <c r="E322" s="6">
        <v>-0.59561174403137074</v>
      </c>
      <c r="F322" s="6">
        <v>-0.46170148378213</v>
      </c>
      <c r="G322" s="6">
        <v>0.6338913030987392</v>
      </c>
      <c r="H322" s="6">
        <v>-0.63947954684625308</v>
      </c>
      <c r="I322" s="6">
        <v>-2.1041579687777499</v>
      </c>
      <c r="J322" s="6">
        <v>-0.421155753464099</v>
      </c>
      <c r="K322" s="6">
        <v>1.3013005598307392</v>
      </c>
      <c r="L322" s="6">
        <v>-0.25558998305202518</v>
      </c>
      <c r="N322" s="8">
        <f>SQRT((C322-Sheet3!$C$525)^2+(D322-Sheet3!$D$525)^2+(E322-Sheet3!$E$525)^2+(F322-Sheet3!$F$525)^2+(G322-Sheet3!$G$525)^2+(H322-Sheet3!$H$525)^2+(I322-Sheet3!$I$525)^2+(J322-Sheet3!$J$525)^2+(K322-Sheet3!$K$525)^2+(L322-Sheet3!$L$525)^2)</f>
        <v>2.5512250626802371</v>
      </c>
      <c r="O322" s="8">
        <f>SQRT((C322-Sheet3!$C$526)^2+(D322-Sheet3!$D$526)^2+(E322-Sheet3!$E$526)^2+(F322-Sheet3!$F$526)^2+(G322-Sheet3!$G$526)^2+(H322-Sheet3!$H$526)^2+(I322-Sheet3!$I$526)^2+(J322-Sheet3!$J$526)^2+(K322-Sheet3!$K$526)^2+(L322-Sheet3!$L$526)^2)</f>
        <v>5.1904517356469926</v>
      </c>
      <c r="P322" s="12">
        <f t="shared" si="4"/>
        <v>0</v>
      </c>
      <c r="Q322" s="11">
        <f>IF(P322=Sheet1!M322, 1, 0)</f>
        <v>1</v>
      </c>
    </row>
    <row r="323" spans="1:17" x14ac:dyDescent="0.35">
      <c r="A323" s="6" t="s">
        <v>345</v>
      </c>
      <c r="B323" s="6" t="s">
        <v>353</v>
      </c>
      <c r="C323" s="6">
        <v>-0.44865824003217064</v>
      </c>
      <c r="D323" s="6">
        <v>-0.55645985019444255</v>
      </c>
      <c r="E323" s="6">
        <v>-1.1629354260033258</v>
      </c>
      <c r="F323" s="6">
        <v>-0.6434997776286463</v>
      </c>
      <c r="G323" s="6">
        <v>0.83423340186985562</v>
      </c>
      <c r="H323" s="6">
        <v>-0.40409631314123895</v>
      </c>
      <c r="I323" s="6">
        <v>-0.51870580948174894</v>
      </c>
      <c r="J323" s="6">
        <v>-0.33384945975833041</v>
      </c>
      <c r="K323" s="6">
        <v>0.45155923141557353</v>
      </c>
      <c r="L323" s="6">
        <v>-0.32289509332332544</v>
      </c>
      <c r="N323" s="8">
        <f>SQRT((C323-Sheet3!$C$525)^2+(D323-Sheet3!$D$525)^2+(E323-Sheet3!$E$525)^2+(F323-Sheet3!$F$525)^2+(G323-Sheet3!$G$525)^2+(H323-Sheet3!$H$525)^2+(I323-Sheet3!$I$525)^2+(J323-Sheet3!$J$525)^2+(K323-Sheet3!$K$525)^2+(L323-Sheet3!$L$525)^2)</f>
        <v>1.6204821248233794</v>
      </c>
      <c r="O323" s="8">
        <f>SQRT((C323-Sheet3!$C$526)^2+(D323-Sheet3!$D$526)^2+(E323-Sheet3!$E$526)^2+(F323-Sheet3!$F$526)^2+(G323-Sheet3!$G$526)^2+(H323-Sheet3!$H$526)^2+(I323-Sheet3!$I$526)^2+(J323-Sheet3!$J$526)^2+(K323-Sheet3!$K$526)^2+(L323-Sheet3!$L$526)^2)</f>
        <v>4.3839685952172038</v>
      </c>
      <c r="P323" s="12">
        <f t="shared" ref="P323:P386" si="5">IF(N323&lt;=O323, 0, 1)</f>
        <v>0</v>
      </c>
      <c r="Q323" s="11">
        <f>IF(P323=Sheet1!M323, 1, 0)</f>
        <v>1</v>
      </c>
    </row>
    <row r="324" spans="1:17" x14ac:dyDescent="0.35">
      <c r="A324" s="6" t="s">
        <v>345</v>
      </c>
      <c r="B324" s="6" t="s">
        <v>354</v>
      </c>
      <c r="C324" s="6">
        <v>-0.80697805023442493</v>
      </c>
      <c r="D324" s="6">
        <v>-0.97382862023727912</v>
      </c>
      <c r="E324" s="6">
        <v>-1.0546281776268616</v>
      </c>
      <c r="F324" s="6">
        <v>-0.76983418521690161</v>
      </c>
      <c r="G324" s="6">
        <v>0.69486498533342511</v>
      </c>
      <c r="H324" s="6">
        <v>-0.40786675395573613</v>
      </c>
      <c r="I324" s="6">
        <v>-2.3132566049856664</v>
      </c>
      <c r="J324" s="6">
        <v>-0.81213611223341153</v>
      </c>
      <c r="K324" s="6">
        <v>0.39365788859538886</v>
      </c>
      <c r="L324" s="6">
        <v>-0.36626368565499096</v>
      </c>
      <c r="N324" s="8">
        <f>SQRT((C324-Sheet3!$C$525)^2+(D324-Sheet3!$D$525)^2+(E324-Sheet3!$E$525)^2+(F324-Sheet3!$F$525)^2+(G324-Sheet3!$G$525)^2+(H324-Sheet3!$H$525)^2+(I324-Sheet3!$I$525)^2+(J324-Sheet3!$J$525)^2+(K324-Sheet3!$K$525)^2+(L324-Sheet3!$L$525)^2)</f>
        <v>2.7783939237646664</v>
      </c>
      <c r="O324" s="8">
        <f>SQRT((C324-Sheet3!$C$526)^2+(D324-Sheet3!$D$526)^2+(E324-Sheet3!$E$526)^2+(F324-Sheet3!$F$526)^2+(G324-Sheet3!$G$526)^2+(H324-Sheet3!$H$526)^2+(I324-Sheet3!$I$526)^2+(J324-Sheet3!$J$526)^2+(K324-Sheet3!$K$526)^2+(L324-Sheet3!$L$526)^2)</f>
        <v>5.4842705120705997</v>
      </c>
      <c r="P324" s="12">
        <f t="shared" si="5"/>
        <v>0</v>
      </c>
      <c r="Q324" s="11">
        <f>IF(P324=Sheet1!M324, 1, 0)</f>
        <v>1</v>
      </c>
    </row>
    <row r="325" spans="1:17" x14ac:dyDescent="0.35">
      <c r="A325" s="6" t="s">
        <v>345</v>
      </c>
      <c r="B325" s="6" t="s">
        <v>355</v>
      </c>
      <c r="C325" s="6">
        <v>-3.5315537626573863E-2</v>
      </c>
      <c r="D325" s="6">
        <v>-0.93700196405702862</v>
      </c>
      <c r="E325" s="6">
        <v>-0.70355060040655437</v>
      </c>
      <c r="F325" s="6">
        <v>-0.62501181554255936</v>
      </c>
      <c r="G325" s="6">
        <v>0.96489129237275895</v>
      </c>
      <c r="H325" s="6">
        <v>-0.30067850794361262</v>
      </c>
      <c r="I325" s="6">
        <v>-1.2167637565782996</v>
      </c>
      <c r="J325" s="6">
        <v>-0.91083018337906307</v>
      </c>
      <c r="K325" s="6">
        <v>0.44529962678636542</v>
      </c>
      <c r="L325" s="6">
        <v>-0.38580439324662275</v>
      </c>
      <c r="N325" s="8">
        <f>SQRT((C325-Sheet3!$C$525)^2+(D325-Sheet3!$D$525)^2+(E325-Sheet3!$E$525)^2+(F325-Sheet3!$F$525)^2+(G325-Sheet3!$G$525)^2+(H325-Sheet3!$H$525)^2+(I325-Sheet3!$I$525)^2+(J325-Sheet3!$J$525)^2+(K325-Sheet3!$K$525)^2+(L325-Sheet3!$L$525)^2)</f>
        <v>1.8850186491180247</v>
      </c>
      <c r="O325" s="8">
        <f>SQRT((C325-Sheet3!$C$526)^2+(D325-Sheet3!$D$526)^2+(E325-Sheet3!$E$526)^2+(F325-Sheet3!$F$526)^2+(G325-Sheet3!$G$526)^2+(H325-Sheet3!$H$526)^2+(I325-Sheet3!$I$526)^2+(J325-Sheet3!$J$526)^2+(K325-Sheet3!$K$526)^2+(L325-Sheet3!$L$526)^2)</f>
        <v>4.8094090042716173</v>
      </c>
      <c r="P325" s="12">
        <f t="shared" si="5"/>
        <v>0</v>
      </c>
      <c r="Q325" s="11">
        <f>IF(P325=Sheet1!M325, 1, 0)</f>
        <v>1</v>
      </c>
    </row>
    <row r="326" spans="1:17" x14ac:dyDescent="0.35">
      <c r="A326" s="6" t="s">
        <v>345</v>
      </c>
      <c r="B326" s="6" t="s">
        <v>356</v>
      </c>
      <c r="C326" s="6">
        <v>-0.39497736958988527</v>
      </c>
      <c r="D326" s="6">
        <v>-1.483264030730741</v>
      </c>
      <c r="E326" s="6">
        <v>-0.88590464104039701</v>
      </c>
      <c r="F326" s="6">
        <v>-1.0825888771731962</v>
      </c>
      <c r="G326" s="6">
        <v>-0.34168761265626574</v>
      </c>
      <c r="H326" s="6">
        <v>-0.31576027120159983</v>
      </c>
      <c r="I326" s="6">
        <v>0.87358510965876879</v>
      </c>
      <c r="J326" s="6">
        <v>-0.48568649229010219</v>
      </c>
      <c r="K326" s="6">
        <v>-0.61570335786461383</v>
      </c>
      <c r="L326" s="6">
        <v>-0.40392344559023469</v>
      </c>
      <c r="N326" s="8">
        <f>SQRT((C326-Sheet3!$C$525)^2+(D326-Sheet3!$D$525)^2+(E326-Sheet3!$E$525)^2+(F326-Sheet3!$F$525)^2+(G326-Sheet3!$G$525)^2+(H326-Sheet3!$H$525)^2+(I326-Sheet3!$I$525)^2+(J326-Sheet3!$J$525)^2+(K326-Sheet3!$K$525)^2+(L326-Sheet3!$L$525)^2)</f>
        <v>2.0778140858318075</v>
      </c>
      <c r="O326" s="8">
        <f>SQRT((C326-Sheet3!$C$526)^2+(D326-Sheet3!$D$526)^2+(E326-Sheet3!$E$526)^2+(F326-Sheet3!$F$526)^2+(G326-Sheet3!$G$526)^2+(H326-Sheet3!$H$526)^2+(I326-Sheet3!$I$526)^2+(J326-Sheet3!$J$526)^2+(K326-Sheet3!$K$526)^2+(L326-Sheet3!$L$526)^2)</f>
        <v>4.8273312248617586</v>
      </c>
      <c r="P326" s="12">
        <f t="shared" si="5"/>
        <v>0</v>
      </c>
      <c r="Q326" s="11">
        <f>IF(P326=Sheet1!M326, 1, 0)</f>
        <v>1</v>
      </c>
    </row>
    <row r="327" spans="1:17" x14ac:dyDescent="0.35">
      <c r="A327" s="6" t="s">
        <v>345</v>
      </c>
      <c r="B327" s="6" t="s">
        <v>357</v>
      </c>
      <c r="C327" s="6">
        <v>-1.0646462283573943</v>
      </c>
      <c r="D327" s="6">
        <v>-0.88176197978665327</v>
      </c>
      <c r="E327" s="6">
        <v>-0.62434632013124902</v>
      </c>
      <c r="F327" s="6">
        <v>-0.27219987239974702</v>
      </c>
      <c r="G327" s="6">
        <v>0.29998780514687567</v>
      </c>
      <c r="H327" s="6">
        <v>-7.8761134290373527E-2</v>
      </c>
      <c r="I327" s="6">
        <v>0.74098597450252912</v>
      </c>
      <c r="J327" s="6">
        <v>0.74419347121724921</v>
      </c>
      <c r="K327" s="6">
        <v>-0.31211253334796235</v>
      </c>
      <c r="L327" s="6">
        <v>-6.7054275659500187E-2</v>
      </c>
      <c r="N327" s="8">
        <f>SQRT((C327-Sheet3!$C$525)^2+(D327-Sheet3!$D$525)^2+(E327-Sheet3!$E$525)^2+(F327-Sheet3!$F$525)^2+(G327-Sheet3!$G$525)^2+(H327-Sheet3!$H$525)^2+(I327-Sheet3!$I$525)^2+(J327-Sheet3!$J$525)^2+(K327-Sheet3!$K$525)^2+(L327-Sheet3!$L$525)^2)</f>
        <v>2.1623578254494209</v>
      </c>
      <c r="O327" s="8">
        <f>SQRT((C327-Sheet3!$C$526)^2+(D327-Sheet3!$D$526)^2+(E327-Sheet3!$E$526)^2+(F327-Sheet3!$F$526)^2+(G327-Sheet3!$G$526)^2+(H327-Sheet3!$H$526)^2+(I327-Sheet3!$I$526)^2+(J327-Sheet3!$J$526)^2+(K327-Sheet3!$K$526)^2+(L327-Sheet3!$L$526)^2)</f>
        <v>3.4306524810890808</v>
      </c>
      <c r="P327" s="12">
        <f t="shared" si="5"/>
        <v>0</v>
      </c>
      <c r="Q327" s="11">
        <f>IF(P327=Sheet1!M327, 1, 0)</f>
        <v>1</v>
      </c>
    </row>
    <row r="328" spans="1:17" x14ac:dyDescent="0.35">
      <c r="A328" s="6" t="s">
        <v>345</v>
      </c>
      <c r="B328" s="6" t="s">
        <v>358</v>
      </c>
      <c r="C328" s="6">
        <v>-1.0324377060920231</v>
      </c>
      <c r="D328" s="6">
        <v>1.2234951985176528</v>
      </c>
      <c r="E328" s="6">
        <v>1.5786378475260825</v>
      </c>
      <c r="F328" s="6">
        <v>1.5411610755438856</v>
      </c>
      <c r="G328" s="6">
        <v>1.005540413862551</v>
      </c>
      <c r="H328" s="6">
        <v>1.0383666156048186</v>
      </c>
      <c r="I328" s="6">
        <v>0.71166116576605254</v>
      </c>
      <c r="J328" s="6">
        <v>2.7788097071429916</v>
      </c>
      <c r="K328" s="6">
        <v>-1.1775028733361506</v>
      </c>
      <c r="L328" s="6">
        <v>6.1751872993741137E-2</v>
      </c>
      <c r="N328" s="8">
        <f>SQRT((C328-Sheet3!$C$525)^2+(D328-Sheet3!$D$525)^2+(E328-Sheet3!$E$525)^2+(F328-Sheet3!$F$525)^2+(G328-Sheet3!$G$525)^2+(H328-Sheet3!$H$525)^2+(I328-Sheet3!$I$525)^2+(J328-Sheet3!$J$525)^2+(K328-Sheet3!$K$525)^2+(L328-Sheet3!$L$525)^2)</f>
        <v>5.2082157275181782</v>
      </c>
      <c r="O328" s="8">
        <f>SQRT((C328-Sheet3!$C$526)^2+(D328-Sheet3!$D$526)^2+(E328-Sheet3!$E$526)^2+(F328-Sheet3!$F$526)^2+(G328-Sheet3!$G$526)^2+(H328-Sheet3!$H$526)^2+(I328-Sheet3!$I$526)^2+(J328-Sheet3!$J$526)^2+(K328-Sheet3!$K$526)^2+(L328-Sheet3!$L$526)^2)</f>
        <v>2.009365870433542</v>
      </c>
      <c r="P328" s="12">
        <f t="shared" si="5"/>
        <v>1</v>
      </c>
      <c r="Q328" s="11">
        <f>IF(P328=Sheet1!M328, 1, 0)</f>
        <v>0</v>
      </c>
    </row>
    <row r="329" spans="1:17" x14ac:dyDescent="0.35">
      <c r="A329" s="6" t="s">
        <v>345</v>
      </c>
      <c r="B329" s="6" t="s">
        <v>359</v>
      </c>
      <c r="C329" s="6">
        <v>-0.9988871620655948</v>
      </c>
      <c r="D329" s="6">
        <v>-0.32936213708289924</v>
      </c>
      <c r="E329" s="6">
        <v>0.5312993878856489</v>
      </c>
      <c r="F329" s="6">
        <v>0.33636221293392737</v>
      </c>
      <c r="G329" s="6">
        <v>0.73261059814537755</v>
      </c>
      <c r="H329" s="6">
        <v>0.80836972592051393</v>
      </c>
      <c r="I329" s="6">
        <v>0.30748880187635996</v>
      </c>
      <c r="J329" s="6">
        <v>1.5565215952622287</v>
      </c>
      <c r="K329" s="6">
        <v>-0.80662129905549784</v>
      </c>
      <c r="L329" s="6">
        <v>-0.31313908395750112</v>
      </c>
      <c r="N329" s="8">
        <f>SQRT((C329-Sheet3!$C$525)^2+(D329-Sheet3!$D$525)^2+(E329-Sheet3!$E$525)^2+(F329-Sheet3!$F$525)^2+(G329-Sheet3!$G$525)^2+(H329-Sheet3!$H$525)^2+(I329-Sheet3!$I$525)^2+(J329-Sheet3!$J$525)^2+(K329-Sheet3!$K$525)^2+(L329-Sheet3!$L$525)^2)</f>
        <v>3.1059561964564222</v>
      </c>
      <c r="O329" s="8">
        <f>SQRT((C329-Sheet3!$C$526)^2+(D329-Sheet3!$D$526)^2+(E329-Sheet3!$E$526)^2+(F329-Sheet3!$F$526)^2+(G329-Sheet3!$G$526)^2+(H329-Sheet3!$H$526)^2+(I329-Sheet3!$I$526)^2+(J329-Sheet3!$J$526)^2+(K329-Sheet3!$K$526)^2+(L329-Sheet3!$L$526)^2)</f>
        <v>2.2638646249084862</v>
      </c>
      <c r="P329" s="12">
        <f t="shared" si="5"/>
        <v>1</v>
      </c>
      <c r="Q329" s="11">
        <f>IF(P329=Sheet1!M329, 1, 0)</f>
        <v>0</v>
      </c>
    </row>
    <row r="330" spans="1:17" x14ac:dyDescent="0.35">
      <c r="A330" s="6" t="s">
        <v>360</v>
      </c>
      <c r="B330" s="6" t="s">
        <v>361</v>
      </c>
      <c r="C330" s="6">
        <v>-1.1169850770386225</v>
      </c>
      <c r="D330" s="6">
        <v>5.7317752809727819E-2</v>
      </c>
      <c r="E330" s="6">
        <v>1.0286285896143106</v>
      </c>
      <c r="F330" s="6">
        <v>0.48426590962261684</v>
      </c>
      <c r="G330" s="6">
        <v>0.297084296469036</v>
      </c>
      <c r="H330" s="6">
        <v>0.72865183441401093</v>
      </c>
      <c r="I330" s="6">
        <v>9.4565190615860259E-2</v>
      </c>
      <c r="J330" s="6">
        <v>-0.13646131746702692</v>
      </c>
      <c r="K330" s="6">
        <v>8.5372360606830192E-2</v>
      </c>
      <c r="L330" s="6">
        <v>-0.17196795307146395</v>
      </c>
      <c r="N330" s="8">
        <f>SQRT((C330-Sheet3!$C$525)^2+(D330-Sheet3!$D$525)^2+(E330-Sheet3!$E$525)^2+(F330-Sheet3!$F$525)^2+(G330-Sheet3!$G$525)^2+(H330-Sheet3!$H$525)^2+(I330-Sheet3!$I$525)^2+(J330-Sheet3!$J$525)^2+(K330-Sheet3!$K$525)^2+(L330-Sheet3!$L$525)^2)</f>
        <v>2.4395814567123999</v>
      </c>
      <c r="O330" s="8">
        <f>SQRT((C330-Sheet3!$C$526)^2+(D330-Sheet3!$D$526)^2+(E330-Sheet3!$E$526)^2+(F330-Sheet3!$F$526)^2+(G330-Sheet3!$G$526)^2+(H330-Sheet3!$H$526)^2+(I330-Sheet3!$I$526)^2+(J330-Sheet3!$J$526)^2+(K330-Sheet3!$K$526)^2+(L330-Sheet3!$L$526)^2)</f>
        <v>2.365698561769662</v>
      </c>
      <c r="P330" s="12">
        <f t="shared" si="5"/>
        <v>1</v>
      </c>
      <c r="Q330" s="11">
        <f>IF(P330=Sheet1!M330, 1, 0)</f>
        <v>0</v>
      </c>
    </row>
    <row r="331" spans="1:17" x14ac:dyDescent="0.35">
      <c r="A331" s="6" t="s">
        <v>360</v>
      </c>
      <c r="B331" s="6" t="s">
        <v>362</v>
      </c>
      <c r="C331" s="6">
        <v>-0.85394881187142446</v>
      </c>
      <c r="D331" s="6">
        <v>-0.17591773633185653</v>
      </c>
      <c r="E331" s="6">
        <v>0.56777019601241741</v>
      </c>
      <c r="F331" s="6">
        <v>0.22389377691023513</v>
      </c>
      <c r="G331" s="6">
        <v>7.0610619597338095E-2</v>
      </c>
      <c r="H331" s="6">
        <v>-0.24681506773651563</v>
      </c>
      <c r="I331" s="6">
        <v>1.4878210353696941E-2</v>
      </c>
      <c r="J331" s="6">
        <v>3.4355344131216416E-2</v>
      </c>
      <c r="K331" s="6">
        <v>-0.45295363750517287</v>
      </c>
      <c r="L331" s="6">
        <v>-7.7193374288930097E-2</v>
      </c>
      <c r="N331" s="8">
        <f>SQRT((C331-Sheet3!$C$525)^2+(D331-Sheet3!$D$525)^2+(E331-Sheet3!$E$525)^2+(F331-Sheet3!$F$525)^2+(G331-Sheet3!$G$525)^2+(H331-Sheet3!$H$525)^2+(I331-Sheet3!$I$525)^2+(J331-Sheet3!$J$525)^2+(K331-Sheet3!$K$525)^2+(L331-Sheet3!$L$525)^2)</f>
        <v>1.7639782065822101</v>
      </c>
      <c r="O331" s="8">
        <f>SQRT((C331-Sheet3!$C$526)^2+(D331-Sheet3!$D$526)^2+(E331-Sheet3!$E$526)^2+(F331-Sheet3!$F$526)^2+(G331-Sheet3!$G$526)^2+(H331-Sheet3!$H$526)^2+(I331-Sheet3!$I$526)^2+(J331-Sheet3!$J$526)^2+(K331-Sheet3!$K$526)^2+(L331-Sheet3!$L$526)^2)</f>
        <v>2.6793833545810348</v>
      </c>
      <c r="P331" s="12">
        <f t="shared" si="5"/>
        <v>0</v>
      </c>
      <c r="Q331" s="11">
        <f>IF(P331=Sheet1!M331, 1, 0)</f>
        <v>1</v>
      </c>
    </row>
    <row r="332" spans="1:17" x14ac:dyDescent="0.35">
      <c r="A332" s="6" t="s">
        <v>360</v>
      </c>
      <c r="B332" s="6" t="s">
        <v>363</v>
      </c>
      <c r="C332" s="6">
        <v>-0.92910203049062401</v>
      </c>
      <c r="D332" s="6">
        <v>-0.51349541798415099</v>
      </c>
      <c r="E332" s="6">
        <v>0.30326473909302543</v>
      </c>
      <c r="F332" s="6">
        <v>-4.5722336845190045E-2</v>
      </c>
      <c r="G332" s="6">
        <v>-0.25458235232099824</v>
      </c>
      <c r="H332" s="6">
        <v>-1.5066809341805147</v>
      </c>
      <c r="I332" s="6">
        <v>-0.89419086047706242</v>
      </c>
      <c r="J332" s="6">
        <v>-5.6746875387846736E-2</v>
      </c>
      <c r="K332" s="6">
        <v>0.11980018606748125</v>
      </c>
      <c r="L332" s="6">
        <v>-0.22270005429049292</v>
      </c>
      <c r="N332" s="8">
        <f>SQRT((C332-Sheet3!$C$525)^2+(D332-Sheet3!$D$525)^2+(E332-Sheet3!$E$525)^2+(F332-Sheet3!$F$525)^2+(G332-Sheet3!$G$525)^2+(H332-Sheet3!$H$525)^2+(I332-Sheet3!$I$525)^2+(J332-Sheet3!$J$525)^2+(K332-Sheet3!$K$525)^2+(L332-Sheet3!$L$525)^2)</f>
        <v>2.0237009024333532</v>
      </c>
      <c r="O332" s="8">
        <f>SQRT((C332-Sheet3!$C$526)^2+(D332-Sheet3!$D$526)^2+(E332-Sheet3!$E$526)^2+(F332-Sheet3!$F$526)^2+(G332-Sheet3!$G$526)^2+(H332-Sheet3!$H$526)^2+(I332-Sheet3!$I$526)^2+(J332-Sheet3!$J$526)^2+(K332-Sheet3!$K$526)^2+(L332-Sheet3!$L$526)^2)</f>
        <v>4.113567511805611</v>
      </c>
      <c r="P332" s="12">
        <f t="shared" si="5"/>
        <v>0</v>
      </c>
      <c r="Q332" s="11">
        <f>IF(P332=Sheet1!M332, 1, 0)</f>
        <v>1</v>
      </c>
    </row>
    <row r="333" spans="1:17" x14ac:dyDescent="0.35">
      <c r="A333" s="6" t="s">
        <v>360</v>
      </c>
      <c r="B333" s="6" t="s">
        <v>364</v>
      </c>
      <c r="C333" s="6">
        <v>-1.0270696190477946</v>
      </c>
      <c r="D333" s="6">
        <v>0.31510434607147958</v>
      </c>
      <c r="E333" s="6">
        <v>0.42999158753351407</v>
      </c>
      <c r="F333" s="6">
        <v>9.4478042307632709E-2</v>
      </c>
      <c r="G333" s="6">
        <v>-0.71624023209792131</v>
      </c>
      <c r="H333" s="6">
        <v>-0.72943149199210511</v>
      </c>
      <c r="I333" s="6">
        <v>-1.9588089167795646</v>
      </c>
      <c r="J333" s="6">
        <v>-0.34144131138491884</v>
      </c>
      <c r="K333" s="6">
        <v>-0.93650809511159194</v>
      </c>
      <c r="L333" s="6">
        <v>-0.3685332816364229</v>
      </c>
      <c r="N333" s="8">
        <f>SQRT((C333-Sheet3!$C$525)^2+(D333-Sheet3!$D$525)^2+(E333-Sheet3!$E$525)^2+(F333-Sheet3!$F$525)^2+(G333-Sheet3!$G$525)^2+(H333-Sheet3!$H$525)^2+(I333-Sheet3!$I$525)^2+(J333-Sheet3!$J$525)^2+(K333-Sheet3!$K$525)^2+(L333-Sheet3!$L$525)^2)</f>
        <v>2.7525567316582631</v>
      </c>
      <c r="O333" s="8">
        <f>SQRT((C333-Sheet3!$C$526)^2+(D333-Sheet3!$D$526)^2+(E333-Sheet3!$E$526)^2+(F333-Sheet3!$F$526)^2+(G333-Sheet3!$G$526)^2+(H333-Sheet3!$H$526)^2+(I333-Sheet3!$I$526)^2+(J333-Sheet3!$J$526)^2+(K333-Sheet3!$K$526)^2+(L333-Sheet3!$L$526)^2)</f>
        <v>4.2486777858198419</v>
      </c>
      <c r="P333" s="12">
        <f t="shared" si="5"/>
        <v>0</v>
      </c>
      <c r="Q333" s="11">
        <f>IF(P333=Sheet1!M333, 1, 0)</f>
        <v>1</v>
      </c>
    </row>
    <row r="334" spans="1:17" x14ac:dyDescent="0.35">
      <c r="A334" s="6" t="s">
        <v>360</v>
      </c>
      <c r="B334" s="6" t="s">
        <v>365</v>
      </c>
      <c r="C334" s="6">
        <v>-0.89420946470313845</v>
      </c>
      <c r="D334" s="6">
        <v>0.25372658577106266</v>
      </c>
      <c r="E334" s="6">
        <v>-0.13770048643972138</v>
      </c>
      <c r="F334" s="6">
        <v>0.13299462998697917</v>
      </c>
      <c r="G334" s="6">
        <v>0.4771018344952544</v>
      </c>
      <c r="H334" s="6">
        <v>-0.26782180941728351</v>
      </c>
      <c r="I334" s="6">
        <v>-1.6024487410471699</v>
      </c>
      <c r="J334" s="6">
        <v>3.0559418317921867E-2</v>
      </c>
      <c r="K334" s="6">
        <v>0.15422801152813231</v>
      </c>
      <c r="L334" s="6">
        <v>-0.30950326721132332</v>
      </c>
      <c r="N334" s="8">
        <f>SQRT((C334-Sheet3!$C$525)^2+(D334-Sheet3!$D$525)^2+(E334-Sheet3!$E$525)^2+(F334-Sheet3!$F$525)^2+(G334-Sheet3!$G$525)^2+(H334-Sheet3!$H$525)^2+(I334-Sheet3!$I$525)^2+(J334-Sheet3!$J$525)^2+(K334-Sheet3!$K$525)^2+(L334-Sheet3!$L$525)^2)</f>
        <v>2.124369244335135</v>
      </c>
      <c r="O334" s="8">
        <f>SQRT((C334-Sheet3!$C$526)^2+(D334-Sheet3!$D$526)^2+(E334-Sheet3!$E$526)^2+(F334-Sheet3!$F$526)^2+(G334-Sheet3!$G$526)^2+(H334-Sheet3!$H$526)^2+(I334-Sheet3!$I$526)^2+(J334-Sheet3!$J$526)^2+(K334-Sheet3!$K$526)^2+(L334-Sheet3!$L$526)^2)</f>
        <v>3.636987949985365</v>
      </c>
      <c r="P334" s="12">
        <f t="shared" si="5"/>
        <v>0</v>
      </c>
      <c r="Q334" s="11">
        <f>IF(P334=Sheet1!M334, 1, 0)</f>
        <v>1</v>
      </c>
    </row>
    <row r="335" spans="1:17" x14ac:dyDescent="0.35">
      <c r="A335" s="6" t="s">
        <v>360</v>
      </c>
      <c r="B335" s="6" t="s">
        <v>366</v>
      </c>
      <c r="C335" s="6">
        <v>-1.1559037081092793</v>
      </c>
      <c r="D335" s="6">
        <v>-0.21274439251210708</v>
      </c>
      <c r="E335" s="6">
        <v>-0.57166626394813891</v>
      </c>
      <c r="F335" s="6">
        <v>-0.25525257382083466</v>
      </c>
      <c r="G335" s="6">
        <v>0.5525930601191551</v>
      </c>
      <c r="H335" s="6">
        <v>0.22449003407558307</v>
      </c>
      <c r="I335" s="6">
        <v>6.1415406826799662E-2</v>
      </c>
      <c r="J335" s="6">
        <v>-0.15544094653349833</v>
      </c>
      <c r="K335" s="6">
        <v>0.36861947007854989</v>
      </c>
      <c r="L335" s="6">
        <v>-0.39534953008881302</v>
      </c>
      <c r="N335" s="8">
        <f>SQRT((C335-Sheet3!$C$525)^2+(D335-Sheet3!$D$525)^2+(E335-Sheet3!$E$525)^2+(F335-Sheet3!$F$525)^2+(G335-Sheet3!$G$525)^2+(H335-Sheet3!$H$525)^2+(I335-Sheet3!$I$525)^2+(J335-Sheet3!$J$525)^2+(K335-Sheet3!$K$525)^2+(L335-Sheet3!$L$525)^2)</f>
        <v>1.7274667048167234</v>
      </c>
      <c r="O335" s="8">
        <f>SQRT((C335-Sheet3!$C$526)^2+(D335-Sheet3!$D$526)^2+(E335-Sheet3!$E$526)^2+(F335-Sheet3!$F$526)^2+(G335-Sheet3!$G$526)^2+(H335-Sheet3!$H$526)^2+(I335-Sheet3!$I$526)^2+(J335-Sheet3!$J$526)^2+(K335-Sheet3!$K$526)^2+(L335-Sheet3!$L$526)^2)</f>
        <v>3.4765123772400144</v>
      </c>
      <c r="P335" s="12">
        <f t="shared" si="5"/>
        <v>0</v>
      </c>
      <c r="Q335" s="11">
        <f>IF(P335=Sheet1!M335, 1, 0)</f>
        <v>1</v>
      </c>
    </row>
    <row r="336" spans="1:17" x14ac:dyDescent="0.35">
      <c r="A336" s="6" t="s">
        <v>360</v>
      </c>
      <c r="B336" s="6" t="s">
        <v>367</v>
      </c>
      <c r="C336" s="6">
        <v>-1.1693239257198504</v>
      </c>
      <c r="D336" s="6">
        <v>-4.0600074906890537E-3</v>
      </c>
      <c r="E336" s="6">
        <v>0.33494645120314759</v>
      </c>
      <c r="F336" s="6">
        <v>0.10064069633632691</v>
      </c>
      <c r="G336" s="6">
        <v>-7.7468322972619519E-2</v>
      </c>
      <c r="H336" s="6">
        <v>0.25249902298327331</v>
      </c>
      <c r="I336" s="6">
        <v>-1.1396267596845251</v>
      </c>
      <c r="J336" s="6">
        <v>-1.0474835126576578</v>
      </c>
      <c r="K336" s="6">
        <v>0.15266311037082919</v>
      </c>
      <c r="L336" s="6">
        <v>-0.37601248623953765</v>
      </c>
      <c r="N336" s="8">
        <f>SQRT((C336-Sheet3!$C$525)^2+(D336-Sheet3!$D$525)^2+(E336-Sheet3!$E$525)^2+(F336-Sheet3!$F$525)^2+(G336-Sheet3!$G$525)^2+(H336-Sheet3!$H$525)^2+(I336-Sheet3!$I$525)^2+(J336-Sheet3!$J$525)^2+(K336-Sheet3!$K$525)^2+(L336-Sheet3!$L$525)^2)</f>
        <v>2.0886272802734891</v>
      </c>
      <c r="O336" s="8">
        <f>SQRT((C336-Sheet3!$C$526)^2+(D336-Sheet3!$D$526)^2+(E336-Sheet3!$E$526)^2+(F336-Sheet3!$F$526)^2+(G336-Sheet3!$G$526)^2+(H336-Sheet3!$H$526)^2+(I336-Sheet3!$I$526)^2+(J336-Sheet3!$J$526)^2+(K336-Sheet3!$K$526)^2+(L336-Sheet3!$L$526)^2)</f>
        <v>3.837760997411428</v>
      </c>
      <c r="P336" s="12">
        <f t="shared" si="5"/>
        <v>0</v>
      </c>
      <c r="Q336" s="11">
        <f>IF(P336=Sheet1!M336, 1, 0)</f>
        <v>1</v>
      </c>
    </row>
    <row r="337" spans="1:17" x14ac:dyDescent="0.35">
      <c r="A337" s="6" t="s">
        <v>360</v>
      </c>
      <c r="B337" s="6" t="s">
        <v>368</v>
      </c>
      <c r="C337" s="6">
        <v>-0.67814396117294018</v>
      </c>
      <c r="D337" s="6">
        <v>-0.29253548090264925</v>
      </c>
      <c r="E337" s="6">
        <v>-0.3333166391196617</v>
      </c>
      <c r="F337" s="6">
        <v>-0.34769238425126531</v>
      </c>
      <c r="G337" s="6">
        <v>-0.1152139357845678</v>
      </c>
      <c r="H337" s="6">
        <v>-8.3608843909011674E-2</v>
      </c>
      <c r="I337" s="6">
        <v>-1.5361491734690502</v>
      </c>
      <c r="J337" s="6">
        <v>-0.30727797906527027</v>
      </c>
      <c r="K337" s="6">
        <v>0.31228302841566613</v>
      </c>
      <c r="L337" s="6">
        <v>-0.33286853624849744</v>
      </c>
      <c r="N337" s="8">
        <f>SQRT((C337-Sheet3!$C$525)^2+(D337-Sheet3!$D$525)^2+(E337-Sheet3!$E$525)^2+(F337-Sheet3!$F$525)^2+(G337-Sheet3!$G$525)^2+(H337-Sheet3!$H$525)^2+(I337-Sheet3!$I$525)^2+(J337-Sheet3!$J$525)^2+(K337-Sheet3!$K$525)^2+(L337-Sheet3!$L$525)^2)</f>
        <v>1.6135051809095797</v>
      </c>
      <c r="O337" s="8">
        <f>SQRT((C337-Sheet3!$C$526)^2+(D337-Sheet3!$D$526)^2+(E337-Sheet3!$E$526)^2+(F337-Sheet3!$F$526)^2+(G337-Sheet3!$G$526)^2+(H337-Sheet3!$H$526)^2+(I337-Sheet3!$I$526)^2+(J337-Sheet3!$J$526)^2+(K337-Sheet3!$K$526)^2+(L337-Sheet3!$L$526)^2)</f>
        <v>4.2091350576650024</v>
      </c>
      <c r="P337" s="12">
        <f t="shared" si="5"/>
        <v>0</v>
      </c>
      <c r="Q337" s="11">
        <f>IF(P337=Sheet1!M337, 1, 0)</f>
        <v>1</v>
      </c>
    </row>
    <row r="338" spans="1:17" x14ac:dyDescent="0.35">
      <c r="A338" s="6" t="s">
        <v>360</v>
      </c>
      <c r="B338" s="6" t="s">
        <v>369</v>
      </c>
      <c r="C338" s="6">
        <v>-0.94252224810119523</v>
      </c>
      <c r="D338" s="6">
        <v>0.14938439326035369</v>
      </c>
      <c r="E338" s="6">
        <v>8.9597378350341081E-2</v>
      </c>
      <c r="F338" s="6">
        <v>-0.15973143637605478</v>
      </c>
      <c r="G338" s="6">
        <v>-1.0995033775730998</v>
      </c>
      <c r="H338" s="6">
        <v>-0.19133572432320567</v>
      </c>
      <c r="I338" s="6">
        <v>-0.11389594974995963</v>
      </c>
      <c r="J338" s="6">
        <v>0.16721274759651661</v>
      </c>
      <c r="K338" s="6">
        <v>-0.79566699095438254</v>
      </c>
      <c r="L338" s="6">
        <v>-0.35263683237832011</v>
      </c>
      <c r="N338" s="8">
        <f>SQRT((C338-Sheet3!$C$525)^2+(D338-Sheet3!$D$525)^2+(E338-Sheet3!$E$525)^2+(F338-Sheet3!$F$525)^2+(G338-Sheet3!$G$525)^2+(H338-Sheet3!$H$525)^2+(I338-Sheet3!$I$525)^2+(J338-Sheet3!$J$525)^2+(K338-Sheet3!$K$525)^2+(L338-Sheet3!$L$525)^2)</f>
        <v>1.932675692613425</v>
      </c>
      <c r="O338" s="8">
        <f>SQRT((C338-Sheet3!$C$526)^2+(D338-Sheet3!$D$526)^2+(E338-Sheet3!$E$526)^2+(F338-Sheet3!$F$526)^2+(G338-Sheet3!$G$526)^2+(H338-Sheet3!$H$526)^2+(I338-Sheet3!$I$526)^2+(J338-Sheet3!$J$526)^2+(K338-Sheet3!$K$526)^2+(L338-Sheet3!$L$526)^2)</f>
        <v>3.4526323547153619</v>
      </c>
      <c r="P338" s="12">
        <f t="shared" si="5"/>
        <v>0</v>
      </c>
      <c r="Q338" s="11">
        <f>IF(P338=Sheet1!M338, 1, 0)</f>
        <v>1</v>
      </c>
    </row>
    <row r="339" spans="1:17" x14ac:dyDescent="0.35">
      <c r="A339" s="6" t="s">
        <v>360</v>
      </c>
      <c r="B339" s="6" t="s">
        <v>370</v>
      </c>
      <c r="C339" s="6">
        <v>-1.0780664459679656</v>
      </c>
      <c r="D339" s="6">
        <v>-0.15136663221169019</v>
      </c>
      <c r="E339" s="6">
        <v>-8.9441134271977168E-2</v>
      </c>
      <c r="F339" s="6">
        <v>-0.21519532263431357</v>
      </c>
      <c r="G339" s="6">
        <v>-0.45202094241427504</v>
      </c>
      <c r="H339" s="6">
        <v>-0.7595950185080792</v>
      </c>
      <c r="I339" s="6">
        <v>0.15066482472042295</v>
      </c>
      <c r="J339" s="6">
        <v>-0.93360573825882887</v>
      </c>
      <c r="K339" s="6">
        <v>0.62369835871883106</v>
      </c>
      <c r="L339" s="6">
        <v>-0.38378409572728733</v>
      </c>
      <c r="N339" s="8">
        <f>SQRT((C339-Sheet3!$C$525)^2+(D339-Sheet3!$D$525)^2+(E339-Sheet3!$E$525)^2+(F339-Sheet3!$F$525)^2+(G339-Sheet3!$G$525)^2+(H339-Sheet3!$H$525)^2+(I339-Sheet3!$I$525)^2+(J339-Sheet3!$J$525)^2+(K339-Sheet3!$K$525)^2+(L339-Sheet3!$L$525)^2)</f>
        <v>1.6869474277478187</v>
      </c>
      <c r="O339" s="8">
        <f>SQRT((C339-Sheet3!$C$526)^2+(D339-Sheet3!$D$526)^2+(E339-Sheet3!$E$526)^2+(F339-Sheet3!$F$526)^2+(G339-Sheet3!$G$526)^2+(H339-Sheet3!$H$526)^2+(I339-Sheet3!$I$526)^2+(J339-Sheet3!$J$526)^2+(K339-Sheet3!$K$526)^2+(L339-Sheet3!$L$526)^2)</f>
        <v>4.1078028925085741</v>
      </c>
      <c r="P339" s="12">
        <f t="shared" si="5"/>
        <v>0</v>
      </c>
      <c r="Q339" s="11">
        <f>IF(P339=Sheet1!M339, 1, 0)</f>
        <v>1</v>
      </c>
    </row>
    <row r="340" spans="1:17" x14ac:dyDescent="0.35">
      <c r="A340" s="6" t="s">
        <v>360</v>
      </c>
      <c r="B340" s="6" t="s">
        <v>371</v>
      </c>
      <c r="C340" s="6">
        <v>-0.92910203049062401</v>
      </c>
      <c r="D340" s="6">
        <v>0.45627319476243916</v>
      </c>
      <c r="E340" s="6">
        <v>0.17837985065893922</v>
      </c>
      <c r="F340" s="6">
        <v>0.16997055415915097</v>
      </c>
      <c r="G340" s="6">
        <v>0.23320710555650215</v>
      </c>
      <c r="H340" s="6">
        <v>0.41355070920249304</v>
      </c>
      <c r="I340" s="6">
        <v>-1.4182124426810483</v>
      </c>
      <c r="J340" s="6">
        <v>-0.74001352178081992</v>
      </c>
      <c r="K340" s="6">
        <v>3.6860424730457635E-2</v>
      </c>
      <c r="L340" s="6">
        <v>-0.37944033486961065</v>
      </c>
      <c r="N340" s="8">
        <f>SQRT((C340-Sheet3!$C$525)^2+(D340-Sheet3!$D$525)^2+(E340-Sheet3!$E$525)^2+(F340-Sheet3!$F$525)^2+(G340-Sheet3!$G$525)^2+(H340-Sheet3!$H$525)^2+(I340-Sheet3!$I$525)^2+(J340-Sheet3!$J$525)^2+(K340-Sheet3!$K$525)^2+(L340-Sheet3!$L$525)^2)</f>
        <v>2.1966908849645317</v>
      </c>
      <c r="O340" s="8">
        <f>SQRT((C340-Sheet3!$C$526)^2+(D340-Sheet3!$D$526)^2+(E340-Sheet3!$E$526)^2+(F340-Sheet3!$F$526)^2+(G340-Sheet3!$G$526)^2+(H340-Sheet3!$H$526)^2+(I340-Sheet3!$I$526)^2+(J340-Sheet3!$J$526)^2+(K340-Sheet3!$K$526)^2+(L340-Sheet3!$L$526)^2)</f>
        <v>3.5971713517266641</v>
      </c>
      <c r="P340" s="12">
        <f t="shared" si="5"/>
        <v>0</v>
      </c>
      <c r="Q340" s="11">
        <f>IF(P340=Sheet1!M340, 1, 0)</f>
        <v>1</v>
      </c>
    </row>
    <row r="341" spans="1:17" x14ac:dyDescent="0.35">
      <c r="A341" s="6" t="s">
        <v>360</v>
      </c>
      <c r="B341" s="6" t="s">
        <v>372</v>
      </c>
      <c r="C341" s="6">
        <v>-0.79087378910173933</v>
      </c>
      <c r="D341" s="6">
        <v>0.48696207491264815</v>
      </c>
      <c r="E341" s="6">
        <v>0.36736494731583069</v>
      </c>
      <c r="F341" s="6">
        <v>0.23775974847480039</v>
      </c>
      <c r="G341" s="6">
        <v>-0.39104726017958491</v>
      </c>
      <c r="H341" s="6">
        <v>3.8661165361098287E-2</v>
      </c>
      <c r="I341" s="6">
        <v>-1.1428142388950124</v>
      </c>
      <c r="J341" s="6">
        <v>-0.69825833783458258</v>
      </c>
      <c r="K341" s="6">
        <v>1.3983244315834844</v>
      </c>
      <c r="L341" s="6">
        <v>-0.34743689815006207</v>
      </c>
      <c r="N341" s="8">
        <f>SQRT((C341-Sheet3!$C$525)^2+(D341-Sheet3!$D$525)^2+(E341-Sheet3!$E$525)^2+(F341-Sheet3!$F$525)^2+(G341-Sheet3!$G$525)^2+(H341-Sheet3!$H$525)^2+(I341-Sheet3!$I$525)^2+(J341-Sheet3!$J$525)^2+(K341-Sheet3!$K$525)^2+(L341-Sheet3!$L$525)^2)</f>
        <v>2.2751717483399552</v>
      </c>
      <c r="O341" s="8">
        <f>SQRT((C341-Sheet3!$C$526)^2+(D341-Sheet3!$D$526)^2+(E341-Sheet3!$E$526)^2+(F341-Sheet3!$F$526)^2+(G341-Sheet3!$G$526)^2+(H341-Sheet3!$H$526)^2+(I341-Sheet3!$I$526)^2+(J341-Sheet3!$J$526)^2+(K341-Sheet3!$K$526)^2+(L341-Sheet3!$L$526)^2)</f>
        <v>4.0205077304254919</v>
      </c>
      <c r="P341" s="12">
        <f t="shared" si="5"/>
        <v>0</v>
      </c>
      <c r="Q341" s="11">
        <f>IF(P341=Sheet1!M341, 1, 0)</f>
        <v>1</v>
      </c>
    </row>
    <row r="342" spans="1:17" x14ac:dyDescent="0.35">
      <c r="A342" s="6" t="s">
        <v>360</v>
      </c>
      <c r="B342" s="6" t="s">
        <v>373</v>
      </c>
      <c r="C342" s="6">
        <v>-0.82174028960605328</v>
      </c>
      <c r="D342" s="6">
        <v>-0.50735764195410882</v>
      </c>
      <c r="E342" s="6">
        <v>4.5758730197962741E-2</v>
      </c>
      <c r="F342" s="6">
        <v>-0.27836252642844123</v>
      </c>
      <c r="G342" s="6">
        <v>-3.6819201482827475E-2</v>
      </c>
      <c r="H342" s="6">
        <v>-0.97073970411989952</v>
      </c>
      <c r="I342" s="6">
        <v>-1.5355116776269531</v>
      </c>
      <c r="J342" s="6">
        <v>-0.7703809282871743</v>
      </c>
      <c r="K342" s="6">
        <v>-0.28863901598842656</v>
      </c>
      <c r="L342" s="6">
        <v>-0.33407129528589591</v>
      </c>
      <c r="N342" s="8">
        <f>SQRT((C342-Sheet3!$C$525)^2+(D342-Sheet3!$D$525)^2+(E342-Sheet3!$E$525)^2+(F342-Sheet3!$F$525)^2+(G342-Sheet3!$G$525)^2+(H342-Sheet3!$H$525)^2+(I342-Sheet3!$I$525)^2+(J342-Sheet3!$J$525)^2+(K342-Sheet3!$K$525)^2+(L342-Sheet3!$L$525)^2)</f>
        <v>2.0133707903310682</v>
      </c>
      <c r="O342" s="8">
        <f>SQRT((C342-Sheet3!$C$526)^2+(D342-Sheet3!$D$526)^2+(E342-Sheet3!$E$526)^2+(F342-Sheet3!$F$526)^2+(G342-Sheet3!$G$526)^2+(H342-Sheet3!$H$526)^2+(I342-Sheet3!$I$526)^2+(J342-Sheet3!$J$526)^2+(K342-Sheet3!$K$526)^2+(L342-Sheet3!$L$526)^2)</f>
        <v>4.4715724733273152</v>
      </c>
      <c r="P342" s="12">
        <f t="shared" si="5"/>
        <v>0</v>
      </c>
      <c r="Q342" s="11">
        <f>IF(P342=Sheet1!M342, 1, 0)</f>
        <v>1</v>
      </c>
    </row>
    <row r="343" spans="1:17" x14ac:dyDescent="0.35">
      <c r="A343" s="6" t="s">
        <v>360</v>
      </c>
      <c r="B343" s="6" t="s">
        <v>374</v>
      </c>
      <c r="C343" s="6">
        <v>-1.1438255122597651</v>
      </c>
      <c r="D343" s="6">
        <v>1.8986505618222407</v>
      </c>
      <c r="E343" s="6">
        <v>1.3797061668346178</v>
      </c>
      <c r="F343" s="6">
        <v>1.6782801276823569</v>
      </c>
      <c r="G343" s="6">
        <v>1.0403825179966555</v>
      </c>
      <c r="H343" s="6">
        <v>0.81752651075572047</v>
      </c>
      <c r="I343" s="6">
        <v>0.9424346606052777</v>
      </c>
      <c r="J343" s="6">
        <v>0.30386607687511136</v>
      </c>
      <c r="K343" s="6">
        <v>-0.96467631594303382</v>
      </c>
      <c r="L343" s="6">
        <v>-0.22843705317144289</v>
      </c>
      <c r="N343" s="8">
        <f>SQRT((C343-Sheet3!$C$525)^2+(D343-Sheet3!$D$525)^2+(E343-Sheet3!$E$525)^2+(F343-Sheet3!$F$525)^2+(G343-Sheet3!$G$525)^2+(H343-Sheet3!$H$525)^2+(I343-Sheet3!$I$525)^2+(J343-Sheet3!$J$525)^2+(K343-Sheet3!$K$525)^2+(L343-Sheet3!$L$525)^2)</f>
        <v>4.4679251256022505</v>
      </c>
      <c r="O343" s="8">
        <f>SQRT((C343-Sheet3!$C$526)^2+(D343-Sheet3!$D$526)^2+(E343-Sheet3!$E$526)^2+(F343-Sheet3!$F$526)^2+(G343-Sheet3!$G$526)^2+(H343-Sheet3!$H$526)^2+(I343-Sheet3!$I$526)^2+(J343-Sheet3!$J$526)^2+(K343-Sheet3!$K$526)^2+(L343-Sheet3!$L$526)^2)</f>
        <v>1.6742422694571613</v>
      </c>
      <c r="P343" s="12">
        <f t="shared" si="5"/>
        <v>1</v>
      </c>
      <c r="Q343" s="11">
        <f>IF(P343=Sheet1!M343, 1, 0)</f>
        <v>0</v>
      </c>
    </row>
    <row r="344" spans="1:17" x14ac:dyDescent="0.35">
      <c r="A344" s="6" t="s">
        <v>375</v>
      </c>
      <c r="B344" s="6" t="s">
        <v>376</v>
      </c>
      <c r="C344" s="6">
        <v>-1.0337797278530803</v>
      </c>
      <c r="D344" s="6">
        <v>-0.33549991311294136</v>
      </c>
      <c r="E344" s="6">
        <v>0.36294424330046482</v>
      </c>
      <c r="F344" s="6">
        <v>-8.7464126730160494E-3</v>
      </c>
      <c r="G344" s="6">
        <v>-1.9398149415773152E-2</v>
      </c>
      <c r="H344" s="6">
        <v>-0.58076839702051719</v>
      </c>
      <c r="I344" s="6">
        <v>-1.3780502046289178</v>
      </c>
      <c r="J344" s="6">
        <v>-0.58438056343575373</v>
      </c>
      <c r="K344" s="6">
        <v>0.43904002215715515</v>
      </c>
      <c r="L344" s="6">
        <v>-0.23919945019365965</v>
      </c>
      <c r="N344" s="8">
        <f>SQRT((C344-Sheet3!$C$525)^2+(D344-Sheet3!$D$525)^2+(E344-Sheet3!$E$525)^2+(F344-Sheet3!$F$525)^2+(G344-Sheet3!$G$525)^2+(H344-Sheet3!$H$525)^2+(I344-Sheet3!$I$525)^2+(J344-Sheet3!$J$525)^2+(K344-Sheet3!$K$525)^2+(L344-Sheet3!$L$525)^2)</f>
        <v>1.9710578966279999</v>
      </c>
      <c r="O344" s="8">
        <f>SQRT((C344-Sheet3!$C$526)^2+(D344-Sheet3!$D$526)^2+(E344-Sheet3!$E$526)^2+(F344-Sheet3!$F$526)^2+(G344-Sheet3!$G$526)^2+(H344-Sheet3!$H$526)^2+(I344-Sheet3!$I$526)^2+(J344-Sheet3!$J$526)^2+(K344-Sheet3!$K$526)^2+(L344-Sheet3!$L$526)^2)</f>
        <v>4.0501966845043098</v>
      </c>
      <c r="P344" s="12">
        <f t="shared" si="5"/>
        <v>0</v>
      </c>
      <c r="Q344" s="11">
        <f>IF(P344=Sheet1!M344, 1, 0)</f>
        <v>1</v>
      </c>
    </row>
    <row r="345" spans="1:17" x14ac:dyDescent="0.35">
      <c r="A345" s="6" t="s">
        <v>375</v>
      </c>
      <c r="B345" s="6" t="s">
        <v>377</v>
      </c>
      <c r="C345" s="6">
        <v>-0.9948610967824234</v>
      </c>
      <c r="D345" s="6">
        <v>-0.59942428240473467</v>
      </c>
      <c r="E345" s="6">
        <v>0.51398496382546588</v>
      </c>
      <c r="F345" s="6">
        <v>-0.12275551220388296</v>
      </c>
      <c r="G345" s="6">
        <v>-9.7792883717517598E-2</v>
      </c>
      <c r="H345" s="6">
        <v>-0.33622837848029724</v>
      </c>
      <c r="I345" s="6">
        <v>-1.342350437471469</v>
      </c>
      <c r="J345" s="6">
        <v>0.19378422828957678</v>
      </c>
      <c r="K345" s="6">
        <v>-0.3074178298760552</v>
      </c>
      <c r="L345" s="6">
        <v>-8.5186032174175308E-2</v>
      </c>
      <c r="N345" s="8">
        <f>SQRT((C345-Sheet3!$C$525)^2+(D345-Sheet3!$D$525)^2+(E345-Sheet3!$E$525)^2+(F345-Sheet3!$F$525)^2+(G345-Sheet3!$G$525)^2+(H345-Sheet3!$H$525)^2+(I345-Sheet3!$I$525)^2+(J345-Sheet3!$J$525)^2+(K345-Sheet3!$K$525)^2+(L345-Sheet3!$L$525)^2)</f>
        <v>2.0479059449551738</v>
      </c>
      <c r="O345" s="8">
        <f>SQRT((C345-Sheet3!$C$526)^2+(D345-Sheet3!$D$526)^2+(E345-Sheet3!$E$526)^2+(F345-Sheet3!$F$526)^2+(G345-Sheet3!$G$526)^2+(H345-Sheet3!$H$526)^2+(I345-Sheet3!$I$526)^2+(J345-Sheet3!$J$526)^2+(K345-Sheet3!$K$526)^2+(L345-Sheet3!$L$526)^2)</f>
        <v>3.6659453497096761</v>
      </c>
      <c r="P345" s="12">
        <f t="shared" si="5"/>
        <v>0</v>
      </c>
      <c r="Q345" s="11">
        <f>IF(P345=Sheet1!M345, 1, 0)</f>
        <v>1</v>
      </c>
    </row>
    <row r="346" spans="1:17" x14ac:dyDescent="0.35">
      <c r="A346" s="6" t="s">
        <v>375</v>
      </c>
      <c r="B346" s="6" t="s">
        <v>378</v>
      </c>
      <c r="C346" s="6">
        <v>-1.2391090572948216</v>
      </c>
      <c r="D346" s="6">
        <v>-0.56259762622448473</v>
      </c>
      <c r="E346" s="6">
        <v>0.87758786908930964</v>
      </c>
      <c r="F346" s="6">
        <v>-5.6650856586689469E-3</v>
      </c>
      <c r="G346" s="6">
        <v>-0.65236304118539146</v>
      </c>
      <c r="H346" s="6">
        <v>-6.5914599008273019E-4</v>
      </c>
      <c r="I346" s="6">
        <v>-1.2378011193675107</v>
      </c>
      <c r="J346" s="6">
        <v>-0.40976797602421622</v>
      </c>
      <c r="K346" s="6">
        <v>0.21525915666292322</v>
      </c>
      <c r="L346" s="6">
        <v>-0.20592405013644743</v>
      </c>
      <c r="N346" s="8">
        <f>SQRT((C346-Sheet3!$C$525)^2+(D346-Sheet3!$D$525)^2+(E346-Sheet3!$E$525)^2+(F346-Sheet3!$F$525)^2+(G346-Sheet3!$G$525)^2+(H346-Sheet3!$H$525)^2+(I346-Sheet3!$I$525)^2+(J346-Sheet3!$J$525)^2+(K346-Sheet3!$K$525)^2+(L346-Sheet3!$L$525)^2)</f>
        <v>2.2487286855113457</v>
      </c>
      <c r="O346" s="8">
        <f>SQRT((C346-Sheet3!$C$526)^2+(D346-Sheet3!$D$526)^2+(E346-Sheet3!$E$526)^2+(F346-Sheet3!$F$526)^2+(G346-Sheet3!$G$526)^2+(H346-Sheet3!$H$526)^2+(I346-Sheet3!$I$526)^2+(J346-Sheet3!$J$526)^2+(K346-Sheet3!$K$526)^2+(L346-Sheet3!$L$526)^2)</f>
        <v>3.9392658959355287</v>
      </c>
      <c r="P346" s="12">
        <f t="shared" si="5"/>
        <v>0</v>
      </c>
      <c r="Q346" s="11">
        <f>IF(P346=Sheet1!M346, 1, 0)</f>
        <v>1</v>
      </c>
    </row>
    <row r="347" spans="1:17" x14ac:dyDescent="0.35">
      <c r="A347" s="6" t="s">
        <v>375</v>
      </c>
      <c r="B347" s="6" t="s">
        <v>379</v>
      </c>
      <c r="C347" s="6">
        <v>-0.96131055275599508</v>
      </c>
      <c r="D347" s="6">
        <v>-0.54418429813435942</v>
      </c>
      <c r="E347" s="6">
        <v>-0.16827702254600208</v>
      </c>
      <c r="F347" s="6">
        <v>-0.50638072549017288</v>
      </c>
      <c r="G347" s="6">
        <v>-0.9833630304594112</v>
      </c>
      <c r="H347" s="6">
        <v>-1.1802684865255069</v>
      </c>
      <c r="I347" s="6">
        <v>-1.2741383823670567</v>
      </c>
      <c r="J347" s="6">
        <v>-0.69825833783458258</v>
      </c>
      <c r="K347" s="6">
        <v>0.94137329365120404</v>
      </c>
      <c r="L347" s="6">
        <v>-0.33476421587931188</v>
      </c>
      <c r="N347" s="8">
        <f>SQRT((C347-Sheet3!$C$525)^2+(D347-Sheet3!$D$525)^2+(E347-Sheet3!$E$525)^2+(F347-Sheet3!$F$525)^2+(G347-Sheet3!$G$525)^2+(H347-Sheet3!$H$525)^2+(I347-Sheet3!$I$525)^2+(J347-Sheet3!$J$525)^2+(K347-Sheet3!$K$525)^2+(L347-Sheet3!$L$525)^2)</f>
        <v>2.1805995573153325</v>
      </c>
      <c r="O347" s="8">
        <f>SQRT((C347-Sheet3!$C$526)^2+(D347-Sheet3!$D$526)^2+(E347-Sheet3!$E$526)^2+(F347-Sheet3!$F$526)^2+(G347-Sheet3!$G$526)^2+(H347-Sheet3!$H$526)^2+(I347-Sheet3!$I$526)^2+(J347-Sheet3!$J$526)^2+(K347-Sheet3!$K$526)^2+(L347-Sheet3!$L$526)^2)</f>
        <v>5.0747715849603603</v>
      </c>
      <c r="P347" s="12">
        <f t="shared" si="5"/>
        <v>0</v>
      </c>
      <c r="Q347" s="11">
        <f>IF(P347=Sheet1!M347, 1, 0)</f>
        <v>1</v>
      </c>
    </row>
    <row r="348" spans="1:17" x14ac:dyDescent="0.35">
      <c r="A348" s="6" t="s">
        <v>375</v>
      </c>
      <c r="B348" s="6" t="s">
        <v>380</v>
      </c>
      <c r="C348" s="6">
        <v>-1.1639558386756221</v>
      </c>
      <c r="D348" s="6">
        <v>-0.40915322547344196</v>
      </c>
      <c r="E348" s="6">
        <v>0.59945190812253957</v>
      </c>
      <c r="F348" s="6">
        <v>5.9042781642633359E-2</v>
      </c>
      <c r="G348" s="6">
        <v>0.26514570101276702</v>
      </c>
      <c r="H348" s="6">
        <v>0.11191544404275017</v>
      </c>
      <c r="I348" s="6">
        <v>-0.41734397058827694</v>
      </c>
      <c r="J348" s="6">
        <v>-3.7767246321375333E-2</v>
      </c>
      <c r="K348" s="6">
        <v>0.13231939532589962</v>
      </c>
      <c r="L348" s="6">
        <v>-0.32154416771189909</v>
      </c>
      <c r="N348" s="8">
        <f>SQRT((C348-Sheet3!$C$525)^2+(D348-Sheet3!$D$525)^2+(E348-Sheet3!$E$525)^2+(F348-Sheet3!$F$525)^2+(G348-Sheet3!$G$525)^2+(H348-Sheet3!$H$525)^2+(I348-Sheet3!$I$525)^2+(J348-Sheet3!$J$525)^2+(K348-Sheet3!$K$525)^2+(L348-Sheet3!$L$525)^2)</f>
        <v>1.8811596064122003</v>
      </c>
      <c r="O348" s="8">
        <f>SQRT((C348-Sheet3!$C$526)^2+(D348-Sheet3!$D$526)^2+(E348-Sheet3!$E$526)^2+(F348-Sheet3!$F$526)^2+(G348-Sheet3!$G$526)^2+(H348-Sheet3!$H$526)^2+(I348-Sheet3!$I$526)^2+(J348-Sheet3!$J$526)^2+(K348-Sheet3!$K$526)^2+(L348-Sheet3!$L$526)^2)</f>
        <v>3.0735605562651958</v>
      </c>
      <c r="P348" s="12">
        <f t="shared" si="5"/>
        <v>0</v>
      </c>
      <c r="Q348" s="11">
        <f>IF(P348=Sheet1!M348, 1, 0)</f>
        <v>1</v>
      </c>
    </row>
    <row r="349" spans="1:17" x14ac:dyDescent="0.35">
      <c r="A349" s="6" t="s">
        <v>375</v>
      </c>
      <c r="B349" s="6" t="s">
        <v>381</v>
      </c>
      <c r="C349" s="6">
        <v>-0.99754514030453767</v>
      </c>
      <c r="D349" s="6">
        <v>-0.41529100150348353</v>
      </c>
      <c r="E349" s="6">
        <v>0.88827123712644385</v>
      </c>
      <c r="F349" s="6">
        <v>-0.11043020414649235</v>
      </c>
      <c r="G349" s="6">
        <v>-1.0269156606270429</v>
      </c>
      <c r="H349" s="6">
        <v>0.34945321535604773</v>
      </c>
      <c r="I349" s="6">
        <v>-0.8170538635832888</v>
      </c>
      <c r="J349" s="6">
        <v>-0.99434055127153764</v>
      </c>
      <c r="K349" s="6">
        <v>-3.3560127348147624E-2</v>
      </c>
      <c r="L349" s="6">
        <v>-0.35771321436398518</v>
      </c>
      <c r="N349" s="8">
        <f>SQRT((C349-Sheet3!$C$525)^2+(D349-Sheet3!$D$525)^2+(E349-Sheet3!$E$525)^2+(F349-Sheet3!$F$525)^2+(G349-Sheet3!$G$525)^2+(H349-Sheet3!$H$525)^2+(I349-Sheet3!$I$525)^2+(J349-Sheet3!$J$525)^2+(K349-Sheet3!$K$525)^2+(L349-Sheet3!$L$525)^2)</f>
        <v>2.1989460566028809</v>
      </c>
      <c r="O349" s="8">
        <f>SQRT((C349-Sheet3!$C$526)^2+(D349-Sheet3!$D$526)^2+(E349-Sheet3!$E$526)^2+(F349-Sheet3!$F$526)^2+(G349-Sheet3!$G$526)^2+(H349-Sheet3!$H$526)^2+(I349-Sheet3!$I$526)^2+(J349-Sheet3!$J$526)^2+(K349-Sheet3!$K$526)^2+(L349-Sheet3!$L$526)^2)</f>
        <v>4.0817038611390064</v>
      </c>
      <c r="P349" s="12">
        <f t="shared" si="5"/>
        <v>0</v>
      </c>
      <c r="Q349" s="11">
        <f>IF(P349=Sheet1!M349, 1, 0)</f>
        <v>1</v>
      </c>
    </row>
    <row r="350" spans="1:17" x14ac:dyDescent="0.35">
      <c r="A350" s="6" t="s">
        <v>375</v>
      </c>
      <c r="B350" s="6" t="s">
        <v>382</v>
      </c>
      <c r="C350" s="6">
        <v>-0.81771422432288199</v>
      </c>
      <c r="D350" s="6">
        <v>-0.26184660075244082</v>
      </c>
      <c r="E350" s="6">
        <v>0.72028448454254035</v>
      </c>
      <c r="F350" s="6">
        <v>-0.13508082026127355</v>
      </c>
      <c r="G350" s="6">
        <v>-1.0036875912043053</v>
      </c>
      <c r="H350" s="6">
        <v>0.56113653536993924</v>
      </c>
      <c r="I350" s="6">
        <v>0.35848846924414518</v>
      </c>
      <c r="J350" s="6">
        <v>-0.49327834391669079</v>
      </c>
      <c r="K350" s="6">
        <v>0.11510548259557409</v>
      </c>
      <c r="L350" s="6">
        <v>-0.35492036533688881</v>
      </c>
      <c r="N350" s="8">
        <f>SQRT((C350-Sheet3!$C$525)^2+(D350-Sheet3!$D$525)^2+(E350-Sheet3!$E$525)^2+(F350-Sheet3!$F$525)^2+(G350-Sheet3!$G$525)^2+(H350-Sheet3!$H$525)^2+(I350-Sheet3!$I$525)^2+(J350-Sheet3!$J$525)^2+(K350-Sheet3!$K$525)^2+(L350-Sheet3!$L$525)^2)</f>
        <v>1.9498545755067471</v>
      </c>
      <c r="O350" s="8">
        <f>SQRT((C350-Sheet3!$C$526)^2+(D350-Sheet3!$D$526)^2+(E350-Sheet3!$E$526)^2+(F350-Sheet3!$F$526)^2+(G350-Sheet3!$G$526)^2+(H350-Sheet3!$H$526)^2+(I350-Sheet3!$I$526)^2+(J350-Sheet3!$J$526)^2+(K350-Sheet3!$K$526)^2+(L350-Sheet3!$L$526)^2)</f>
        <v>3.4950599305206134</v>
      </c>
      <c r="P350" s="12">
        <f t="shared" si="5"/>
        <v>0</v>
      </c>
      <c r="Q350" s="11">
        <f>IF(P350=Sheet1!M350, 1, 0)</f>
        <v>1</v>
      </c>
    </row>
    <row r="351" spans="1:17" x14ac:dyDescent="0.35">
      <c r="A351" s="6" t="s">
        <v>375</v>
      </c>
      <c r="B351" s="6" t="s">
        <v>383</v>
      </c>
      <c r="C351" s="6">
        <v>-0.73048280985416836</v>
      </c>
      <c r="D351" s="6">
        <v>-0.42142877753352509</v>
      </c>
      <c r="E351" s="6">
        <v>-0.25079683083283189</v>
      </c>
      <c r="F351" s="6">
        <v>-0.58649522786321284</v>
      </c>
      <c r="G351" s="6">
        <v>-1.6134244135511859</v>
      </c>
      <c r="H351" s="6">
        <v>0.58645235226727477</v>
      </c>
      <c r="I351" s="6">
        <v>0.1831771126673859</v>
      </c>
      <c r="J351" s="6">
        <v>-9.8502059334084097E-2</v>
      </c>
      <c r="K351" s="6">
        <v>0.3044585226291549</v>
      </c>
      <c r="L351" s="6">
        <v>-0.38769150591997681</v>
      </c>
      <c r="N351" s="8">
        <f>SQRT((C351-Sheet3!$C$525)^2+(D351-Sheet3!$D$525)^2+(E351-Sheet3!$E$525)^2+(F351-Sheet3!$F$525)^2+(G351-Sheet3!$G$525)^2+(H351-Sheet3!$H$525)^2+(I351-Sheet3!$I$525)^2+(J351-Sheet3!$J$525)^2+(K351-Sheet3!$K$525)^2+(L351-Sheet3!$L$525)^2)</f>
        <v>1.9075457809766609</v>
      </c>
      <c r="O351" s="8">
        <f>SQRT((C351-Sheet3!$C$526)^2+(D351-Sheet3!$D$526)^2+(E351-Sheet3!$E$526)^2+(F351-Sheet3!$F$526)^2+(G351-Sheet3!$G$526)^2+(H351-Sheet3!$H$526)^2+(I351-Sheet3!$I$526)^2+(J351-Sheet3!$J$526)^2+(K351-Sheet3!$K$526)^2+(L351-Sheet3!$L$526)^2)</f>
        <v>4.2578848315230857</v>
      </c>
      <c r="P351" s="12">
        <f t="shared" si="5"/>
        <v>0</v>
      </c>
      <c r="Q351" s="11">
        <f>IF(P351=Sheet1!M351, 1, 0)</f>
        <v>1</v>
      </c>
    </row>
    <row r="352" spans="1:17" x14ac:dyDescent="0.35">
      <c r="A352" s="6" t="s">
        <v>375</v>
      </c>
      <c r="B352" s="6" t="s">
        <v>384</v>
      </c>
      <c r="C352" s="6">
        <v>-0.80563602847336779</v>
      </c>
      <c r="D352" s="6">
        <v>0.41330876255214699</v>
      </c>
      <c r="E352" s="6">
        <v>0.42188696350534327</v>
      </c>
      <c r="F352" s="6">
        <v>0.41185472478544566</v>
      </c>
      <c r="G352" s="6">
        <v>0.26514570101276702</v>
      </c>
      <c r="H352" s="6">
        <v>1.0415984220172445</v>
      </c>
      <c r="I352" s="6">
        <v>-0.80557893842553685</v>
      </c>
      <c r="J352" s="6">
        <v>-0.61854389575540236</v>
      </c>
      <c r="K352" s="6">
        <v>0.31697773188757328</v>
      </c>
      <c r="L352" s="6">
        <v>-0.14640772505785399</v>
      </c>
      <c r="N352" s="8">
        <f>SQRT((C352-Sheet3!$C$525)^2+(D352-Sheet3!$D$525)^2+(E352-Sheet3!$E$525)^2+(F352-Sheet3!$F$525)^2+(G352-Sheet3!$G$525)^2+(H352-Sheet3!$H$525)^2+(I352-Sheet3!$I$525)^2+(J352-Sheet3!$J$525)^2+(K352-Sheet3!$K$525)^2+(L352-Sheet3!$L$525)^2)</f>
        <v>2.2691435085723266</v>
      </c>
      <c r="O352" s="8">
        <f>SQRT((C352-Sheet3!$C$526)^2+(D352-Sheet3!$D$526)^2+(E352-Sheet3!$E$526)^2+(F352-Sheet3!$F$526)^2+(G352-Sheet3!$G$526)^2+(H352-Sheet3!$H$526)^2+(I352-Sheet3!$I$526)^2+(J352-Sheet3!$J$526)^2+(K352-Sheet3!$K$526)^2+(L352-Sheet3!$L$526)^2)</f>
        <v>3.0555008783088429</v>
      </c>
      <c r="P352" s="12">
        <f t="shared" si="5"/>
        <v>0</v>
      </c>
      <c r="Q352" s="11">
        <f>IF(P352=Sheet1!M352, 1, 0)</f>
        <v>1</v>
      </c>
    </row>
    <row r="353" spans="1:17" x14ac:dyDescent="0.35">
      <c r="A353" s="6" t="s">
        <v>375</v>
      </c>
      <c r="B353" s="6" t="s">
        <v>385</v>
      </c>
      <c r="C353" s="6">
        <v>-1.0002291838266519</v>
      </c>
      <c r="D353" s="6">
        <v>-0.28639770487260768</v>
      </c>
      <c r="E353" s="6">
        <v>0.5596655719842466</v>
      </c>
      <c r="F353" s="6">
        <v>0.16534856363762923</v>
      </c>
      <c r="G353" s="6">
        <v>0.2303035968786625</v>
      </c>
      <c r="H353" s="6">
        <v>0.51158217037941001</v>
      </c>
      <c r="I353" s="6">
        <v>-1.4488122431017194</v>
      </c>
      <c r="J353" s="6">
        <v>0.67207088076465782</v>
      </c>
      <c r="K353" s="6">
        <v>-0.18379063844917023</v>
      </c>
      <c r="L353" s="6">
        <v>-0.12363739987377473</v>
      </c>
      <c r="N353" s="8">
        <f>SQRT((C353-Sheet3!$C$525)^2+(D353-Sheet3!$D$525)^2+(E353-Sheet3!$E$525)^2+(F353-Sheet3!$F$525)^2+(G353-Sheet3!$G$525)^2+(H353-Sheet3!$H$525)^2+(I353-Sheet3!$I$525)^2+(J353-Sheet3!$J$525)^2+(K353-Sheet3!$K$525)^2+(L353-Sheet3!$L$525)^2)</f>
        <v>2.4612351531107048</v>
      </c>
      <c r="O353" s="8">
        <f>SQRT((C353-Sheet3!$C$526)^2+(D353-Sheet3!$D$526)^2+(E353-Sheet3!$E$526)^2+(F353-Sheet3!$F$526)^2+(G353-Sheet3!$G$526)^2+(H353-Sheet3!$H$526)^2+(I353-Sheet3!$I$526)^2+(J353-Sheet3!$J$526)^2+(K353-Sheet3!$K$526)^2+(L353-Sheet3!$L$526)^2)</f>
        <v>3.1687067084898528</v>
      </c>
      <c r="P353" s="12">
        <f t="shared" si="5"/>
        <v>0</v>
      </c>
      <c r="Q353" s="11">
        <f>IF(P353=Sheet1!M353, 1, 0)</f>
        <v>1</v>
      </c>
    </row>
    <row r="354" spans="1:17" x14ac:dyDescent="0.35">
      <c r="A354" s="6" t="s">
        <v>375</v>
      </c>
      <c r="B354" s="6" t="s">
        <v>386</v>
      </c>
      <c r="C354" s="6">
        <v>-0.83247646369451034</v>
      </c>
      <c r="D354" s="6">
        <v>-0.45825543371377514</v>
      </c>
      <c r="E354" s="6">
        <v>0.43293872354375795</v>
      </c>
      <c r="F354" s="6">
        <v>-0.12583683921823005</v>
      </c>
      <c r="G354" s="6">
        <v>-0.52460865936033196</v>
      </c>
      <c r="H354" s="6">
        <v>0.65809072774271371</v>
      </c>
      <c r="I354" s="6">
        <v>-0.57735542695470121</v>
      </c>
      <c r="J354" s="6">
        <v>-0.99434055127153764</v>
      </c>
      <c r="K354" s="6">
        <v>0.92572428207817936</v>
      </c>
      <c r="L354" s="6">
        <v>-0.26091169344632958</v>
      </c>
      <c r="N354" s="8">
        <f>SQRT((C354-Sheet3!$C$525)^2+(D354-Sheet3!$D$525)^2+(E354-Sheet3!$E$525)^2+(F354-Sheet3!$F$525)^2+(G354-Sheet3!$G$525)^2+(H354-Sheet3!$H$525)^2+(I354-Sheet3!$I$525)^2+(J354-Sheet3!$J$525)^2+(K354-Sheet3!$K$525)^2+(L354-Sheet3!$L$525)^2)</f>
        <v>1.9326291235260113</v>
      </c>
      <c r="O354" s="8">
        <f>SQRT((C354-Sheet3!$C$526)^2+(D354-Sheet3!$D$526)^2+(E354-Sheet3!$E$526)^2+(F354-Sheet3!$F$526)^2+(G354-Sheet3!$G$526)^2+(H354-Sheet3!$H$526)^2+(I354-Sheet3!$I$526)^2+(J354-Sheet3!$J$526)^2+(K354-Sheet3!$K$526)^2+(L354-Sheet3!$L$526)^2)</f>
        <v>4.0692041685315647</v>
      </c>
      <c r="P354" s="12">
        <f t="shared" si="5"/>
        <v>0</v>
      </c>
      <c r="Q354" s="11">
        <f>IF(P354=Sheet1!M354, 1, 0)</f>
        <v>1</v>
      </c>
    </row>
    <row r="355" spans="1:17" x14ac:dyDescent="0.35">
      <c r="A355" s="6" t="s">
        <v>375</v>
      </c>
      <c r="B355" s="6" t="s">
        <v>387</v>
      </c>
      <c r="C355" s="6">
        <v>-0.99083503149925212</v>
      </c>
      <c r="D355" s="6">
        <v>1.0823263498266933</v>
      </c>
      <c r="E355" s="6">
        <v>1.5130640712981553</v>
      </c>
      <c r="F355" s="6">
        <v>1.1775644878508531</v>
      </c>
      <c r="G355" s="6">
        <v>0.47419832581741478</v>
      </c>
      <c r="H355" s="6">
        <v>0.76904941456933362</v>
      </c>
      <c r="I355" s="6">
        <v>0.92649726455284509</v>
      </c>
      <c r="J355" s="6">
        <v>1.2946027141449223</v>
      </c>
      <c r="K355" s="6">
        <v>-0.9818902286733594</v>
      </c>
      <c r="L355" s="6">
        <v>1.4802334233680535E-2</v>
      </c>
      <c r="N355" s="8">
        <f>SQRT((C355-Sheet3!$C$525)^2+(D355-Sheet3!$D$525)^2+(E355-Sheet3!$E$525)^2+(F355-Sheet3!$F$525)^2+(G355-Sheet3!$G$525)^2+(H355-Sheet3!$H$525)^2+(I355-Sheet3!$I$525)^2+(J355-Sheet3!$J$525)^2+(K355-Sheet3!$K$525)^2+(L355-Sheet3!$L$525)^2)</f>
        <v>4.0371355005067961</v>
      </c>
      <c r="O355" s="8">
        <f>SQRT((C355-Sheet3!$C$526)^2+(D355-Sheet3!$D$526)^2+(E355-Sheet3!$E$526)^2+(F355-Sheet3!$F$526)^2+(G355-Sheet3!$G$526)^2+(H355-Sheet3!$H$526)^2+(I355-Sheet3!$I$526)^2+(J355-Sheet3!$J$526)^2+(K355-Sheet3!$K$526)^2+(L355-Sheet3!$L$526)^2)</f>
        <v>1.0624904578061167</v>
      </c>
      <c r="P355" s="12">
        <f t="shared" si="5"/>
        <v>1</v>
      </c>
      <c r="Q355" s="11">
        <f>IF(P355=Sheet1!M355, 1, 0)</f>
        <v>0</v>
      </c>
    </row>
    <row r="356" spans="1:17" x14ac:dyDescent="0.35">
      <c r="A356" s="6" t="s">
        <v>375</v>
      </c>
      <c r="B356" s="6" t="s">
        <v>388</v>
      </c>
      <c r="C356" s="6">
        <v>-1.0565940977910515</v>
      </c>
      <c r="D356" s="6">
        <v>1.5487973281098641</v>
      </c>
      <c r="E356" s="6">
        <v>1.2761880144748001</v>
      </c>
      <c r="F356" s="6">
        <v>1.4379366205632369</v>
      </c>
      <c r="G356" s="6">
        <v>0.70938252872263574</v>
      </c>
      <c r="H356" s="6">
        <v>0.64139306127851359</v>
      </c>
      <c r="I356" s="6">
        <v>-2.2734044330044362E-2</v>
      </c>
      <c r="J356" s="6">
        <v>0.24313126386240255</v>
      </c>
      <c r="K356" s="6">
        <v>-0.54997750925791578</v>
      </c>
      <c r="L356" s="6">
        <v>-0.32685476195652313</v>
      </c>
      <c r="N356" s="8">
        <f>SQRT((C356-Sheet3!$C$525)^2+(D356-Sheet3!$D$525)^2+(E356-Sheet3!$E$525)^2+(F356-Sheet3!$F$525)^2+(G356-Sheet3!$G$525)^2+(H356-Sheet3!$H$525)^2+(I356-Sheet3!$I$525)^2+(J356-Sheet3!$J$525)^2+(K356-Sheet3!$K$525)^2+(L356-Sheet3!$L$525)^2)</f>
        <v>3.7108825596478918</v>
      </c>
      <c r="O356" s="8">
        <f>SQRT((C356-Sheet3!$C$526)^2+(D356-Sheet3!$D$526)^2+(E356-Sheet3!$E$526)^2+(F356-Sheet3!$F$526)^2+(G356-Sheet3!$G$526)^2+(H356-Sheet3!$H$526)^2+(I356-Sheet3!$I$526)^2+(J356-Sheet3!$J$526)^2+(K356-Sheet3!$K$526)^2+(L356-Sheet3!$L$526)^2)</f>
        <v>1.6816760557713011</v>
      </c>
      <c r="P356" s="12">
        <f t="shared" si="5"/>
        <v>1</v>
      </c>
      <c r="Q356" s="11">
        <f>IF(P356=Sheet1!M356, 1, 0)</f>
        <v>0</v>
      </c>
    </row>
    <row r="357" spans="1:17" x14ac:dyDescent="0.35">
      <c r="A357" s="6" t="s">
        <v>389</v>
      </c>
      <c r="B357" s="6" t="s">
        <v>390</v>
      </c>
      <c r="C357" s="6">
        <v>-0.34129649914759991</v>
      </c>
      <c r="D357" s="6">
        <v>0.21689992959081214</v>
      </c>
      <c r="E357" s="6">
        <v>0.12827853848479256</v>
      </c>
      <c r="F357" s="6">
        <v>0.46269662052218491</v>
      </c>
      <c r="G357" s="6">
        <v>0.93585620559433369</v>
      </c>
      <c r="H357" s="6">
        <v>0.22125822766315714</v>
      </c>
      <c r="I357" s="6">
        <v>-1.4245874011020214</v>
      </c>
      <c r="J357" s="6">
        <v>0.24313126386240255</v>
      </c>
      <c r="K357" s="6">
        <v>-0.64543647985335773</v>
      </c>
      <c r="L357" s="6">
        <v>0.30558743705803298</v>
      </c>
      <c r="N357" s="8">
        <f>SQRT((C357-Sheet3!$C$525)^2+(D357-Sheet3!$D$525)^2+(E357-Sheet3!$E$525)^2+(F357-Sheet3!$F$525)^2+(G357-Sheet3!$G$525)^2+(H357-Sheet3!$H$525)^2+(I357-Sheet3!$I$525)^2+(J357-Sheet3!$J$525)^2+(K357-Sheet3!$K$525)^2+(L357-Sheet3!$L$525)^2)</f>
        <v>2.4404792221303988</v>
      </c>
      <c r="O357" s="8">
        <f>SQRT((C357-Sheet3!$C$526)^2+(D357-Sheet3!$D$526)^2+(E357-Sheet3!$E$526)^2+(F357-Sheet3!$F$526)^2+(G357-Sheet3!$G$526)^2+(H357-Sheet3!$H$526)^2+(I357-Sheet3!$I$526)^2+(J357-Sheet3!$J$526)^2+(K357-Sheet3!$K$526)^2+(L357-Sheet3!$L$526)^2)</f>
        <v>2.9263211690146922</v>
      </c>
      <c r="P357" s="12">
        <f t="shared" si="5"/>
        <v>0</v>
      </c>
      <c r="Q357" s="11">
        <f>IF(P357=Sheet1!M357, 1, 0)</f>
        <v>1</v>
      </c>
    </row>
    <row r="358" spans="1:17" x14ac:dyDescent="0.35">
      <c r="A358" s="6" t="s">
        <v>389</v>
      </c>
      <c r="B358" s="6" t="s">
        <v>391</v>
      </c>
      <c r="C358" s="6">
        <v>-0.27285338933368619</v>
      </c>
      <c r="D358" s="6">
        <v>0.16165994532043684</v>
      </c>
      <c r="E358" s="6">
        <v>-9.6808974297586975E-2</v>
      </c>
      <c r="F358" s="6">
        <v>0.33019955890523101</v>
      </c>
      <c r="G358" s="6">
        <v>0.99973339650686344</v>
      </c>
      <c r="H358" s="6">
        <v>0.57137058900928761</v>
      </c>
      <c r="I358" s="6">
        <v>-1.151101684842277</v>
      </c>
      <c r="J358" s="6">
        <v>3.0559418317921867E-2</v>
      </c>
      <c r="K358" s="6">
        <v>0.47972745224701652</v>
      </c>
      <c r="L358" s="6">
        <v>-9.50427626824186E-3</v>
      </c>
      <c r="N358" s="8">
        <f>SQRT((C358-Sheet3!$C$525)^2+(D358-Sheet3!$D$525)^2+(E358-Sheet3!$E$525)^2+(F358-Sheet3!$F$525)^2+(G358-Sheet3!$G$525)^2+(H358-Sheet3!$H$525)^2+(I358-Sheet3!$I$525)^2+(J358-Sheet3!$J$525)^2+(K358-Sheet3!$K$525)^2+(L358-Sheet3!$L$525)^2)</f>
        <v>2.1048637566665511</v>
      </c>
      <c r="O358" s="8">
        <f>SQRT((C358-Sheet3!$C$526)^2+(D358-Sheet3!$D$526)^2+(E358-Sheet3!$E$526)^2+(F358-Sheet3!$F$526)^2+(G358-Sheet3!$G$526)^2+(H358-Sheet3!$H$526)^2+(I358-Sheet3!$I$526)^2+(J358-Sheet3!$J$526)^2+(K358-Sheet3!$K$526)^2+(L358-Sheet3!$L$526)^2)</f>
        <v>3.1782382002386167</v>
      </c>
      <c r="P358" s="12">
        <f t="shared" si="5"/>
        <v>0</v>
      </c>
      <c r="Q358" s="11">
        <f>IF(P358=Sheet1!M358, 1, 0)</f>
        <v>1</v>
      </c>
    </row>
    <row r="359" spans="1:17" x14ac:dyDescent="0.35">
      <c r="A359" s="6" t="s">
        <v>389</v>
      </c>
      <c r="B359" s="6" t="s">
        <v>392</v>
      </c>
      <c r="C359" s="6">
        <v>-0.57480828557154096</v>
      </c>
      <c r="D359" s="6">
        <v>0.48696207491264815</v>
      </c>
      <c r="E359" s="6">
        <v>0.26642553896497639</v>
      </c>
      <c r="F359" s="6">
        <v>0.63679159683283015</v>
      </c>
      <c r="G359" s="6">
        <v>0.86617199732612049</v>
      </c>
      <c r="H359" s="6">
        <v>0.37800083866580919</v>
      </c>
      <c r="I359" s="6">
        <v>-0.5314557263236952</v>
      </c>
      <c r="J359" s="6">
        <v>0.22794756060922539</v>
      </c>
      <c r="K359" s="6">
        <v>-0.78314778169596422</v>
      </c>
      <c r="L359" s="6">
        <v>2.1357723228726941</v>
      </c>
      <c r="N359" s="8">
        <f>SQRT((C359-Sheet3!$C$525)^2+(D359-Sheet3!$D$525)^2+(E359-Sheet3!$E$525)^2+(F359-Sheet3!$F$525)^2+(G359-Sheet3!$G$525)^2+(H359-Sheet3!$H$525)^2+(I359-Sheet3!$I$525)^2+(J359-Sheet3!$J$525)^2+(K359-Sheet3!$K$525)^2+(L359-Sheet3!$L$525)^2)</f>
        <v>3.3565899963662904</v>
      </c>
      <c r="O359" s="8">
        <f>SQRT((C359-Sheet3!$C$526)^2+(D359-Sheet3!$D$526)^2+(E359-Sheet3!$E$526)^2+(F359-Sheet3!$F$526)^2+(G359-Sheet3!$G$526)^2+(H359-Sheet3!$H$526)^2+(I359-Sheet3!$I$526)^2+(J359-Sheet3!$J$526)^2+(K359-Sheet3!$K$526)^2+(L359-Sheet3!$L$526)^2)</f>
        <v>2.4856011646892364</v>
      </c>
      <c r="P359" s="12">
        <f t="shared" si="5"/>
        <v>1</v>
      </c>
      <c r="Q359" s="11">
        <f>IF(P359=Sheet1!M359, 1, 0)</f>
        <v>0</v>
      </c>
    </row>
    <row r="360" spans="1:17" x14ac:dyDescent="0.35">
      <c r="A360" s="6" t="s">
        <v>389</v>
      </c>
      <c r="B360" s="6" t="s">
        <v>393</v>
      </c>
      <c r="C360" s="6">
        <v>-0.33056032505914285</v>
      </c>
      <c r="D360" s="6">
        <v>0.60971759551348181</v>
      </c>
      <c r="E360" s="6">
        <v>0.20011497873448814</v>
      </c>
      <c r="F360" s="6">
        <v>0.59827500915348375</v>
      </c>
      <c r="G360" s="6">
        <v>1.1042597089091852</v>
      </c>
      <c r="H360" s="6">
        <v>0.5018867511421321</v>
      </c>
      <c r="I360" s="6">
        <v>-0.39311912858857961</v>
      </c>
      <c r="J360" s="6">
        <v>0.11027386039710205</v>
      </c>
      <c r="K360" s="6">
        <v>-0.23386747548284592</v>
      </c>
      <c r="L360" s="6">
        <v>1.4614403555442765</v>
      </c>
      <c r="N360" s="8">
        <f>SQRT((C360-Sheet3!$C$525)^2+(D360-Sheet3!$D$525)^2+(E360-Sheet3!$E$525)^2+(F360-Sheet3!$F$525)^2+(G360-Sheet3!$G$525)^2+(H360-Sheet3!$H$525)^2+(I360-Sheet3!$I$525)^2+(J360-Sheet3!$J$525)^2+(K360-Sheet3!$K$525)^2+(L360-Sheet3!$L$525)^2)</f>
        <v>2.8468959768402544</v>
      </c>
      <c r="O360" s="8">
        <f>SQRT((C360-Sheet3!$C$526)^2+(D360-Sheet3!$D$526)^2+(E360-Sheet3!$E$526)^2+(F360-Sheet3!$F$526)^2+(G360-Sheet3!$G$526)^2+(H360-Sheet3!$H$526)^2+(I360-Sheet3!$I$526)^2+(J360-Sheet3!$J$526)^2+(K360-Sheet3!$K$526)^2+(L360-Sheet3!$L$526)^2)</f>
        <v>2.2007340531426292</v>
      </c>
      <c r="P360" s="12">
        <f t="shared" si="5"/>
        <v>1</v>
      </c>
      <c r="Q360" s="11">
        <f>IF(P360=Sheet1!M360, 1, 0)</f>
        <v>0</v>
      </c>
    </row>
    <row r="361" spans="1:17" x14ac:dyDescent="0.35">
      <c r="A361" s="6" t="s">
        <v>389</v>
      </c>
      <c r="B361" s="6" t="s">
        <v>394</v>
      </c>
      <c r="C361" s="6">
        <v>-0.85797487715459597</v>
      </c>
      <c r="D361" s="6">
        <v>0.67109535581389879</v>
      </c>
      <c r="E361" s="6">
        <v>0.77738524474101633</v>
      </c>
      <c r="F361" s="6">
        <v>0.81242723665065009</v>
      </c>
      <c r="G361" s="6">
        <v>0.77325971963516549</v>
      </c>
      <c r="H361" s="6">
        <v>0.603150018731475</v>
      </c>
      <c r="I361" s="6">
        <v>0.14046489124686626</v>
      </c>
      <c r="J361" s="6">
        <v>0.28868237362193416</v>
      </c>
      <c r="K361" s="6">
        <v>-0.61257355555000981</v>
      </c>
      <c r="L361" s="6">
        <v>0.14289389415963666</v>
      </c>
      <c r="N361" s="8">
        <f>SQRT((C361-Sheet3!$C$525)^2+(D361-Sheet3!$D$525)^2+(E361-Sheet3!$E$525)^2+(F361-Sheet3!$F$525)^2+(G361-Sheet3!$G$525)^2+(H361-Sheet3!$H$525)^2+(I361-Sheet3!$I$525)^2+(J361-Sheet3!$J$525)^2+(K361-Sheet3!$K$525)^2+(L361-Sheet3!$L$525)^2)</f>
        <v>2.8133202433783064</v>
      </c>
      <c r="O361" s="8">
        <f>SQRT((C361-Sheet3!$C$526)^2+(D361-Sheet3!$D$526)^2+(E361-Sheet3!$E$526)^2+(F361-Sheet3!$F$526)^2+(G361-Sheet3!$G$526)^2+(H361-Sheet3!$H$526)^2+(I361-Sheet3!$I$526)^2+(J361-Sheet3!$J$526)^2+(K361-Sheet3!$K$526)^2+(L361-Sheet3!$L$526)^2)</f>
        <v>1.4265664429553542</v>
      </c>
      <c r="P361" s="12">
        <f t="shared" si="5"/>
        <v>1</v>
      </c>
      <c r="Q361" s="11">
        <f>IF(P361=Sheet1!M361, 1, 0)</f>
        <v>0</v>
      </c>
    </row>
    <row r="362" spans="1:17" x14ac:dyDescent="0.35">
      <c r="A362" s="6" t="s">
        <v>389</v>
      </c>
      <c r="B362" s="6" t="s">
        <v>395</v>
      </c>
      <c r="C362" s="6">
        <v>-0.625805112491712</v>
      </c>
      <c r="D362" s="6">
        <v>-4.7024439700981191E-2</v>
      </c>
      <c r="E362" s="6">
        <v>0.488565915737112</v>
      </c>
      <c r="F362" s="6">
        <v>0.3209555778621897</v>
      </c>
      <c r="G362" s="6">
        <v>0.5874351642532637</v>
      </c>
      <c r="H362" s="6">
        <v>0.39469850513000937</v>
      </c>
      <c r="I362" s="6">
        <v>-0.40650654127262265</v>
      </c>
      <c r="J362" s="6">
        <v>-0.80074833479352847</v>
      </c>
      <c r="K362" s="6">
        <v>-0.40913640510070748</v>
      </c>
      <c r="L362" s="6">
        <v>-0.32328217353540645</v>
      </c>
      <c r="N362" s="8">
        <f>SQRT((C362-Sheet3!$C$525)^2+(D362-Sheet3!$D$525)^2+(E362-Sheet3!$E$525)^2+(F362-Sheet3!$F$525)^2+(G362-Sheet3!$G$525)^2+(H362-Sheet3!$H$525)^2+(I362-Sheet3!$I$525)^2+(J362-Sheet3!$J$525)^2+(K362-Sheet3!$K$525)^2+(L362-Sheet3!$L$525)^2)</f>
        <v>1.9249373824278797</v>
      </c>
      <c r="O362" s="8">
        <f>SQRT((C362-Sheet3!$C$526)^2+(D362-Sheet3!$D$526)^2+(E362-Sheet3!$E$526)^2+(F362-Sheet3!$F$526)^2+(G362-Sheet3!$G$526)^2+(H362-Sheet3!$H$526)^2+(I362-Sheet3!$I$526)^2+(J362-Sheet3!$J$526)^2+(K362-Sheet3!$K$526)^2+(L362-Sheet3!$L$526)^2)</f>
        <v>3.0185171284955872</v>
      </c>
      <c r="P362" s="12">
        <f t="shared" si="5"/>
        <v>0</v>
      </c>
      <c r="Q362" s="11">
        <f>IF(P362=Sheet1!M362, 1, 0)</f>
        <v>1</v>
      </c>
    </row>
    <row r="363" spans="1:17" x14ac:dyDescent="0.35">
      <c r="A363" s="6" t="s">
        <v>389</v>
      </c>
      <c r="B363" s="6" t="s">
        <v>396</v>
      </c>
      <c r="C363" s="6">
        <v>-5.0077776998202241E-2</v>
      </c>
      <c r="D363" s="6">
        <v>-0.15750440824173179</v>
      </c>
      <c r="E363" s="6">
        <v>-0.92937489719149491</v>
      </c>
      <c r="F363" s="6">
        <v>-0.30455380605039711</v>
      </c>
      <c r="G363" s="6">
        <v>0.77616322831300921</v>
      </c>
      <c r="H363" s="6">
        <v>0.779283468208682</v>
      </c>
      <c r="I363" s="6">
        <v>-2.2750068544598281</v>
      </c>
      <c r="J363" s="6">
        <v>-0.72862574434093696</v>
      </c>
      <c r="K363" s="6">
        <v>0.8396547184265517</v>
      </c>
      <c r="L363" s="6">
        <v>-0.42161918576021373</v>
      </c>
      <c r="N363" s="8">
        <f>SQRT((C363-Sheet3!$C$525)^2+(D363-Sheet3!$D$525)^2+(E363-Sheet3!$E$525)^2+(F363-Sheet3!$F$525)^2+(G363-Sheet3!$G$525)^2+(H363-Sheet3!$H$525)^2+(I363-Sheet3!$I$525)^2+(J363-Sheet3!$J$525)^2+(K363-Sheet3!$K$525)^2+(L363-Sheet3!$L$525)^2)</f>
        <v>2.7153475472879385</v>
      </c>
      <c r="O363" s="8">
        <f>SQRT((C363-Sheet3!$C$526)^2+(D363-Sheet3!$D$526)^2+(E363-Sheet3!$E$526)^2+(F363-Sheet3!$F$526)^2+(G363-Sheet3!$G$526)^2+(H363-Sheet3!$H$526)^2+(I363-Sheet3!$I$526)^2+(J363-Sheet3!$J$526)^2+(K363-Sheet3!$K$526)^2+(L363-Sheet3!$L$526)^2)</f>
        <v>4.9874669746707276</v>
      </c>
      <c r="P363" s="12">
        <f t="shared" si="5"/>
        <v>0</v>
      </c>
      <c r="Q363" s="11">
        <f>IF(P363=Sheet1!M363, 1, 0)</f>
        <v>1</v>
      </c>
    </row>
    <row r="364" spans="1:17" x14ac:dyDescent="0.35">
      <c r="A364" s="6" t="s">
        <v>389</v>
      </c>
      <c r="B364" s="6" t="s">
        <v>397</v>
      </c>
      <c r="C364" s="6">
        <v>-1.2592393837106783</v>
      </c>
      <c r="D364" s="6">
        <v>1.5181084479596552</v>
      </c>
      <c r="E364" s="6">
        <v>1.671472631848766</v>
      </c>
      <c r="F364" s="6">
        <v>1.6613328291034446</v>
      </c>
      <c r="G364" s="6">
        <v>1.4817158370286845</v>
      </c>
      <c r="H364" s="6">
        <v>0.86438770373589513</v>
      </c>
      <c r="I364" s="6">
        <v>0.92968474376333143</v>
      </c>
      <c r="J364" s="6">
        <v>1.4730112273697538</v>
      </c>
      <c r="K364" s="6">
        <v>-0.80975110137010187</v>
      </c>
      <c r="L364" s="6">
        <v>1.354684907648444</v>
      </c>
      <c r="N364" s="8">
        <f>SQRT((C364-Sheet3!$C$525)^2+(D364-Sheet3!$D$525)^2+(E364-Sheet3!$E$525)^2+(F364-Sheet3!$F$525)^2+(G364-Sheet3!$G$525)^2+(H364-Sheet3!$H$525)^2+(I364-Sheet3!$I$525)^2+(J364-Sheet3!$J$525)^2+(K364-Sheet3!$K$525)^2+(L364-Sheet3!$L$525)^2)</f>
        <v>5.1187756941106271</v>
      </c>
      <c r="O364" s="8">
        <f>SQRT((C364-Sheet3!$C$526)^2+(D364-Sheet3!$D$526)^2+(E364-Sheet3!$E$526)^2+(F364-Sheet3!$F$526)^2+(G364-Sheet3!$G$526)^2+(H364-Sheet3!$H$526)^2+(I364-Sheet3!$I$526)^2+(J364-Sheet3!$J$526)^2+(K364-Sheet3!$K$526)^2+(L364-Sheet3!$L$526)^2)</f>
        <v>1.3441876719459802</v>
      </c>
      <c r="P364" s="12">
        <f t="shared" si="5"/>
        <v>1</v>
      </c>
      <c r="Q364" s="11">
        <f>IF(P364=Sheet1!M364, 1, 0)</f>
        <v>0</v>
      </c>
    </row>
    <row r="365" spans="1:17" x14ac:dyDescent="0.35">
      <c r="A365" s="6" t="s">
        <v>389</v>
      </c>
      <c r="B365" s="6" t="s">
        <v>398</v>
      </c>
      <c r="C365" s="6">
        <v>-0.97741481388868068</v>
      </c>
      <c r="D365" s="6">
        <v>1.2603218546979034</v>
      </c>
      <c r="E365" s="6">
        <v>1.5683228714902289</v>
      </c>
      <c r="F365" s="6">
        <v>1.6690361466393155</v>
      </c>
      <c r="G365" s="6">
        <v>1.4178386461161547</v>
      </c>
      <c r="H365" s="6">
        <v>1.0755323893477153</v>
      </c>
      <c r="I365" s="6">
        <v>0.72632357013429083</v>
      </c>
      <c r="J365" s="6">
        <v>1.176929013932799</v>
      </c>
      <c r="K365" s="6">
        <v>-0.80975110137010187</v>
      </c>
      <c r="L365" s="6">
        <v>0.50812591999959322</v>
      </c>
      <c r="N365" s="8">
        <f>SQRT((C365-Sheet3!$C$525)^2+(D365-Sheet3!$D$525)^2+(E365-Sheet3!$E$525)^2+(F365-Sheet3!$F$525)^2+(G365-Sheet3!$G$525)^2+(H365-Sheet3!$H$525)^2+(I365-Sheet3!$I$525)^2+(J365-Sheet3!$J$525)^2+(K365-Sheet3!$K$525)^2+(L365-Sheet3!$L$525)^2)</f>
        <v>4.5929615798895389</v>
      </c>
      <c r="O365" s="8">
        <f>SQRT((C365-Sheet3!$C$526)^2+(D365-Sheet3!$D$526)^2+(E365-Sheet3!$E$526)^2+(F365-Sheet3!$F$526)^2+(G365-Sheet3!$G$526)^2+(H365-Sheet3!$H$526)^2+(I365-Sheet3!$I$526)^2+(J365-Sheet3!$J$526)^2+(K365-Sheet3!$K$526)^2+(L365-Sheet3!$L$526)^2)</f>
        <v>0.96041149989823582</v>
      </c>
      <c r="P365" s="12">
        <f t="shared" si="5"/>
        <v>1</v>
      </c>
      <c r="Q365" s="11">
        <f>IF(P365=Sheet1!M365, 1, 0)</f>
        <v>0</v>
      </c>
    </row>
    <row r="366" spans="1:17" x14ac:dyDescent="0.35">
      <c r="A366" s="6" t="s">
        <v>389</v>
      </c>
      <c r="B366" s="6" t="s">
        <v>399</v>
      </c>
      <c r="C366" s="6">
        <v>-1.0270696190477946</v>
      </c>
      <c r="D366" s="6">
        <v>1.4505929116291967</v>
      </c>
      <c r="E366" s="6">
        <v>2.372522610285539</v>
      </c>
      <c r="F366" s="6">
        <v>1.6428448670173597</v>
      </c>
      <c r="G366" s="6">
        <v>1.4207421547939945</v>
      </c>
      <c r="H366" s="6">
        <v>0.90209211188086313</v>
      </c>
      <c r="I366" s="6">
        <v>0.93797218971059615</v>
      </c>
      <c r="J366" s="6">
        <v>1.8450119570725949</v>
      </c>
      <c r="K366" s="6">
        <v>-0.44356423056135857</v>
      </c>
      <c r="L366" s="6">
        <v>0.37580435169501947</v>
      </c>
      <c r="N366" s="8">
        <f>SQRT((C366-Sheet3!$C$525)^2+(D366-Sheet3!$D$525)^2+(E366-Sheet3!$E$525)^2+(F366-Sheet3!$F$525)^2+(G366-Sheet3!$G$525)^2+(H366-Sheet3!$H$525)^2+(I366-Sheet3!$I$525)^2+(J366-Sheet3!$J$525)^2+(K366-Sheet3!$K$525)^2+(L366-Sheet3!$L$525)^2)</f>
        <v>5.2212142003282649</v>
      </c>
      <c r="O366" s="8">
        <f>SQRT((C366-Sheet3!$C$526)^2+(D366-Sheet3!$D$526)^2+(E366-Sheet3!$E$526)^2+(F366-Sheet3!$F$526)^2+(G366-Sheet3!$G$526)^2+(H366-Sheet3!$H$526)^2+(I366-Sheet3!$I$526)^2+(J366-Sheet3!$J$526)^2+(K366-Sheet3!$K$526)^2+(L366-Sheet3!$L$526)^2)</f>
        <v>1.654258600894839</v>
      </c>
      <c r="P366" s="12">
        <f t="shared" si="5"/>
        <v>1</v>
      </c>
      <c r="Q366" s="11">
        <f>IF(P366=Sheet1!M366, 1, 0)</f>
        <v>0</v>
      </c>
    </row>
    <row r="367" spans="1:17" x14ac:dyDescent="0.35">
      <c r="A367" s="6" t="s">
        <v>400</v>
      </c>
      <c r="B367" s="6" t="s">
        <v>401</v>
      </c>
      <c r="C367" s="6">
        <v>-0.66740778708448312</v>
      </c>
      <c r="D367" s="6">
        <v>0.59130426742335718</v>
      </c>
      <c r="E367" s="6">
        <v>-0.14617350246917266</v>
      </c>
      <c r="F367" s="6">
        <v>0.36871614658457746</v>
      </c>
      <c r="G367" s="6">
        <v>0.53226849937425702</v>
      </c>
      <c r="H367" s="6">
        <v>-0.50212777431815592</v>
      </c>
      <c r="I367" s="6">
        <v>-0.91076575237159274</v>
      </c>
      <c r="J367" s="6">
        <v>-0.34903316301150761</v>
      </c>
      <c r="K367" s="6">
        <v>0.31697773188757328</v>
      </c>
      <c r="L367" s="6">
        <v>-0.2878060892667727</v>
      </c>
      <c r="N367" s="8">
        <f>SQRT((C367-Sheet3!$C$525)^2+(D367-Sheet3!$D$525)^2+(E367-Sheet3!$E$525)^2+(F367-Sheet3!$F$525)^2+(G367-Sheet3!$G$525)^2+(H367-Sheet3!$H$525)^2+(I367-Sheet3!$I$525)^2+(J367-Sheet3!$J$525)^2+(K367-Sheet3!$K$525)^2+(L367-Sheet3!$L$525)^2)</f>
        <v>1.8666215284978347</v>
      </c>
      <c r="O367" s="8">
        <f>SQRT((C367-Sheet3!$C$526)^2+(D367-Sheet3!$D$526)^2+(E367-Sheet3!$E$526)^2+(F367-Sheet3!$F$526)^2+(G367-Sheet3!$G$526)^2+(H367-Sheet3!$H$526)^2+(I367-Sheet3!$I$526)^2+(J367-Sheet3!$J$526)^2+(K367-Sheet3!$K$526)^2+(L367-Sheet3!$L$526)^2)</f>
        <v>3.3428122554737643</v>
      </c>
      <c r="P367" s="12">
        <f t="shared" si="5"/>
        <v>0</v>
      </c>
      <c r="Q367" s="11">
        <f>IF(P367=Sheet1!M367, 1, 0)</f>
        <v>1</v>
      </c>
    </row>
    <row r="368" spans="1:17" x14ac:dyDescent="0.35">
      <c r="A368" s="6" t="s">
        <v>400</v>
      </c>
      <c r="B368" s="6" t="s">
        <v>402</v>
      </c>
      <c r="C368" s="6">
        <v>-0.30103584631588609</v>
      </c>
      <c r="D368" s="6">
        <v>0.46241097079248072</v>
      </c>
      <c r="E368" s="6">
        <v>-0.33221146311582023</v>
      </c>
      <c r="F368" s="6">
        <v>0.28860164421153744</v>
      </c>
      <c r="G368" s="6">
        <v>0.89520708410454164</v>
      </c>
      <c r="H368" s="6">
        <v>0.85307638129240515</v>
      </c>
      <c r="I368" s="6">
        <v>-0.61815516084892885</v>
      </c>
      <c r="J368" s="6">
        <v>-0.19719613047973569</v>
      </c>
      <c r="K368" s="6">
        <v>-0.13214890025819365</v>
      </c>
      <c r="L368" s="6">
        <v>-0.20789031313872799</v>
      </c>
      <c r="N368" s="8">
        <f>SQRT((C368-Sheet3!$C$525)^2+(D368-Sheet3!$D$525)^2+(E368-Sheet3!$E$525)^2+(F368-Sheet3!$F$525)^2+(G368-Sheet3!$G$525)^2+(H368-Sheet3!$H$525)^2+(I368-Sheet3!$I$525)^2+(J368-Sheet3!$J$525)^2+(K368-Sheet3!$K$525)^2+(L368-Sheet3!$L$525)^2)</f>
        <v>2.0307797920340094</v>
      </c>
      <c r="O368" s="8">
        <f>SQRT((C368-Sheet3!$C$526)^2+(D368-Sheet3!$D$526)^2+(E368-Sheet3!$E$526)^2+(F368-Sheet3!$F$526)^2+(G368-Sheet3!$G$526)^2+(H368-Sheet3!$H$526)^2+(I368-Sheet3!$I$526)^2+(J368-Sheet3!$J$526)^2+(K368-Sheet3!$K$526)^2+(L368-Sheet3!$L$526)^2)</f>
        <v>2.9258000923753968</v>
      </c>
      <c r="P368" s="12">
        <f t="shared" si="5"/>
        <v>0</v>
      </c>
      <c r="Q368" s="11">
        <f>IF(P368=Sheet1!M368, 1, 0)</f>
        <v>1</v>
      </c>
    </row>
    <row r="369" spans="1:17" x14ac:dyDescent="0.35">
      <c r="A369" s="6" t="s">
        <v>400</v>
      </c>
      <c r="B369" s="6" t="s">
        <v>403</v>
      </c>
      <c r="C369" s="6">
        <v>-0.95594246571176655</v>
      </c>
      <c r="D369" s="6">
        <v>0.22303770562085479</v>
      </c>
      <c r="E369" s="6">
        <v>-0.97579228935283668</v>
      </c>
      <c r="F369" s="6">
        <v>-0.33382641268670005</v>
      </c>
      <c r="G369" s="6">
        <v>0.53226849937425702</v>
      </c>
      <c r="H369" s="6">
        <v>0.32790783927320938</v>
      </c>
      <c r="I369" s="6">
        <v>4.7390498300658994E-2</v>
      </c>
      <c r="J369" s="6">
        <v>7.6110528077453443E-2</v>
      </c>
      <c r="K369" s="6">
        <v>-0.33089134723559105</v>
      </c>
      <c r="L369" s="6">
        <v>-0.37914579869311971</v>
      </c>
      <c r="N369" s="8">
        <f>SQRT((C369-Sheet3!$C$525)^2+(D369-Sheet3!$D$525)^2+(E369-Sheet3!$E$525)^2+(F369-Sheet3!$F$525)^2+(G369-Sheet3!$G$525)^2+(H369-Sheet3!$H$525)^2+(I369-Sheet3!$I$525)^2+(J369-Sheet3!$J$525)^2+(K369-Sheet3!$K$525)^2+(L369-Sheet3!$L$525)^2)</f>
        <v>1.8755758732475383</v>
      </c>
      <c r="O369" s="8">
        <f>SQRT((C369-Sheet3!$C$526)^2+(D369-Sheet3!$D$526)^2+(E369-Sheet3!$E$526)^2+(F369-Sheet3!$F$526)^2+(G369-Sheet3!$G$526)^2+(H369-Sheet3!$H$526)^2+(I369-Sheet3!$I$526)^2+(J369-Sheet3!$J$526)^2+(K369-Sheet3!$K$526)^2+(L369-Sheet3!$L$526)^2)</f>
        <v>3.3628346034252896</v>
      </c>
      <c r="P369" s="12">
        <f t="shared" si="5"/>
        <v>0</v>
      </c>
      <c r="Q369" s="11">
        <f>IF(P369=Sheet1!M369, 1, 0)</f>
        <v>1</v>
      </c>
    </row>
    <row r="370" spans="1:17" x14ac:dyDescent="0.35">
      <c r="A370" s="6" t="s">
        <v>400</v>
      </c>
      <c r="B370" s="6" t="s">
        <v>404</v>
      </c>
      <c r="C370" s="6">
        <v>-0.73585089689839689</v>
      </c>
      <c r="D370" s="6">
        <v>-0.16364218427177335</v>
      </c>
      <c r="E370" s="6">
        <v>-1.2012481941364967</v>
      </c>
      <c r="F370" s="6">
        <v>-0.5341126686193034</v>
      </c>
      <c r="G370" s="6">
        <v>0.5061369212736796</v>
      </c>
      <c r="H370" s="6">
        <v>6.9363326279143211E-2</v>
      </c>
      <c r="I370" s="6">
        <v>2.0615672932572011E-2</v>
      </c>
      <c r="J370" s="6">
        <v>-0.31107390487856446</v>
      </c>
      <c r="K370" s="6">
        <v>-0.52493909074107903</v>
      </c>
      <c r="L370" s="6">
        <v>-0.11723669163484682</v>
      </c>
      <c r="N370" s="8">
        <f>SQRT((C370-Sheet3!$C$525)^2+(D370-Sheet3!$D$525)^2+(E370-Sheet3!$E$525)^2+(F370-Sheet3!$F$525)^2+(G370-Sheet3!$G$525)^2+(H370-Sheet3!$H$525)^2+(I370-Sheet3!$I$525)^2+(J370-Sheet3!$J$525)^2+(K370-Sheet3!$K$525)^2+(L370-Sheet3!$L$525)^2)</f>
        <v>1.7019017793781417</v>
      </c>
      <c r="O370" s="8">
        <f>SQRT((C370-Sheet3!$C$526)^2+(D370-Sheet3!$D$526)^2+(E370-Sheet3!$E$526)^2+(F370-Sheet3!$F$526)^2+(G370-Sheet3!$G$526)^2+(H370-Sheet3!$H$526)^2+(I370-Sheet3!$I$526)^2+(J370-Sheet3!$J$526)^2+(K370-Sheet3!$K$526)^2+(L370-Sheet3!$L$526)^2)</f>
        <v>3.8097775919266734</v>
      </c>
      <c r="P370" s="12">
        <f t="shared" si="5"/>
        <v>0</v>
      </c>
      <c r="Q370" s="11">
        <f>IF(P370=Sheet1!M370, 1, 0)</f>
        <v>1</v>
      </c>
    </row>
    <row r="371" spans="1:17" x14ac:dyDescent="0.35">
      <c r="A371" s="6" t="s">
        <v>400</v>
      </c>
      <c r="B371" s="6" t="s">
        <v>405</v>
      </c>
      <c r="C371" s="6">
        <v>-0.74658707098685395</v>
      </c>
      <c r="D371" s="6">
        <v>0.94729527716577633</v>
      </c>
      <c r="E371" s="6">
        <v>0.3448930352377208</v>
      </c>
      <c r="F371" s="6">
        <v>0.97111557788955771</v>
      </c>
      <c r="G371" s="6">
        <v>1.2726632122240409</v>
      </c>
      <c r="H371" s="6">
        <v>2.0347595690685127E-2</v>
      </c>
      <c r="I371" s="6">
        <v>0.86657265539569839</v>
      </c>
      <c r="J371" s="6">
        <v>-4.5359097947963757E-2</v>
      </c>
      <c r="K371" s="6">
        <v>-0.95841671131382355</v>
      </c>
      <c r="L371" s="6">
        <v>2.0918661274960799E-2</v>
      </c>
      <c r="N371" s="8">
        <f>SQRT((C371-Sheet3!$C$525)^2+(D371-Sheet3!$D$525)^2+(E371-Sheet3!$E$525)^2+(F371-Sheet3!$F$525)^2+(G371-Sheet3!$G$525)^2+(H371-Sheet3!$H$525)^2+(I371-Sheet3!$I$525)^2+(J371-Sheet3!$J$525)^2+(K371-Sheet3!$K$525)^2+(L371-Sheet3!$L$525)^2)</f>
        <v>3.1535720971286865</v>
      </c>
      <c r="O371" s="8">
        <f>SQRT((C371-Sheet3!$C$526)^2+(D371-Sheet3!$D$526)^2+(E371-Sheet3!$E$526)^2+(F371-Sheet3!$F$526)^2+(G371-Sheet3!$G$526)^2+(H371-Sheet3!$H$526)^2+(I371-Sheet3!$I$526)^2+(J371-Sheet3!$J$526)^2+(K371-Sheet3!$K$526)^2+(L371-Sheet3!$L$526)^2)</f>
        <v>1.8687485329735651</v>
      </c>
      <c r="P371" s="12">
        <f t="shared" si="5"/>
        <v>1</v>
      </c>
      <c r="Q371" s="11">
        <f>IF(P371=Sheet1!M371, 1, 0)</f>
        <v>0</v>
      </c>
    </row>
    <row r="372" spans="1:17" x14ac:dyDescent="0.35">
      <c r="A372" s="6" t="s">
        <v>406</v>
      </c>
      <c r="B372" s="6" t="s">
        <v>407</v>
      </c>
      <c r="C372" s="6">
        <v>-0.6298311777748834</v>
      </c>
      <c r="D372" s="6">
        <v>-0.24957104869235763</v>
      </c>
      <c r="E372" s="6">
        <v>-3.8603038095269521E-2</v>
      </c>
      <c r="F372" s="6">
        <v>-0.27219987239974702</v>
      </c>
      <c r="G372" s="6">
        <v>-6.0047270905565199E-2</v>
      </c>
      <c r="H372" s="6">
        <v>-0.18864255231285096</v>
      </c>
      <c r="I372" s="6">
        <v>0.19720202119352656</v>
      </c>
      <c r="J372" s="6">
        <v>-7.9522430267612701E-2</v>
      </c>
      <c r="K372" s="6">
        <v>-1.158724059448522</v>
      </c>
      <c r="L372" s="6">
        <v>-0.33929059919602167</v>
      </c>
      <c r="N372" s="8">
        <f>SQRT((C372-Sheet3!$C$525)^2+(D372-Sheet3!$D$525)^2+(E372-Sheet3!$E$525)^2+(F372-Sheet3!$F$525)^2+(G372-Sheet3!$G$525)^2+(H372-Sheet3!$H$525)^2+(I372-Sheet3!$I$525)^2+(J372-Sheet3!$J$525)^2+(K372-Sheet3!$K$525)^2+(L372-Sheet3!$L$525)^2)</f>
        <v>1.705969989394887</v>
      </c>
      <c r="O372" s="8">
        <f>SQRT((C372-Sheet3!$C$526)^2+(D372-Sheet3!$D$526)^2+(E372-Sheet3!$E$526)^2+(F372-Sheet3!$F$526)^2+(G372-Sheet3!$G$526)^2+(H372-Sheet3!$H$526)^2+(I372-Sheet3!$I$526)^2+(J372-Sheet3!$J$526)^2+(K372-Sheet3!$K$526)^2+(L372-Sheet3!$L$526)^2)</f>
        <v>3.2744870949783937</v>
      </c>
      <c r="P372" s="12">
        <f t="shared" si="5"/>
        <v>0</v>
      </c>
      <c r="Q372" s="11">
        <f>IF(P372=Sheet1!M372, 1, 0)</f>
        <v>1</v>
      </c>
    </row>
    <row r="373" spans="1:17" x14ac:dyDescent="0.35">
      <c r="A373" s="6" t="s">
        <v>406</v>
      </c>
      <c r="B373" s="6" t="s">
        <v>408</v>
      </c>
      <c r="C373" s="6">
        <v>-0.6177529819253692</v>
      </c>
      <c r="D373" s="6">
        <v>0.79385087641473362</v>
      </c>
      <c r="E373" s="6">
        <v>0.79433127679991888</v>
      </c>
      <c r="F373" s="6">
        <v>0.89408240253086479</v>
      </c>
      <c r="G373" s="6">
        <v>0.43645271300546234</v>
      </c>
      <c r="H373" s="6">
        <v>0.59884094351490658</v>
      </c>
      <c r="I373" s="6">
        <v>0.1831771126673859</v>
      </c>
      <c r="J373" s="6">
        <v>0.41015199964735133</v>
      </c>
      <c r="K373" s="6">
        <v>-1.57342286613364</v>
      </c>
      <c r="L373" s="6">
        <v>-0.20619771218976055</v>
      </c>
      <c r="N373" s="8">
        <f>SQRT((C373-Sheet3!$C$525)^2+(D373-Sheet3!$D$525)^2+(E373-Sheet3!$E$525)^2+(F373-Sheet3!$F$525)^2+(G373-Sheet3!$G$525)^2+(H373-Sheet3!$H$525)^2+(I373-Sheet3!$I$525)^2+(J373-Sheet3!$J$525)^2+(K373-Sheet3!$K$525)^2+(L373-Sheet3!$L$525)^2)</f>
        <v>3.1419025549947848</v>
      </c>
      <c r="O373" s="8">
        <f>SQRT((C373-Sheet3!$C$526)^2+(D373-Sheet3!$D$526)^2+(E373-Sheet3!$E$526)^2+(F373-Sheet3!$F$526)^2+(G373-Sheet3!$G$526)^2+(H373-Sheet3!$H$526)^2+(I373-Sheet3!$I$526)^2+(J373-Sheet3!$J$526)^2+(K373-Sheet3!$K$526)^2+(L373-Sheet3!$L$526)^2)</f>
        <v>1.820522331751272</v>
      </c>
      <c r="P373" s="12">
        <f t="shared" si="5"/>
        <v>1</v>
      </c>
      <c r="Q373" s="11">
        <f>IF(P373=Sheet1!M373, 1, 0)</f>
        <v>0</v>
      </c>
    </row>
    <row r="374" spans="1:17" x14ac:dyDescent="0.35">
      <c r="A374" s="6" t="s">
        <v>406</v>
      </c>
      <c r="B374" s="6" t="s">
        <v>409</v>
      </c>
      <c r="C374" s="6">
        <v>-0.16817569197122997</v>
      </c>
      <c r="D374" s="6">
        <v>-5.9299991761064347E-2</v>
      </c>
      <c r="E374" s="6">
        <v>0.44178013157448975</v>
      </c>
      <c r="F374" s="6">
        <v>0.17613320818784517</v>
      </c>
      <c r="G374" s="6">
        <v>0.15190886257692218</v>
      </c>
      <c r="H374" s="6">
        <v>0.40547119317142893</v>
      </c>
      <c r="I374" s="6">
        <v>0.53379982582090446</v>
      </c>
      <c r="J374" s="6">
        <v>-0.12886946584043849</v>
      </c>
      <c r="K374" s="6">
        <v>-0.91772928122396336</v>
      </c>
      <c r="L374" s="6">
        <v>-0.39197538165550377</v>
      </c>
      <c r="N374" s="8">
        <f>SQRT((C374-Sheet3!$C$525)^2+(D374-Sheet3!$D$525)^2+(E374-Sheet3!$E$525)^2+(F374-Sheet3!$F$525)^2+(G374-Sheet3!$G$525)^2+(H374-Sheet3!$H$525)^2+(I374-Sheet3!$I$525)^2+(J374-Sheet3!$J$525)^2+(K374-Sheet3!$K$525)^2+(L374-Sheet3!$L$525)^2)</f>
        <v>1.8893974967315044</v>
      </c>
      <c r="O374" s="8">
        <f>SQRT((C374-Sheet3!$C$526)^2+(D374-Sheet3!$D$526)^2+(E374-Sheet3!$E$526)^2+(F374-Sheet3!$F$526)^2+(G374-Sheet3!$G$526)^2+(H374-Sheet3!$H$526)^2+(I374-Sheet3!$I$526)^2+(J374-Sheet3!$J$526)^2+(K374-Sheet3!$K$526)^2+(L374-Sheet3!$L$526)^2)</f>
        <v>2.6629520442611425</v>
      </c>
      <c r="P374" s="12">
        <f t="shared" si="5"/>
        <v>0</v>
      </c>
      <c r="Q374" s="11">
        <f>IF(P374=Sheet1!M374, 1, 0)</f>
        <v>1</v>
      </c>
    </row>
    <row r="375" spans="1:17" x14ac:dyDescent="0.35">
      <c r="A375" s="6" t="s">
        <v>406</v>
      </c>
      <c r="B375" s="6" t="s">
        <v>410</v>
      </c>
      <c r="C375" s="6">
        <v>-0.43926408770477066</v>
      </c>
      <c r="D375" s="6">
        <v>0.787713100384692</v>
      </c>
      <c r="E375" s="6">
        <v>-0.65087054422344426</v>
      </c>
      <c r="F375" s="6">
        <v>-1.4909066701712445E-2</v>
      </c>
      <c r="G375" s="6">
        <v>0.16932991464397237</v>
      </c>
      <c r="H375" s="6">
        <v>0.51858441760633234</v>
      </c>
      <c r="I375" s="6">
        <v>-3.357147364569868E-2</v>
      </c>
      <c r="J375" s="6">
        <v>-1.0474835126576578</v>
      </c>
      <c r="K375" s="6">
        <v>1.5219516230103671</v>
      </c>
      <c r="L375" s="6">
        <v>-0.42413709813788703</v>
      </c>
      <c r="N375" s="8">
        <f>SQRT((C375-Sheet3!$C$525)^2+(D375-Sheet3!$D$525)^2+(E375-Sheet3!$E$525)^2+(F375-Sheet3!$F$525)^2+(G375-Sheet3!$G$525)^2+(H375-Sheet3!$H$525)^2+(I375-Sheet3!$I$525)^2+(J375-Sheet3!$J$525)^2+(K375-Sheet3!$K$525)^2+(L375-Sheet3!$L$525)^2)</f>
        <v>2.2439849575371253</v>
      </c>
      <c r="O375" s="8">
        <f>SQRT((C375-Sheet3!$C$526)^2+(D375-Sheet3!$D$526)^2+(E375-Sheet3!$E$526)^2+(F375-Sheet3!$F$526)^2+(G375-Sheet3!$G$526)^2+(H375-Sheet3!$H$526)^2+(I375-Sheet3!$I$526)^2+(J375-Sheet3!$J$526)^2+(K375-Sheet3!$K$526)^2+(L375-Sheet3!$L$526)^2)</f>
        <v>4.1053767216288479</v>
      </c>
      <c r="P375" s="12">
        <f t="shared" si="5"/>
        <v>0</v>
      </c>
      <c r="Q375" s="11">
        <f>IF(P375=Sheet1!M375, 1, 0)</f>
        <v>1</v>
      </c>
    </row>
    <row r="376" spans="1:17" x14ac:dyDescent="0.35">
      <c r="A376" s="6" t="s">
        <v>406</v>
      </c>
      <c r="B376" s="6" t="s">
        <v>411</v>
      </c>
      <c r="C376" s="6">
        <v>-0.38960928254565685</v>
      </c>
      <c r="D376" s="6">
        <v>0.40103321049206386</v>
      </c>
      <c r="E376" s="6">
        <v>0.45283189161290444</v>
      </c>
      <c r="F376" s="6">
        <v>0.36871614658457746</v>
      </c>
      <c r="G376" s="6">
        <v>0.10254921505360297</v>
      </c>
      <c r="H376" s="6">
        <v>0.56329107297822278</v>
      </c>
      <c r="I376" s="6">
        <v>0.35976346092833955</v>
      </c>
      <c r="J376" s="6">
        <v>-6.0542801201140951E-2</v>
      </c>
      <c r="K376" s="6">
        <v>-1.0053637460328941</v>
      </c>
      <c r="L376" s="6">
        <v>-0.32580999015170464</v>
      </c>
      <c r="N376" s="8">
        <f>SQRT((C376-Sheet3!$C$525)^2+(D376-Sheet3!$D$525)^2+(E376-Sheet3!$E$525)^2+(F376-Sheet3!$F$525)^2+(G376-Sheet3!$G$525)^2+(H376-Sheet3!$H$525)^2+(I376-Sheet3!$I$525)^2+(J376-Sheet3!$J$525)^2+(K376-Sheet3!$K$525)^2+(L376-Sheet3!$L$525)^2)</f>
        <v>2.1662516246059154</v>
      </c>
      <c r="O376" s="8">
        <f>SQRT((C376-Sheet3!$C$526)^2+(D376-Sheet3!$D$526)^2+(E376-Sheet3!$E$526)^2+(F376-Sheet3!$F$526)^2+(G376-Sheet3!$G$526)^2+(H376-Sheet3!$H$526)^2+(I376-Sheet3!$I$526)^2+(J376-Sheet3!$J$526)^2+(K376-Sheet3!$K$526)^2+(L376-Sheet3!$L$526)^2)</f>
        <v>2.3397669182705005</v>
      </c>
      <c r="P376" s="12">
        <f t="shared" si="5"/>
        <v>0</v>
      </c>
      <c r="Q376" s="11">
        <f>IF(P376=Sheet1!M376, 1, 0)</f>
        <v>1</v>
      </c>
    </row>
    <row r="377" spans="1:17" x14ac:dyDescent="0.35">
      <c r="A377" s="6" t="s">
        <v>406</v>
      </c>
      <c r="B377" s="6" t="s">
        <v>412</v>
      </c>
      <c r="C377" s="6">
        <v>-0.69290620054456864</v>
      </c>
      <c r="D377" s="6">
        <v>0.95957082922585946</v>
      </c>
      <c r="E377" s="6">
        <v>0.42593927551942867</v>
      </c>
      <c r="F377" s="6">
        <v>0.64449491436869899</v>
      </c>
      <c r="G377" s="6">
        <v>0.5061369212736796</v>
      </c>
      <c r="H377" s="6">
        <v>0.72972910321815265</v>
      </c>
      <c r="I377" s="6">
        <v>0.19528953366723459</v>
      </c>
      <c r="J377" s="6">
        <v>1.1617453106796216</v>
      </c>
      <c r="K377" s="6">
        <v>-1.1696783675496383</v>
      </c>
      <c r="L377" s="6">
        <v>-0.25240679419000928</v>
      </c>
      <c r="N377" s="8">
        <f>SQRT((C377-Sheet3!$C$525)^2+(D377-Sheet3!$D$525)^2+(E377-Sheet3!$E$525)^2+(F377-Sheet3!$F$525)^2+(G377-Sheet3!$G$525)^2+(H377-Sheet3!$H$525)^2+(I377-Sheet3!$I$525)^2+(J377-Sheet3!$J$525)^2+(K377-Sheet3!$K$525)^2+(L377-Sheet3!$L$525)^2)</f>
        <v>3.1467014447852968</v>
      </c>
      <c r="O377" s="8">
        <f>SQRT((C377-Sheet3!$C$526)^2+(D377-Sheet3!$D$526)^2+(E377-Sheet3!$E$526)^2+(F377-Sheet3!$F$526)^2+(G377-Sheet3!$G$526)^2+(H377-Sheet3!$H$526)^2+(I377-Sheet3!$I$526)^2+(J377-Sheet3!$J$526)^2+(K377-Sheet3!$K$526)^2+(L377-Sheet3!$L$526)^2)</f>
        <v>1.6612437584799378</v>
      </c>
      <c r="P377" s="12">
        <f t="shared" si="5"/>
        <v>1</v>
      </c>
      <c r="Q377" s="11">
        <f>IF(P377=Sheet1!M377, 1, 0)</f>
        <v>0</v>
      </c>
    </row>
    <row r="378" spans="1:17" x14ac:dyDescent="0.35">
      <c r="A378" s="6" t="s">
        <v>406</v>
      </c>
      <c r="B378" s="6" t="s">
        <v>413</v>
      </c>
      <c r="C378" s="6">
        <v>-0.56944019852731254</v>
      </c>
      <c r="D378" s="6">
        <v>-1.6335559550772212E-2</v>
      </c>
      <c r="E378" s="6">
        <v>-0.43536122347435752</v>
      </c>
      <c r="F378" s="6">
        <v>-0.3908309624521335</v>
      </c>
      <c r="G378" s="6">
        <v>-0.55945076349443645</v>
      </c>
      <c r="H378" s="6">
        <v>-0.20210841236462521</v>
      </c>
      <c r="I378" s="6">
        <v>-0.35168189885225432</v>
      </c>
      <c r="J378" s="6">
        <v>6.4722750637570811E-2</v>
      </c>
      <c r="K378" s="6">
        <v>-0.78784248516786914</v>
      </c>
      <c r="L378" s="6">
        <v>-0.42238264793505942</v>
      </c>
      <c r="N378" s="8">
        <f>SQRT((C378-Sheet3!$C$525)^2+(D378-Sheet3!$D$525)^2+(E378-Sheet3!$E$525)^2+(F378-Sheet3!$F$525)^2+(G378-Sheet3!$G$525)^2+(H378-Sheet3!$H$525)^2+(I378-Sheet3!$I$525)^2+(J378-Sheet3!$J$525)^2+(K378-Sheet3!$K$525)^2+(L378-Sheet3!$L$525)^2)</f>
        <v>1.3974840564751496</v>
      </c>
      <c r="O378" s="8">
        <f>SQRT((C378-Sheet3!$C$526)^2+(D378-Sheet3!$D$526)^2+(E378-Sheet3!$E$526)^2+(F378-Sheet3!$F$526)^2+(G378-Sheet3!$G$526)^2+(H378-Sheet3!$H$526)^2+(I378-Sheet3!$I$526)^2+(J378-Sheet3!$J$526)^2+(K378-Sheet3!$K$526)^2+(L378-Sheet3!$L$526)^2)</f>
        <v>3.6527363497545173</v>
      </c>
      <c r="P378" s="12">
        <f t="shared" si="5"/>
        <v>0</v>
      </c>
      <c r="Q378" s="11">
        <f>IF(P378=Sheet1!M378, 1, 0)</f>
        <v>1</v>
      </c>
    </row>
    <row r="379" spans="1:17" x14ac:dyDescent="0.35">
      <c r="A379" s="6" t="s">
        <v>406</v>
      </c>
      <c r="B379" s="6" t="s">
        <v>414</v>
      </c>
      <c r="C379" s="6">
        <v>-0.44731621827111351</v>
      </c>
      <c r="D379" s="6">
        <v>0.36420655431181326</v>
      </c>
      <c r="E379" s="6">
        <v>-0.80301644075228673</v>
      </c>
      <c r="F379" s="6">
        <v>-0.28914717097865938</v>
      </c>
      <c r="G379" s="6">
        <v>0.35225096134803863</v>
      </c>
      <c r="H379" s="6">
        <v>0.90155347747879189</v>
      </c>
      <c r="I379" s="6">
        <v>0.73779849529204189</v>
      </c>
      <c r="J379" s="6">
        <v>-0.63372759900857956</v>
      </c>
      <c r="K379" s="6">
        <v>-0.99753924024638174</v>
      </c>
      <c r="L379" s="6">
        <v>-0.42379686455660148</v>
      </c>
      <c r="N379" s="8">
        <f>SQRT((C379-Sheet3!$C$525)^2+(D379-Sheet3!$D$525)^2+(E379-Sheet3!$E$525)^2+(F379-Sheet3!$F$525)^2+(G379-Sheet3!$G$525)^2+(H379-Sheet3!$H$525)^2+(I379-Sheet3!$I$525)^2+(J379-Sheet3!$J$525)^2+(K379-Sheet3!$K$525)^2+(L379-Sheet3!$L$525)^2)</f>
        <v>2.2765776708044418</v>
      </c>
      <c r="O379" s="8">
        <f>SQRT((C379-Sheet3!$C$526)^2+(D379-Sheet3!$D$526)^2+(E379-Sheet3!$E$526)^2+(F379-Sheet3!$F$526)^2+(G379-Sheet3!$G$526)^2+(H379-Sheet3!$H$526)^2+(I379-Sheet3!$I$526)^2+(J379-Sheet3!$J$526)^2+(K379-Sheet3!$K$526)^2+(L379-Sheet3!$L$526)^2)</f>
        <v>3.463984420712138</v>
      </c>
      <c r="P379" s="12">
        <f t="shared" si="5"/>
        <v>0</v>
      </c>
      <c r="Q379" s="11">
        <f>IF(P379=Sheet1!M379, 1, 0)</f>
        <v>1</v>
      </c>
    </row>
    <row r="380" spans="1:17" x14ac:dyDescent="0.35">
      <c r="A380" s="6" t="s">
        <v>406</v>
      </c>
      <c r="B380" s="6" t="s">
        <v>415</v>
      </c>
      <c r="C380" s="6">
        <v>2.6417463382054338E-2</v>
      </c>
      <c r="D380" s="6">
        <v>0.41330876255214699</v>
      </c>
      <c r="E380" s="6">
        <v>5.6810490236377451E-2</v>
      </c>
      <c r="F380" s="6">
        <v>0.17459254468067273</v>
      </c>
      <c r="G380" s="6">
        <v>0.16061938861044522</v>
      </c>
      <c r="H380" s="6">
        <v>0.57675693302999698</v>
      </c>
      <c r="I380" s="6">
        <v>0.50001254618974711</v>
      </c>
      <c r="J380" s="6">
        <v>-0.63372759900857956</v>
      </c>
      <c r="K380" s="6">
        <v>-0.71898683424656706</v>
      </c>
      <c r="L380" s="6">
        <v>-0.38017627830549217</v>
      </c>
      <c r="N380" s="8">
        <f>SQRT((C380-Sheet3!$C$525)^2+(D380-Sheet3!$D$525)^2+(E380-Sheet3!$E$525)^2+(F380-Sheet3!$F$525)^2+(G380-Sheet3!$G$525)^2+(H380-Sheet3!$H$525)^2+(I380-Sheet3!$I$525)^2+(J380-Sheet3!$J$525)^2+(K380-Sheet3!$K$525)^2+(L380-Sheet3!$L$525)^2)</f>
        <v>1.8238174458673788</v>
      </c>
      <c r="O380" s="8">
        <f>SQRT((C380-Sheet3!$C$526)^2+(D380-Sheet3!$D$526)^2+(E380-Sheet3!$E$526)^2+(F380-Sheet3!$F$526)^2+(G380-Sheet3!$G$526)^2+(H380-Sheet3!$H$526)^2+(I380-Sheet3!$I$526)^2+(J380-Sheet3!$J$526)^2+(K380-Sheet3!$K$526)^2+(L380-Sheet3!$L$526)^2)</f>
        <v>2.9116819421596034</v>
      </c>
      <c r="P380" s="12">
        <f t="shared" si="5"/>
        <v>0</v>
      </c>
      <c r="Q380" s="11">
        <f>IF(P380=Sheet1!M380, 1, 0)</f>
        <v>1</v>
      </c>
    </row>
    <row r="381" spans="1:17" x14ac:dyDescent="0.35">
      <c r="A381" s="6" t="s">
        <v>406</v>
      </c>
      <c r="B381" s="6" t="s">
        <v>416</v>
      </c>
      <c r="C381" s="6">
        <v>7.7414290302225228E-2</v>
      </c>
      <c r="D381" s="6">
        <v>-0.17591773633185653</v>
      </c>
      <c r="E381" s="6">
        <v>-0.51051319173557752</v>
      </c>
      <c r="F381" s="6">
        <v>-0.69434167336538344</v>
      </c>
      <c r="G381" s="6">
        <v>-1.5001875751153368</v>
      </c>
      <c r="H381" s="6">
        <v>-0.37824186184183217</v>
      </c>
      <c r="I381" s="6">
        <v>6.1415406826799662E-2</v>
      </c>
      <c r="J381" s="6">
        <v>-0.17442057559997007</v>
      </c>
      <c r="K381" s="6">
        <v>-1.6297593077965238</v>
      </c>
      <c r="L381" s="6">
        <v>-0.42995920242794938</v>
      </c>
      <c r="N381" s="8">
        <f>SQRT((C381-Sheet3!$C$525)^2+(D381-Sheet3!$D$525)^2+(E381-Sheet3!$E$525)^2+(F381-Sheet3!$F$525)^2+(G381-Sheet3!$G$525)^2+(H381-Sheet3!$H$525)^2+(I381-Sheet3!$I$525)^2+(J381-Sheet3!$J$525)^2+(K381-Sheet3!$K$525)^2+(L381-Sheet3!$L$525)^2)</f>
        <v>2.2620897413674181</v>
      </c>
      <c r="O381" s="8">
        <f>SQRT((C381-Sheet3!$C$526)^2+(D381-Sheet3!$D$526)^2+(E381-Sheet3!$E$526)^2+(F381-Sheet3!$F$526)^2+(G381-Sheet3!$G$526)^2+(H381-Sheet3!$H$526)^2+(I381-Sheet3!$I$526)^2+(J381-Sheet3!$J$526)^2+(K381-Sheet3!$K$526)^2+(L381-Sheet3!$L$526)^2)</f>
        <v>4.5335172546291558</v>
      </c>
      <c r="P381" s="12">
        <f t="shared" si="5"/>
        <v>0</v>
      </c>
      <c r="Q381" s="11">
        <f>IF(P381=Sheet1!M381, 1, 0)</f>
        <v>1</v>
      </c>
    </row>
    <row r="382" spans="1:17" x14ac:dyDescent="0.35">
      <c r="A382" s="6" t="s">
        <v>406</v>
      </c>
      <c r="B382" s="6" t="s">
        <v>417</v>
      </c>
      <c r="C382" s="6">
        <v>-0.82845039841133905</v>
      </c>
      <c r="D382" s="6">
        <v>-0.31094880899277449</v>
      </c>
      <c r="E382" s="6">
        <v>-0.4456761995102112</v>
      </c>
      <c r="F382" s="6">
        <v>-0.52024669705473814</v>
      </c>
      <c r="G382" s="6">
        <v>-0.49847708125975049</v>
      </c>
      <c r="H382" s="6">
        <v>-0.76875180334328574</v>
      </c>
      <c r="I382" s="6">
        <v>0.41267561582241585</v>
      </c>
      <c r="J382" s="6">
        <v>0.35321311244793713</v>
      </c>
      <c r="K382" s="6">
        <v>-0.68768881110052227</v>
      </c>
      <c r="L382" s="6">
        <v>-0.41842855827172004</v>
      </c>
      <c r="N382" s="8">
        <f>SQRT((C382-Sheet3!$C$525)^2+(D382-Sheet3!$D$525)^2+(E382-Sheet3!$E$525)^2+(F382-Sheet3!$F$525)^2+(G382-Sheet3!$G$525)^2+(H382-Sheet3!$H$525)^2+(I382-Sheet3!$I$525)^2+(J382-Sheet3!$J$525)^2+(K382-Sheet3!$K$525)^2+(L382-Sheet3!$L$525)^2)</f>
        <v>1.7684232129168977</v>
      </c>
      <c r="O382" s="8">
        <f>SQRT((C382-Sheet3!$C$526)^2+(D382-Sheet3!$D$526)^2+(E382-Sheet3!$E$526)^2+(F382-Sheet3!$F$526)^2+(G382-Sheet3!$G$526)^2+(H382-Sheet3!$H$526)^2+(I382-Sheet3!$I$526)^2+(J382-Sheet3!$J$526)^2+(K382-Sheet3!$K$526)^2+(L382-Sheet3!$L$526)^2)</f>
        <v>3.7603680245045936</v>
      </c>
      <c r="P382" s="12">
        <f t="shared" si="5"/>
        <v>0</v>
      </c>
      <c r="Q382" s="11">
        <f>IF(P382=Sheet1!M382, 1, 0)</f>
        <v>1</v>
      </c>
    </row>
    <row r="383" spans="1:17" x14ac:dyDescent="0.35">
      <c r="A383" s="6" t="s">
        <v>406</v>
      </c>
      <c r="B383" s="6" t="s">
        <v>418</v>
      </c>
      <c r="C383" s="6">
        <v>-0.81637220256182474</v>
      </c>
      <c r="D383" s="6">
        <v>1.8311350254917822</v>
      </c>
      <c r="E383" s="6">
        <v>1.3506031987334592</v>
      </c>
      <c r="F383" s="6">
        <v>1.4286926395201933</v>
      </c>
      <c r="G383" s="6">
        <v>0.65131235516579344</v>
      </c>
      <c r="H383" s="6">
        <v>0.56867741699893293</v>
      </c>
      <c r="I383" s="6">
        <v>0.68552383624006319</v>
      </c>
      <c r="J383" s="6">
        <v>2.6990952650638111</v>
      </c>
      <c r="K383" s="6">
        <v>-1.6250646043246166</v>
      </c>
      <c r="L383" s="6">
        <v>8.5511598184419474E-2</v>
      </c>
      <c r="N383" s="8">
        <f>SQRT((C383-Sheet3!$C$525)^2+(D383-Sheet3!$D$525)^2+(E383-Sheet3!$E$525)^2+(F383-Sheet3!$F$525)^2+(G383-Sheet3!$G$525)^2+(H383-Sheet3!$H$525)^2+(I383-Sheet3!$I$525)^2+(J383-Sheet3!$J$525)^2+(K383-Sheet3!$K$525)^2+(L383-Sheet3!$L$525)^2)</f>
        <v>5.1788016675428858</v>
      </c>
      <c r="O383" s="8">
        <f>SQRT((C383-Sheet3!$C$526)^2+(D383-Sheet3!$D$526)^2+(E383-Sheet3!$E$526)^2+(F383-Sheet3!$F$526)^2+(G383-Sheet3!$G$526)^2+(H383-Sheet3!$H$526)^2+(I383-Sheet3!$I$526)^2+(J383-Sheet3!$J$526)^2+(K383-Sheet3!$K$526)^2+(L383-Sheet3!$L$526)^2)</f>
        <v>2.1469351221031059</v>
      </c>
      <c r="P383" s="12">
        <f t="shared" si="5"/>
        <v>1</v>
      </c>
      <c r="Q383" s="11">
        <f>IF(P383=Sheet1!M383, 1, 0)</f>
        <v>0</v>
      </c>
    </row>
    <row r="384" spans="1:17" x14ac:dyDescent="0.35">
      <c r="A384" s="6" t="s">
        <v>406</v>
      </c>
      <c r="B384" s="6" t="s">
        <v>419</v>
      </c>
      <c r="C384" s="6">
        <v>-0.78416368029645367</v>
      </c>
      <c r="D384" s="6">
        <v>0.89205529289540098</v>
      </c>
      <c r="E384" s="6">
        <v>0.71696895653101589</v>
      </c>
      <c r="F384" s="6">
        <v>0.65836088593326425</v>
      </c>
      <c r="G384" s="6">
        <v>0.41903166093840805</v>
      </c>
      <c r="H384" s="6">
        <v>0.65432028692821653</v>
      </c>
      <c r="I384" s="6">
        <v>0.73588600776575075</v>
      </c>
      <c r="J384" s="6">
        <v>1.8601956603257723</v>
      </c>
      <c r="K384" s="6">
        <v>-1.1336856409316851</v>
      </c>
      <c r="L384" s="6">
        <v>-0.21141728773512281</v>
      </c>
      <c r="N384" s="8">
        <f>SQRT((C384-Sheet3!$C$525)^2+(D384-Sheet3!$D$525)^2+(E384-Sheet3!$E$525)^2+(F384-Sheet3!$F$525)^2+(G384-Sheet3!$G$525)^2+(H384-Sheet3!$H$525)^2+(I384-Sheet3!$I$525)^2+(J384-Sheet3!$J$525)^2+(K384-Sheet3!$K$525)^2+(L384-Sheet3!$L$525)^2)</f>
        <v>3.6654830709564625</v>
      </c>
      <c r="O384" s="8">
        <f>SQRT((C384-Sheet3!$C$526)^2+(D384-Sheet3!$D$526)^2+(E384-Sheet3!$E$526)^2+(F384-Sheet3!$F$526)^2+(G384-Sheet3!$G$526)^2+(H384-Sheet3!$H$526)^2+(I384-Sheet3!$I$526)^2+(J384-Sheet3!$J$526)^2+(K384-Sheet3!$K$526)^2+(L384-Sheet3!$L$526)^2)</f>
        <v>1.6241877537207066</v>
      </c>
      <c r="P384" s="12">
        <f t="shared" si="5"/>
        <v>1</v>
      </c>
      <c r="Q384" s="11">
        <f>IF(P384=Sheet1!M384, 1, 0)</f>
        <v>0</v>
      </c>
    </row>
    <row r="385" spans="1:17" x14ac:dyDescent="0.35">
      <c r="A385" s="6" t="s">
        <v>406</v>
      </c>
      <c r="B385" s="6" t="s">
        <v>420</v>
      </c>
      <c r="C385" s="6">
        <v>-0.88347329061468138</v>
      </c>
      <c r="D385" s="6">
        <v>1.4137662554489461</v>
      </c>
      <c r="E385" s="6">
        <v>0.56224431599321001</v>
      </c>
      <c r="F385" s="6">
        <v>1.0681773788415101</v>
      </c>
      <c r="G385" s="6">
        <v>0.69776849401126895</v>
      </c>
      <c r="H385" s="6">
        <v>1.0351348091923926</v>
      </c>
      <c r="I385" s="6">
        <v>0.71421114913444217</v>
      </c>
      <c r="J385" s="6">
        <v>1.4350519692368111</v>
      </c>
      <c r="K385" s="6">
        <v>-1.8097229408862914</v>
      </c>
      <c r="L385" s="6">
        <v>-0.39175859584172018</v>
      </c>
      <c r="N385" s="8">
        <f>SQRT((C385-Sheet3!$C$525)^2+(D385-Sheet3!$D$525)^2+(E385-Sheet3!$E$525)^2+(F385-Sheet3!$F$525)^2+(G385-Sheet3!$G$525)^2+(H385-Sheet3!$H$525)^2+(I385-Sheet3!$I$525)^2+(J385-Sheet3!$J$525)^2+(K385-Sheet3!$K$525)^2+(L385-Sheet3!$L$525)^2)</f>
        <v>4.207680160969657</v>
      </c>
      <c r="O385" s="8">
        <f>SQRT((C385-Sheet3!$C$526)^2+(D385-Sheet3!$D$526)^2+(E385-Sheet3!$E$526)^2+(F385-Sheet3!$F$526)^2+(G385-Sheet3!$G$526)^2+(H385-Sheet3!$H$526)^2+(I385-Sheet3!$I$526)^2+(J385-Sheet3!$J$526)^2+(K385-Sheet3!$K$526)^2+(L385-Sheet3!$L$526)^2)</f>
        <v>1.892701313861535</v>
      </c>
      <c r="P385" s="12">
        <f t="shared" si="5"/>
        <v>1</v>
      </c>
      <c r="Q385" s="11">
        <f>IF(P385=Sheet1!M385, 1, 0)</f>
        <v>0</v>
      </c>
    </row>
    <row r="386" spans="1:17" x14ac:dyDescent="0.35">
      <c r="A386" s="6" t="s">
        <v>406</v>
      </c>
      <c r="B386" s="6" t="s">
        <v>421</v>
      </c>
      <c r="C386" s="6">
        <v>-0.87676318180939572</v>
      </c>
      <c r="D386" s="6">
        <v>1.1498418861571527</v>
      </c>
      <c r="E386" s="6">
        <v>0.19274713870887836</v>
      </c>
      <c r="F386" s="6">
        <v>0.54589244990957198</v>
      </c>
      <c r="G386" s="6">
        <v>0.2738562270462942</v>
      </c>
      <c r="H386" s="6">
        <v>-0.30337167995396808</v>
      </c>
      <c r="I386" s="6">
        <v>0.82386043397517872</v>
      </c>
      <c r="J386" s="6">
        <v>0.85807124561607839</v>
      </c>
      <c r="K386" s="6">
        <v>-0.73463584581959163</v>
      </c>
      <c r="L386" s="6">
        <v>-0.40674573569796918</v>
      </c>
      <c r="N386" s="8">
        <f>SQRT((C386-Sheet3!$C$525)^2+(D386-Sheet3!$D$525)^2+(E386-Sheet3!$E$525)^2+(F386-Sheet3!$F$525)^2+(G386-Sheet3!$G$525)^2+(H386-Sheet3!$H$525)^2+(I386-Sheet3!$I$525)^2+(J386-Sheet3!$J$525)^2+(K386-Sheet3!$K$525)^2+(L386-Sheet3!$L$525)^2)</f>
        <v>2.8739864540137141</v>
      </c>
      <c r="O386" s="8">
        <f>SQRT((C386-Sheet3!$C$526)^2+(D386-Sheet3!$D$526)^2+(E386-Sheet3!$E$526)^2+(F386-Sheet3!$F$526)^2+(G386-Sheet3!$G$526)^2+(H386-Sheet3!$H$526)^2+(I386-Sheet3!$I$526)^2+(J386-Sheet3!$J$526)^2+(K386-Sheet3!$K$526)^2+(L386-Sheet3!$L$526)^2)</f>
        <v>2.0864909482975276</v>
      </c>
      <c r="P386" s="12">
        <f t="shared" si="5"/>
        <v>1</v>
      </c>
      <c r="Q386" s="11">
        <f>IF(P386=Sheet1!M386, 1, 0)</f>
        <v>0</v>
      </c>
    </row>
    <row r="387" spans="1:17" x14ac:dyDescent="0.35">
      <c r="A387" s="6" t="s">
        <v>422</v>
      </c>
      <c r="B387" s="6" t="s">
        <v>423</v>
      </c>
      <c r="C387" s="6">
        <v>0.19417018351419588</v>
      </c>
      <c r="D387" s="6">
        <v>2.0777685393525243E-3</v>
      </c>
      <c r="E387" s="6">
        <v>-1.057943705638386</v>
      </c>
      <c r="F387" s="6">
        <v>-0.66506906672908039</v>
      </c>
      <c r="G387" s="6">
        <v>-0.8904507527684562</v>
      </c>
      <c r="H387" s="6">
        <v>-9.9767875971141382E-2</v>
      </c>
      <c r="I387" s="6">
        <v>0.74927342044979384</v>
      </c>
      <c r="J387" s="6">
        <v>-0.80074833479352847</v>
      </c>
      <c r="K387" s="6">
        <v>0.39365788859538886</v>
      </c>
      <c r="L387" s="6">
        <v>-0.4017869717697295</v>
      </c>
      <c r="N387" s="8">
        <f>SQRT((C387-Sheet3!$C$525)^2+(D387-Sheet3!$D$525)^2+(E387-Sheet3!$E$525)^2+(F387-Sheet3!$F$525)^2+(G387-Sheet3!$G$525)^2+(H387-Sheet3!$H$525)^2+(I387-Sheet3!$I$525)^2+(J387-Sheet3!$J$525)^2+(K387-Sheet3!$K$525)^2+(L387-Sheet3!$L$525)^2)</f>
        <v>1.5201752175325167</v>
      </c>
      <c r="O387" s="8">
        <f>SQRT((C387-Sheet3!$C$526)^2+(D387-Sheet3!$D$526)^2+(E387-Sheet3!$E$526)^2+(F387-Sheet3!$F$526)^2+(G387-Sheet3!$G$526)^2+(H387-Sheet3!$H$526)^2+(I387-Sheet3!$I$526)^2+(J387-Sheet3!$J$526)^2+(K387-Sheet3!$K$526)^2+(L387-Sheet3!$L$526)^2)</f>
        <v>4.5473614044583019</v>
      </c>
      <c r="P387" s="12">
        <f t="shared" ref="P387:P450" si="6">IF(N387&lt;=O387, 0, 1)</f>
        <v>0</v>
      </c>
      <c r="Q387" s="11">
        <f>IF(P387=Sheet1!M387, 1, 0)</f>
        <v>1</v>
      </c>
    </row>
    <row r="388" spans="1:17" x14ac:dyDescent="0.35">
      <c r="A388" s="6" t="s">
        <v>422</v>
      </c>
      <c r="B388" s="6" t="s">
        <v>424</v>
      </c>
      <c r="C388" s="6">
        <v>-0.59628063374845508</v>
      </c>
      <c r="D388" s="6">
        <v>5.7317752809727819E-2</v>
      </c>
      <c r="E388" s="6">
        <v>-0.26590090288533197</v>
      </c>
      <c r="F388" s="6">
        <v>0.10372202335067403</v>
      </c>
      <c r="G388" s="6">
        <v>0.35515447002587824</v>
      </c>
      <c r="H388" s="6">
        <v>0.28320118390131821</v>
      </c>
      <c r="I388" s="6">
        <v>0.64026163145115478</v>
      </c>
      <c r="J388" s="6">
        <v>-0.5654009343692824</v>
      </c>
      <c r="K388" s="6">
        <v>0.36548966776394587</v>
      </c>
      <c r="L388" s="6">
        <v>-6.47712023913318E-2</v>
      </c>
      <c r="N388" s="8">
        <f>SQRT((C388-Sheet3!$C$525)^2+(D388-Sheet3!$D$525)^2+(E388-Sheet3!$E$525)^2+(F388-Sheet3!$F$525)^2+(G388-Sheet3!$G$525)^2+(H388-Sheet3!$H$525)^2+(I388-Sheet3!$I$525)^2+(J388-Sheet3!$J$525)^2+(K388-Sheet3!$K$525)^2+(L388-Sheet3!$L$525)^2)</f>
        <v>1.5913923792540181</v>
      </c>
      <c r="O388" s="8">
        <f>SQRT((C388-Sheet3!$C$526)^2+(D388-Sheet3!$D$526)^2+(E388-Sheet3!$E$526)^2+(F388-Sheet3!$F$526)^2+(G388-Sheet3!$G$526)^2+(H388-Sheet3!$H$526)^2+(I388-Sheet3!$I$526)^2+(J388-Sheet3!$J$526)^2+(K388-Sheet3!$K$526)^2+(L388-Sheet3!$L$526)^2)</f>
        <v>3.0896380635559133</v>
      </c>
      <c r="P388" s="12">
        <f t="shared" si="6"/>
        <v>0</v>
      </c>
      <c r="Q388" s="11">
        <f>IF(P388=Sheet1!M388, 1, 0)</f>
        <v>1</v>
      </c>
    </row>
    <row r="389" spans="1:17" x14ac:dyDescent="0.35">
      <c r="A389" s="6" t="s">
        <v>422</v>
      </c>
      <c r="B389" s="6" t="s">
        <v>425</v>
      </c>
      <c r="C389" s="6">
        <v>0.19819624879736719</v>
      </c>
      <c r="D389" s="6">
        <v>0.55447761124310657</v>
      </c>
      <c r="E389" s="6">
        <v>0.25905769893936659</v>
      </c>
      <c r="F389" s="6">
        <v>0.36409415606305789</v>
      </c>
      <c r="G389" s="6">
        <v>-0.12392446181809495</v>
      </c>
      <c r="H389" s="6">
        <v>6.1283810248079121E-2</v>
      </c>
      <c r="I389" s="6">
        <v>0.51212496718959588</v>
      </c>
      <c r="J389" s="6">
        <v>7.7838634381562476E-3</v>
      </c>
      <c r="K389" s="6">
        <v>-0.89425576386442862</v>
      </c>
      <c r="L389" s="6">
        <v>0.68853613987620099</v>
      </c>
      <c r="N389" s="8">
        <f>SQRT((C389-Sheet3!$C$525)^2+(D389-Sheet3!$D$525)^2+(E389-Sheet3!$E$525)^2+(F389-Sheet3!$F$525)^2+(G389-Sheet3!$G$525)^2+(H389-Sheet3!$H$525)^2+(I389-Sheet3!$I$525)^2+(J389-Sheet3!$J$525)^2+(K389-Sheet3!$K$525)^2+(L389-Sheet3!$L$525)^2)</f>
        <v>2.1136760274365698</v>
      </c>
      <c r="O389" s="8">
        <f>SQRT((C389-Sheet3!$C$526)^2+(D389-Sheet3!$D$526)^2+(E389-Sheet3!$E$526)^2+(F389-Sheet3!$F$526)^2+(G389-Sheet3!$G$526)^2+(H389-Sheet3!$H$526)^2+(I389-Sheet3!$I$526)^2+(J389-Sheet3!$J$526)^2+(K389-Sheet3!$K$526)^2+(L389-Sheet3!$L$526)^2)</f>
        <v>2.379215990012272</v>
      </c>
      <c r="P389" s="12">
        <f t="shared" si="6"/>
        <v>0</v>
      </c>
      <c r="Q389" s="11">
        <f>IF(P389=Sheet1!M389, 1, 0)</f>
        <v>1</v>
      </c>
    </row>
    <row r="390" spans="1:17" x14ac:dyDescent="0.35">
      <c r="A390" s="6" t="s">
        <v>422</v>
      </c>
      <c r="B390" s="6" t="s">
        <v>426</v>
      </c>
      <c r="C390" s="6">
        <v>0.48941497094676489</v>
      </c>
      <c r="D390" s="6">
        <v>0.65268202772377404</v>
      </c>
      <c r="E390" s="6">
        <v>-0.5433000798495411</v>
      </c>
      <c r="F390" s="6">
        <v>0.23467842146045328</v>
      </c>
      <c r="G390" s="6">
        <v>0.44516323903898952</v>
      </c>
      <c r="H390" s="6">
        <v>0.58645235226727477</v>
      </c>
      <c r="I390" s="6">
        <v>0.29537638087651125</v>
      </c>
      <c r="J390" s="6">
        <v>-0.98295277383165469</v>
      </c>
      <c r="K390" s="6">
        <v>0.6377824691345525</v>
      </c>
      <c r="L390" s="6">
        <v>-0.32262519237328763</v>
      </c>
      <c r="N390" s="8">
        <f>SQRT((C390-Sheet3!$C$525)^2+(D390-Sheet3!$D$525)^2+(E390-Sheet3!$E$525)^2+(F390-Sheet3!$F$525)^2+(G390-Sheet3!$G$525)^2+(H390-Sheet3!$H$525)^2+(I390-Sheet3!$I$525)^2+(J390-Sheet3!$J$525)^2+(K390-Sheet3!$K$525)^2+(L390-Sheet3!$L$525)^2)</f>
        <v>1.879413827191158</v>
      </c>
      <c r="O390" s="8">
        <f>SQRT((C390-Sheet3!$C$526)^2+(D390-Sheet3!$D$526)^2+(E390-Sheet3!$E$526)^2+(F390-Sheet3!$F$526)^2+(G390-Sheet3!$G$526)^2+(H390-Sheet3!$H$526)^2+(I390-Sheet3!$I$526)^2+(J390-Sheet3!$J$526)^2+(K390-Sheet3!$K$526)^2+(L390-Sheet3!$L$526)^2)</f>
        <v>3.6295610155180875</v>
      </c>
      <c r="P390" s="12">
        <f t="shared" si="6"/>
        <v>0</v>
      </c>
      <c r="Q390" s="11">
        <f>IF(P390=Sheet1!M390, 1, 0)</f>
        <v>1</v>
      </c>
    </row>
    <row r="391" spans="1:17" x14ac:dyDescent="0.35">
      <c r="A391" s="6" t="s">
        <v>422</v>
      </c>
      <c r="B391" s="6" t="s">
        <v>427</v>
      </c>
      <c r="C391" s="6">
        <v>0.59811873359239265</v>
      </c>
      <c r="D391" s="6">
        <v>-0.28025992884256551</v>
      </c>
      <c r="E391" s="6">
        <v>-0.85569649693539684</v>
      </c>
      <c r="F391" s="6">
        <v>-0.64812176815016809</v>
      </c>
      <c r="G391" s="6">
        <v>-0.62623146308481004</v>
      </c>
      <c r="H391" s="6">
        <v>-0.66264082613530439</v>
      </c>
      <c r="I391" s="6">
        <v>0.2730640264031059</v>
      </c>
      <c r="J391" s="6">
        <v>-0.59197241506234233</v>
      </c>
      <c r="K391" s="6">
        <v>-0.31211253334796235</v>
      </c>
      <c r="L391" s="6">
        <v>-0.28040356938043731</v>
      </c>
      <c r="N391" s="8">
        <f>SQRT((C391-Sheet3!$C$525)^2+(D391-Sheet3!$D$525)^2+(E391-Sheet3!$E$525)^2+(F391-Sheet3!$F$525)^2+(G391-Sheet3!$G$525)^2+(H391-Sheet3!$H$525)^2+(I391-Sheet3!$I$525)^2+(J391-Sheet3!$J$525)^2+(K391-Sheet3!$K$525)^2+(L391-Sheet3!$L$525)^2)</f>
        <v>1.1621241943813987</v>
      </c>
      <c r="O391" s="8">
        <f>SQRT((C391-Sheet3!$C$526)^2+(D391-Sheet3!$D$526)^2+(E391-Sheet3!$E$526)^2+(F391-Sheet3!$F$526)^2+(G391-Sheet3!$G$526)^2+(H391-Sheet3!$H$526)^2+(I391-Sheet3!$I$526)^2+(J391-Sheet3!$J$526)^2+(K391-Sheet3!$K$526)^2+(L391-Sheet3!$L$526)^2)</f>
        <v>4.4696562141819163</v>
      </c>
      <c r="P391" s="12">
        <f t="shared" si="6"/>
        <v>0</v>
      </c>
      <c r="Q391" s="11">
        <f>IF(P391=Sheet1!M391, 1, 0)</f>
        <v>1</v>
      </c>
    </row>
    <row r="392" spans="1:17" x14ac:dyDescent="0.35">
      <c r="A392" s="6" t="s">
        <v>422</v>
      </c>
      <c r="B392" s="6" t="s">
        <v>428</v>
      </c>
      <c r="C392" s="6">
        <v>0.16598772653199598</v>
      </c>
      <c r="D392" s="6">
        <v>0.19848660150068739</v>
      </c>
      <c r="E392" s="6">
        <v>-0.87595805700582385</v>
      </c>
      <c r="F392" s="6">
        <v>-0.55876328473408454</v>
      </c>
      <c r="G392" s="6">
        <v>-1.0094946085599885</v>
      </c>
      <c r="H392" s="6">
        <v>-0.49081645187466505</v>
      </c>
      <c r="I392" s="6">
        <v>4.9940481669048617E-2</v>
      </c>
      <c r="J392" s="6">
        <v>-0.73242167015423132</v>
      </c>
      <c r="K392" s="6">
        <v>-0.84887363030266005</v>
      </c>
      <c r="L392" s="6">
        <v>-0.33824513785560267</v>
      </c>
      <c r="N392" s="8">
        <f>SQRT((C392-Sheet3!$C$525)^2+(D392-Sheet3!$D$525)^2+(E392-Sheet3!$E$525)^2+(F392-Sheet3!$F$525)^2+(G392-Sheet3!$G$525)^2+(H392-Sheet3!$H$525)^2+(I392-Sheet3!$I$525)^2+(J392-Sheet3!$J$525)^2+(K392-Sheet3!$K$525)^2+(L392-Sheet3!$L$525)^2)</f>
        <v>1.5845013485964372</v>
      </c>
      <c r="O392" s="8">
        <f>SQRT((C392-Sheet3!$C$526)^2+(D392-Sheet3!$D$526)^2+(E392-Sheet3!$E$526)^2+(F392-Sheet3!$F$526)^2+(G392-Sheet3!$G$526)^2+(H392-Sheet3!$H$526)^2+(I392-Sheet3!$I$526)^2+(J392-Sheet3!$J$526)^2+(K392-Sheet3!$K$526)^2+(L392-Sheet3!$L$526)^2)</f>
        <v>4.4054092610344711</v>
      </c>
      <c r="P392" s="12">
        <f t="shared" si="6"/>
        <v>0</v>
      </c>
      <c r="Q392" s="11">
        <f>IF(P392=Sheet1!M392, 1, 0)</f>
        <v>1</v>
      </c>
    </row>
    <row r="393" spans="1:17" x14ac:dyDescent="0.35">
      <c r="A393" s="6" t="s">
        <v>422</v>
      </c>
      <c r="B393" s="6" t="s">
        <v>429</v>
      </c>
      <c r="C393" s="6">
        <v>0.23979892339013836</v>
      </c>
      <c r="D393" s="6">
        <v>0.39489543446202224</v>
      </c>
      <c r="E393" s="6">
        <v>-0.86601147297125058</v>
      </c>
      <c r="F393" s="6">
        <v>-0.25833390083518176</v>
      </c>
      <c r="G393" s="6">
        <v>-0.17618761801925792</v>
      </c>
      <c r="H393" s="6">
        <v>-0.37716459303769045</v>
      </c>
      <c r="I393" s="6">
        <v>7.0977844458259623E-2</v>
      </c>
      <c r="J393" s="6">
        <v>-0.53882945367622215</v>
      </c>
      <c r="K393" s="6">
        <v>-0.30428802756145118</v>
      </c>
      <c r="L393" s="6">
        <v>-0.37473828713492702</v>
      </c>
      <c r="N393" s="8">
        <f>SQRT((C393-Sheet3!$C$525)^2+(D393-Sheet3!$D$525)^2+(E393-Sheet3!$E$525)^2+(F393-Sheet3!$F$525)^2+(G393-Sheet3!$G$525)^2+(H393-Sheet3!$H$525)^2+(I393-Sheet3!$I$525)^2+(J393-Sheet3!$J$525)^2+(K393-Sheet3!$K$525)^2+(L393-Sheet3!$L$525)^2)</f>
        <v>1.1100665542799855</v>
      </c>
      <c r="O393" s="8">
        <f>SQRT((C393-Sheet3!$C$526)^2+(D393-Sheet3!$D$526)^2+(E393-Sheet3!$E$526)^2+(F393-Sheet3!$F$526)^2+(G393-Sheet3!$G$526)^2+(H393-Sheet3!$H$526)^2+(I393-Sheet3!$I$526)^2+(J393-Sheet3!$J$526)^2+(K393-Sheet3!$K$526)^2+(L393-Sheet3!$L$526)^2)</f>
        <v>3.8474368963983543</v>
      </c>
      <c r="P393" s="12">
        <f t="shared" si="6"/>
        <v>0</v>
      </c>
      <c r="Q393" s="11">
        <f>IF(P393=Sheet1!M393, 1, 0)</f>
        <v>1</v>
      </c>
    </row>
    <row r="394" spans="1:17" x14ac:dyDescent="0.35">
      <c r="A394" s="6" t="s">
        <v>422</v>
      </c>
      <c r="B394" s="6" t="s">
        <v>430</v>
      </c>
      <c r="C394" s="6">
        <v>0.40352557823910834</v>
      </c>
      <c r="D394" s="6">
        <v>-0.42756655356356671</v>
      </c>
      <c r="E394" s="6">
        <v>-0.2393766787931367</v>
      </c>
      <c r="F394" s="6">
        <v>-0.63271513307843041</v>
      </c>
      <c r="G394" s="6">
        <v>-1.540836696605129</v>
      </c>
      <c r="H394" s="6">
        <v>-0.71219519112583407</v>
      </c>
      <c r="I394" s="6">
        <v>-0.57289295606001955</v>
      </c>
      <c r="J394" s="6">
        <v>-0.79315648316693987</v>
      </c>
      <c r="K394" s="6">
        <v>-0.10085087711214884</v>
      </c>
      <c r="L394" s="6">
        <v>-0.21610174186448539</v>
      </c>
      <c r="N394" s="8">
        <f>SQRT((C394-Sheet3!$C$525)^2+(D394-Sheet3!$D$525)^2+(E394-Sheet3!$E$525)^2+(F394-Sheet3!$F$525)^2+(G394-Sheet3!$G$525)^2+(H394-Sheet3!$H$525)^2+(I394-Sheet3!$I$525)^2+(J394-Sheet3!$J$525)^2+(K394-Sheet3!$K$525)^2+(L394-Sheet3!$L$525)^2)</f>
        <v>1.5490925170045773</v>
      </c>
      <c r="O394" s="8">
        <f>SQRT((C394-Sheet3!$C$526)^2+(D394-Sheet3!$D$526)^2+(E394-Sheet3!$E$526)^2+(F394-Sheet3!$F$526)^2+(G394-Sheet3!$G$526)^2+(H394-Sheet3!$H$526)^2+(I394-Sheet3!$I$526)^2+(J394-Sheet3!$J$526)^2+(K394-Sheet3!$K$526)^2+(L394-Sheet3!$L$526)^2)</f>
        <v>4.8726898579457742</v>
      </c>
      <c r="P394" s="12">
        <f t="shared" si="6"/>
        <v>0</v>
      </c>
      <c r="Q394" s="11">
        <f>IF(P394=Sheet1!M394, 1, 0)</f>
        <v>1</v>
      </c>
    </row>
    <row r="395" spans="1:17" x14ac:dyDescent="0.35">
      <c r="A395" s="6" t="s">
        <v>422</v>
      </c>
      <c r="B395" s="6" t="s">
        <v>431</v>
      </c>
      <c r="C395" s="6">
        <v>0.58067245069865003</v>
      </c>
      <c r="D395" s="6">
        <v>-2.247333558081379E-2</v>
      </c>
      <c r="E395" s="6">
        <v>-0.99605384942326358</v>
      </c>
      <c r="F395" s="6">
        <v>-0.79910679185320677</v>
      </c>
      <c r="G395" s="6">
        <v>-1.0907928515395726</v>
      </c>
      <c r="H395" s="6">
        <v>-0.32868749685130361</v>
      </c>
      <c r="I395" s="6">
        <v>0.58288700566239682</v>
      </c>
      <c r="J395" s="6">
        <v>-0.61474796994210812</v>
      </c>
      <c r="K395" s="6">
        <v>0.84434942189845885</v>
      </c>
      <c r="L395" s="6">
        <v>-0.37789659003027154</v>
      </c>
      <c r="N395" s="8">
        <f>SQRT((C395-Sheet3!$C$525)^2+(D395-Sheet3!$D$525)^2+(E395-Sheet3!$E$525)^2+(F395-Sheet3!$F$525)^2+(G395-Sheet3!$G$525)^2+(H395-Sheet3!$H$525)^2+(I395-Sheet3!$I$525)^2+(J395-Sheet3!$J$525)^2+(K395-Sheet3!$K$525)^2+(L395-Sheet3!$L$525)^2)</f>
        <v>1.6421486673509045</v>
      </c>
      <c r="O395" s="8">
        <f>SQRT((C395-Sheet3!$C$526)^2+(D395-Sheet3!$D$526)^2+(E395-Sheet3!$E$526)^2+(F395-Sheet3!$F$526)^2+(G395-Sheet3!$G$526)^2+(H395-Sheet3!$H$526)^2+(I395-Sheet3!$I$526)^2+(J395-Sheet3!$J$526)^2+(K395-Sheet3!$K$526)^2+(L395-Sheet3!$L$526)^2)</f>
        <v>4.8337916648454753</v>
      </c>
      <c r="P395" s="12">
        <f t="shared" si="6"/>
        <v>0</v>
      </c>
      <c r="Q395" s="11">
        <f>IF(P395=Sheet1!M395, 1, 0)</f>
        <v>1</v>
      </c>
    </row>
    <row r="396" spans="1:17" x14ac:dyDescent="0.35">
      <c r="A396" s="6" t="s">
        <v>422</v>
      </c>
      <c r="B396" s="6" t="s">
        <v>432</v>
      </c>
      <c r="C396" s="6">
        <v>0.10425472552336802</v>
      </c>
      <c r="D396" s="6">
        <v>0.23531325768093794</v>
      </c>
      <c r="E396" s="6">
        <v>-0.79343824871899404</v>
      </c>
      <c r="F396" s="6">
        <v>-0.22135797666300996</v>
      </c>
      <c r="G396" s="6">
        <v>0.12577728447634071</v>
      </c>
      <c r="H396" s="6">
        <v>5.9667907041866149E-2</v>
      </c>
      <c r="I396" s="6">
        <v>-0.44985625853523992</v>
      </c>
      <c r="J396" s="6">
        <v>-1.0171161061513034</v>
      </c>
      <c r="K396" s="6">
        <v>0.20273994740450488</v>
      </c>
      <c r="L396" s="6">
        <v>-0.32465267777888246</v>
      </c>
      <c r="N396" s="8">
        <f>SQRT((C396-Sheet3!$C$525)^2+(D396-Sheet3!$D$525)^2+(E396-Sheet3!$E$525)^2+(F396-Sheet3!$F$525)^2+(G396-Sheet3!$G$525)^2+(H396-Sheet3!$H$525)^2+(I396-Sheet3!$I$525)^2+(J396-Sheet3!$J$525)^2+(K396-Sheet3!$K$525)^2+(L396-Sheet3!$L$525)^2)</f>
        <v>1.1474980014827127</v>
      </c>
      <c r="O396" s="8">
        <f>SQRT((C396-Sheet3!$C$526)^2+(D396-Sheet3!$D$526)^2+(E396-Sheet3!$E$526)^2+(F396-Sheet3!$F$526)^2+(G396-Sheet3!$G$526)^2+(H396-Sheet3!$H$526)^2+(I396-Sheet3!$I$526)^2+(J396-Sheet3!$J$526)^2+(K396-Sheet3!$K$526)^2+(L396-Sheet3!$L$526)^2)</f>
        <v>4.0395402721027729</v>
      </c>
      <c r="P396" s="12">
        <f t="shared" si="6"/>
        <v>0</v>
      </c>
      <c r="Q396" s="11">
        <f>IF(P396=Sheet1!M396, 1, 0)</f>
        <v>1</v>
      </c>
    </row>
    <row r="397" spans="1:17" x14ac:dyDescent="0.35">
      <c r="A397" s="6" t="s">
        <v>422</v>
      </c>
      <c r="B397" s="6" t="s">
        <v>433</v>
      </c>
      <c r="C397" s="6">
        <v>0.25456116276176671</v>
      </c>
      <c r="D397" s="6">
        <v>0.11869551311014578</v>
      </c>
      <c r="E397" s="6">
        <v>-0.96437213731314142</v>
      </c>
      <c r="F397" s="6">
        <v>-0.65890641270038408</v>
      </c>
      <c r="G397" s="6">
        <v>-1.1575735511299463</v>
      </c>
      <c r="H397" s="6">
        <v>-0.83123339398351814</v>
      </c>
      <c r="I397" s="6">
        <v>0.46558777071649221</v>
      </c>
      <c r="J397" s="6">
        <v>-0.64891130226175675</v>
      </c>
      <c r="K397" s="6">
        <v>-1.258877733515871</v>
      </c>
      <c r="L397" s="6">
        <v>-0.42387714321651054</v>
      </c>
      <c r="N397" s="8">
        <f>SQRT((C397-Sheet3!$C$525)^2+(D397-Sheet3!$D$525)^2+(E397-Sheet3!$E$525)^2+(F397-Sheet3!$F$525)^2+(G397-Sheet3!$G$525)^2+(H397-Sheet3!$H$525)^2+(I397-Sheet3!$I$525)^2+(J397-Sheet3!$J$525)^2+(K397-Sheet3!$K$525)^2+(L397-Sheet3!$L$525)^2)</f>
        <v>2.1200601653597695</v>
      </c>
      <c r="O397" s="8">
        <f>SQRT((C397-Sheet3!$C$526)^2+(D397-Sheet3!$D$526)^2+(E397-Sheet3!$E$526)^2+(F397-Sheet3!$F$526)^2+(G397-Sheet3!$G$526)^2+(H397-Sheet3!$H$526)^2+(I397-Sheet3!$I$526)^2+(J397-Sheet3!$J$526)^2+(K397-Sheet3!$K$526)^2+(L397-Sheet3!$L$526)^2)</f>
        <v>4.6770686505551913</v>
      </c>
      <c r="P397" s="12">
        <f t="shared" si="6"/>
        <v>0</v>
      </c>
      <c r="Q397" s="11">
        <f>IF(P397=Sheet1!M397, 1, 0)</f>
        <v>1</v>
      </c>
    </row>
    <row r="398" spans="1:17" x14ac:dyDescent="0.35">
      <c r="A398" s="6" t="s">
        <v>422</v>
      </c>
      <c r="B398" s="6" t="s">
        <v>434</v>
      </c>
      <c r="C398" s="6">
        <v>0.21832657521322421</v>
      </c>
      <c r="D398" s="6">
        <v>0.17393549738052108</v>
      </c>
      <c r="E398" s="6">
        <v>-0.52856439979832148</v>
      </c>
      <c r="F398" s="6">
        <v>-0.22289864017018243</v>
      </c>
      <c r="G398" s="6">
        <v>1.5443954718331364E-2</v>
      </c>
      <c r="H398" s="6">
        <v>0.14423350816700806</v>
      </c>
      <c r="I398" s="6">
        <v>-0.136208304223365</v>
      </c>
      <c r="J398" s="6">
        <v>-0.78936055735364574</v>
      </c>
      <c r="K398" s="6">
        <v>-0.15562241761772946</v>
      </c>
      <c r="L398" s="6">
        <v>-0.27262521080181035</v>
      </c>
      <c r="N398" s="8">
        <f>SQRT((C398-Sheet3!$C$525)^2+(D398-Sheet3!$D$525)^2+(E398-Sheet3!$E$525)^2+(F398-Sheet3!$F$525)^2+(G398-Sheet3!$G$525)^2+(H398-Sheet3!$H$525)^2+(I398-Sheet3!$I$525)^2+(J398-Sheet3!$J$525)^2+(K398-Sheet3!$K$525)^2+(L398-Sheet3!$L$525)^2)</f>
        <v>0.92444637147458952</v>
      </c>
      <c r="O398" s="8">
        <f>SQRT((C398-Sheet3!$C$526)^2+(D398-Sheet3!$D$526)^2+(E398-Sheet3!$E$526)^2+(F398-Sheet3!$F$526)^2+(G398-Sheet3!$G$526)^2+(H398-Sheet3!$H$526)^2+(I398-Sheet3!$I$526)^2+(J398-Sheet3!$J$526)^2+(K398-Sheet3!$K$526)^2+(L398-Sheet3!$L$526)^2)</f>
        <v>3.6907684365415787</v>
      </c>
      <c r="P398" s="12">
        <f t="shared" si="6"/>
        <v>0</v>
      </c>
      <c r="Q398" s="11">
        <f>IF(P398=Sheet1!M398, 1, 0)</f>
        <v>1</v>
      </c>
    </row>
    <row r="399" spans="1:17" x14ac:dyDescent="0.35">
      <c r="A399" s="6" t="s">
        <v>422</v>
      </c>
      <c r="B399" s="6" t="s">
        <v>435</v>
      </c>
      <c r="C399" s="6">
        <v>-0.68485406997822584</v>
      </c>
      <c r="D399" s="6">
        <v>2.0152683063930339</v>
      </c>
      <c r="E399" s="6">
        <v>1.6832611758897418</v>
      </c>
      <c r="F399" s="6">
        <v>1.813858516313658</v>
      </c>
      <c r="G399" s="6">
        <v>0.41612815226056837</v>
      </c>
      <c r="H399" s="6">
        <v>0.7830539090231784</v>
      </c>
      <c r="I399" s="6">
        <v>0.83469786329083306</v>
      </c>
      <c r="J399" s="6">
        <v>0.96815309420161288</v>
      </c>
      <c r="K399" s="6">
        <v>-0.68768881110052227</v>
      </c>
      <c r="L399" s="6">
        <v>-0.11656280640300744</v>
      </c>
      <c r="N399" s="8">
        <f>SQRT((C399-Sheet3!$C$525)^2+(D399-Sheet3!$D$525)^2+(E399-Sheet3!$E$525)^2+(F399-Sheet3!$F$525)^2+(G399-Sheet3!$G$525)^2+(H399-Sheet3!$H$525)^2+(I399-Sheet3!$I$525)^2+(J399-Sheet3!$J$525)^2+(K399-Sheet3!$K$525)^2+(L399-Sheet3!$L$525)^2)</f>
        <v>4.5149956710499675</v>
      </c>
      <c r="O399" s="8">
        <f>SQRT((C399-Sheet3!$C$526)^2+(D399-Sheet3!$D$526)^2+(E399-Sheet3!$E$526)^2+(F399-Sheet3!$F$526)^2+(G399-Sheet3!$G$526)^2+(H399-Sheet3!$H$526)^2+(I399-Sheet3!$I$526)^2+(J399-Sheet3!$J$526)^2+(K399-Sheet3!$K$526)^2+(L399-Sheet3!$L$526)^2)</f>
        <v>1.5232908390353563</v>
      </c>
      <c r="P399" s="12">
        <f t="shared" si="6"/>
        <v>1</v>
      </c>
      <c r="Q399" s="11">
        <f>IF(P399=Sheet1!M399, 1, 0)</f>
        <v>0</v>
      </c>
    </row>
    <row r="400" spans="1:17" x14ac:dyDescent="0.35">
      <c r="A400" s="6" t="s">
        <v>436</v>
      </c>
      <c r="B400" s="6" t="s">
        <v>437</v>
      </c>
      <c r="C400" s="6">
        <v>2.3733419859939892E-2</v>
      </c>
      <c r="D400" s="6">
        <v>-0.21888216854214865</v>
      </c>
      <c r="E400" s="6">
        <v>-0.46593775958063821</v>
      </c>
      <c r="F400" s="6">
        <v>-0.33382641268670005</v>
      </c>
      <c r="G400" s="6">
        <v>-0.33007357794489894</v>
      </c>
      <c r="H400" s="6">
        <v>-8.7917919125580113E-2</v>
      </c>
      <c r="I400" s="6">
        <v>0.27880148898198187</v>
      </c>
      <c r="J400" s="6">
        <v>-0.85389129617964865</v>
      </c>
      <c r="K400" s="6">
        <v>-6.1728348179590609E-2</v>
      </c>
      <c r="L400" s="6">
        <v>-0.38025839572700249</v>
      </c>
      <c r="N400" s="8">
        <f>SQRT((C400-Sheet3!$C$525)^2+(D400-Sheet3!$D$525)^2+(E400-Sheet3!$E$525)^2+(F400-Sheet3!$F$525)^2+(G400-Sheet3!$G$525)^2+(H400-Sheet3!$H$525)^2+(I400-Sheet3!$I$525)^2+(J400-Sheet3!$J$525)^2+(K400-Sheet3!$K$525)^2+(L400-Sheet3!$L$525)^2)</f>
        <v>0.8217174410955107</v>
      </c>
      <c r="O400" s="8">
        <f>SQRT((C400-Sheet3!$C$526)^2+(D400-Sheet3!$D$526)^2+(E400-Sheet3!$E$526)^2+(F400-Sheet3!$F$526)^2+(G400-Sheet3!$G$526)^2+(H400-Sheet3!$H$526)^2+(I400-Sheet3!$I$526)^2+(J400-Sheet3!$J$526)^2+(K400-Sheet3!$K$526)^2+(L400-Sheet3!$L$526)^2)</f>
        <v>3.9280817352449775</v>
      </c>
      <c r="P400" s="12">
        <f t="shared" si="6"/>
        <v>0</v>
      </c>
      <c r="Q400" s="11">
        <f>IF(P400=Sheet1!M400, 1, 0)</f>
        <v>1</v>
      </c>
    </row>
    <row r="401" spans="1:17" x14ac:dyDescent="0.35">
      <c r="A401" s="6" t="s">
        <v>436</v>
      </c>
      <c r="B401" s="6" t="s">
        <v>438</v>
      </c>
      <c r="C401" s="6">
        <v>-0.6499615041907405</v>
      </c>
      <c r="D401" s="6">
        <v>-0.37846434532323298</v>
      </c>
      <c r="E401" s="6">
        <v>0.11317446643229245</v>
      </c>
      <c r="F401" s="6">
        <v>-4.7263000352362507E-2</v>
      </c>
      <c r="G401" s="6">
        <v>-0.45202094241427504</v>
      </c>
      <c r="H401" s="6">
        <v>0.8013674786935916</v>
      </c>
      <c r="I401" s="6">
        <v>0.14620235382574223</v>
      </c>
      <c r="J401" s="6">
        <v>-0.72862574434093696</v>
      </c>
      <c r="K401" s="6">
        <v>-0.62665766596573136</v>
      </c>
      <c r="L401" s="6">
        <v>-0.27060079696389028</v>
      </c>
      <c r="N401" s="8">
        <f>SQRT((C401-Sheet3!$C$525)^2+(D401-Sheet3!$D$525)^2+(E401-Sheet3!$E$525)^2+(F401-Sheet3!$F$525)^2+(G401-Sheet3!$G$525)^2+(H401-Sheet3!$H$525)^2+(I401-Sheet3!$I$525)^2+(J401-Sheet3!$J$525)^2+(K401-Sheet3!$K$525)^2+(L401-Sheet3!$L$525)^2)</f>
        <v>1.7489468252546363</v>
      </c>
      <c r="O401" s="8">
        <f>SQRT((C401-Sheet3!$C$526)^2+(D401-Sheet3!$D$526)^2+(E401-Sheet3!$E$526)^2+(F401-Sheet3!$F$526)^2+(G401-Sheet3!$G$526)^2+(H401-Sheet3!$H$526)^2+(I401-Sheet3!$I$526)^2+(J401-Sheet3!$J$526)^2+(K401-Sheet3!$K$526)^2+(L401-Sheet3!$L$526)^2)</f>
        <v>3.43831522931182</v>
      </c>
      <c r="P401" s="12">
        <f t="shared" si="6"/>
        <v>0</v>
      </c>
      <c r="Q401" s="11">
        <f>IF(P401=Sheet1!M401, 1, 0)</f>
        <v>1</v>
      </c>
    </row>
    <row r="402" spans="1:17" x14ac:dyDescent="0.35">
      <c r="A402" s="6" t="s">
        <v>436</v>
      </c>
      <c r="B402" s="6" t="s">
        <v>439</v>
      </c>
      <c r="C402" s="6">
        <v>-0.38424119550142821</v>
      </c>
      <c r="D402" s="6">
        <v>-1.0229308284776129</v>
      </c>
      <c r="E402" s="6">
        <v>0.55413969196503932</v>
      </c>
      <c r="F402" s="6">
        <v>-0.14432480130431705</v>
      </c>
      <c r="G402" s="6">
        <v>0.2738562270462942</v>
      </c>
      <c r="H402" s="6">
        <v>3.2197552536246406E-2</v>
      </c>
      <c r="I402" s="6">
        <v>0.77094827908110242</v>
      </c>
      <c r="J402" s="6">
        <v>-0.37560464370456742</v>
      </c>
      <c r="K402" s="6">
        <v>0.7598447594041321</v>
      </c>
      <c r="L402" s="6">
        <v>-0.33040520165835208</v>
      </c>
      <c r="N402" s="8">
        <f>SQRT((C402-Sheet3!$C$525)^2+(D402-Sheet3!$D$525)^2+(E402-Sheet3!$E$525)^2+(F402-Sheet3!$F$525)^2+(G402-Sheet3!$G$525)^2+(H402-Sheet3!$H$525)^2+(I402-Sheet3!$I$525)^2+(J402-Sheet3!$J$525)^2+(K402-Sheet3!$K$525)^2+(L402-Sheet3!$L$525)^2)</f>
        <v>1.8415066782644154</v>
      </c>
      <c r="O402" s="8">
        <f>SQRT((C402-Sheet3!$C$526)^2+(D402-Sheet3!$D$526)^2+(E402-Sheet3!$E$526)^2+(F402-Sheet3!$F$526)^2+(G402-Sheet3!$G$526)^2+(H402-Sheet3!$H$526)^2+(I402-Sheet3!$I$526)^2+(J402-Sheet3!$J$526)^2+(K402-Sheet3!$K$526)^2+(L402-Sheet3!$L$526)^2)</f>
        <v>3.6332278500965338</v>
      </c>
      <c r="P402" s="12">
        <f t="shared" si="6"/>
        <v>0</v>
      </c>
      <c r="Q402" s="11">
        <f>IF(P402=Sheet1!M402, 1, 0)</f>
        <v>1</v>
      </c>
    </row>
    <row r="403" spans="1:17" x14ac:dyDescent="0.35">
      <c r="A403" s="6" t="s">
        <v>436</v>
      </c>
      <c r="B403" s="6" t="s">
        <v>440</v>
      </c>
      <c r="C403" s="6">
        <v>0.26932340213339512</v>
      </c>
      <c r="D403" s="6">
        <v>-1.1272730209883219</v>
      </c>
      <c r="E403" s="6">
        <v>-0.40883699938216223</v>
      </c>
      <c r="F403" s="6">
        <v>-0.82683873498233507</v>
      </c>
      <c r="G403" s="6">
        <v>-0.91948583954688146</v>
      </c>
      <c r="H403" s="6">
        <v>0.23041501249836371</v>
      </c>
      <c r="I403" s="6">
        <v>0.85446023439584973</v>
      </c>
      <c r="J403" s="6">
        <v>-1.0171161061513034</v>
      </c>
      <c r="K403" s="6">
        <v>-0.32463174260638072</v>
      </c>
      <c r="L403" s="6">
        <v>-0.31145544697133976</v>
      </c>
      <c r="N403" s="8">
        <f>SQRT((C403-Sheet3!$C$525)^2+(D403-Sheet3!$D$525)^2+(E403-Sheet3!$E$525)^2+(F403-Sheet3!$F$525)^2+(G403-Sheet3!$G$525)^2+(H403-Sheet3!$H$525)^2+(I403-Sheet3!$I$525)^2+(J403-Sheet3!$J$525)^2+(K403-Sheet3!$K$525)^2+(L403-Sheet3!$L$525)^2)</f>
        <v>1.8170432107533838</v>
      </c>
      <c r="O403" s="8">
        <f>SQRT((C403-Sheet3!$C$526)^2+(D403-Sheet3!$D$526)^2+(E403-Sheet3!$E$526)^2+(F403-Sheet3!$F$526)^2+(G403-Sheet3!$G$526)^2+(H403-Sheet3!$H$526)^2+(I403-Sheet3!$I$526)^2+(J403-Sheet3!$J$526)^2+(K403-Sheet3!$K$526)^2+(L403-Sheet3!$L$526)^2)</f>
        <v>4.7230960446378232</v>
      </c>
      <c r="P403" s="12">
        <f t="shared" si="6"/>
        <v>0</v>
      </c>
      <c r="Q403" s="11">
        <f>IF(P403=Sheet1!M403, 1, 0)</f>
        <v>1</v>
      </c>
    </row>
    <row r="404" spans="1:17" x14ac:dyDescent="0.35">
      <c r="A404" s="6" t="s">
        <v>436</v>
      </c>
      <c r="B404" s="6" t="s">
        <v>441</v>
      </c>
      <c r="C404" s="6">
        <v>-0.53991571978405561</v>
      </c>
      <c r="D404" s="6">
        <v>-0.58101095431460936</v>
      </c>
      <c r="E404" s="6">
        <v>8.0387578318328823E-2</v>
      </c>
      <c r="F404" s="6">
        <v>-0.33998906671539642</v>
      </c>
      <c r="G404" s="6">
        <v>-0.68430163664165644</v>
      </c>
      <c r="H404" s="6">
        <v>0.69741103909389479</v>
      </c>
      <c r="I404" s="6">
        <v>0.75883585808125376</v>
      </c>
      <c r="J404" s="6">
        <v>-0.4287476050906876</v>
      </c>
      <c r="K404" s="6">
        <v>-0.56719142198824135</v>
      </c>
      <c r="L404" s="6">
        <v>-0.31459600999623583</v>
      </c>
      <c r="N404" s="8">
        <f>SQRT((C404-Sheet3!$C$525)^2+(D404-Sheet3!$D$525)^2+(E404-Sheet3!$E$525)^2+(F404-Sheet3!$F$525)^2+(G404-Sheet3!$G$525)^2+(H404-Sheet3!$H$525)^2+(I404-Sheet3!$I$525)^2+(J404-Sheet3!$J$525)^2+(K404-Sheet3!$K$525)^2+(L404-Sheet3!$L$525)^2)</f>
        <v>1.824639860190796</v>
      </c>
      <c r="O404" s="8">
        <f>SQRT((C404-Sheet3!$C$526)^2+(D404-Sheet3!$D$526)^2+(E404-Sheet3!$E$526)^2+(F404-Sheet3!$F$526)^2+(G404-Sheet3!$G$526)^2+(H404-Sheet3!$H$526)^2+(I404-Sheet3!$I$526)^2+(J404-Sheet3!$J$526)^2+(K404-Sheet3!$K$526)^2+(L404-Sheet3!$L$526)^2)</f>
        <v>3.5815660306646566</v>
      </c>
      <c r="P404" s="12">
        <f t="shared" si="6"/>
        <v>0</v>
      </c>
      <c r="Q404" s="11">
        <f>IF(P404=Sheet1!M404, 1, 0)</f>
        <v>1</v>
      </c>
    </row>
    <row r="405" spans="1:17" x14ac:dyDescent="0.35">
      <c r="A405" s="6" t="s">
        <v>436</v>
      </c>
      <c r="B405" s="6" t="s">
        <v>442</v>
      </c>
      <c r="C405" s="6">
        <v>-0.63519926481911193</v>
      </c>
      <c r="D405" s="6">
        <v>-0.14522885618164863</v>
      </c>
      <c r="E405" s="6">
        <v>-0.30237171101210053</v>
      </c>
      <c r="F405" s="6">
        <v>5.5961454628286257E-2</v>
      </c>
      <c r="G405" s="6">
        <v>0.2303035968786625</v>
      </c>
      <c r="H405" s="6">
        <v>1.0771482925539284</v>
      </c>
      <c r="I405" s="6">
        <v>0.65811151502987852</v>
      </c>
      <c r="J405" s="6">
        <v>-0.28829834999879883</v>
      </c>
      <c r="K405" s="6">
        <v>-8.989656901103138E-2</v>
      </c>
      <c r="L405" s="6">
        <v>-0.14460149699993666</v>
      </c>
      <c r="N405" s="8">
        <f>SQRT((C405-Sheet3!$C$525)^2+(D405-Sheet3!$D$525)^2+(E405-Sheet3!$E$525)^2+(F405-Sheet3!$F$525)^2+(G405-Sheet3!$G$525)^2+(H405-Sheet3!$H$525)^2+(I405-Sheet3!$I$525)^2+(J405-Sheet3!$J$525)^2+(K405-Sheet3!$K$525)^2+(L405-Sheet3!$L$525)^2)</f>
        <v>1.9220117711153843</v>
      </c>
      <c r="O405" s="8">
        <f>SQRT((C405-Sheet3!$C$526)^2+(D405-Sheet3!$D$526)^2+(E405-Sheet3!$E$526)^2+(F405-Sheet3!$F$526)^2+(G405-Sheet3!$G$526)^2+(H405-Sheet3!$H$526)^2+(I405-Sheet3!$I$526)^2+(J405-Sheet3!$J$526)^2+(K405-Sheet3!$K$526)^2+(L405-Sheet3!$L$526)^2)</f>
        <v>2.9980682833865666</v>
      </c>
      <c r="P405" s="12">
        <f t="shared" si="6"/>
        <v>0</v>
      </c>
      <c r="Q405" s="11">
        <f>IF(P405=Sheet1!M405, 1, 0)</f>
        <v>1</v>
      </c>
    </row>
    <row r="406" spans="1:17" x14ac:dyDescent="0.35">
      <c r="A406" s="6" t="s">
        <v>436</v>
      </c>
      <c r="B406" s="6" t="s">
        <v>443</v>
      </c>
      <c r="C406" s="6">
        <v>-0.46073643588168478</v>
      </c>
      <c r="D406" s="6">
        <v>-0.40301544944339984</v>
      </c>
      <c r="E406" s="6">
        <v>-0.30200331901082006</v>
      </c>
      <c r="F406" s="6">
        <v>-0.33536707619387468</v>
      </c>
      <c r="G406" s="6">
        <v>-0.66107356721891863</v>
      </c>
      <c r="H406" s="6">
        <v>0.53474344966846132</v>
      </c>
      <c r="I406" s="6">
        <v>0.20867694635127762</v>
      </c>
      <c r="J406" s="6">
        <v>-0.92980981244553462</v>
      </c>
      <c r="K406" s="6">
        <v>0.38270358049427139</v>
      </c>
      <c r="L406" s="6">
        <v>-0.30062169346198359</v>
      </c>
      <c r="N406" s="8">
        <f>SQRT((C406-Sheet3!$C$525)^2+(D406-Sheet3!$D$525)^2+(E406-Sheet3!$E$525)^2+(F406-Sheet3!$F$525)^2+(G406-Sheet3!$G$525)^2+(H406-Sheet3!$H$525)^2+(I406-Sheet3!$I$525)^2+(J406-Sheet3!$J$525)^2+(K406-Sheet3!$K$525)^2+(L406-Sheet3!$L$525)^2)</f>
        <v>1.319966587226316</v>
      </c>
      <c r="O406" s="8">
        <f>SQRT((C406-Sheet3!$C$526)^2+(D406-Sheet3!$D$526)^2+(E406-Sheet3!$E$526)^2+(F406-Sheet3!$F$526)^2+(G406-Sheet3!$G$526)^2+(H406-Sheet3!$H$526)^2+(I406-Sheet3!$I$526)^2+(J406-Sheet3!$J$526)^2+(K406-Sheet3!$K$526)^2+(L406-Sheet3!$L$526)^2)</f>
        <v>4.0243677383346981</v>
      </c>
      <c r="P406" s="12">
        <f t="shared" si="6"/>
        <v>0</v>
      </c>
      <c r="Q406" s="11">
        <f>IF(P406=Sheet1!M406, 1, 0)</f>
        <v>1</v>
      </c>
    </row>
    <row r="407" spans="1:17" x14ac:dyDescent="0.35">
      <c r="A407" s="6" t="s">
        <v>436</v>
      </c>
      <c r="B407" s="6" t="s">
        <v>444</v>
      </c>
      <c r="C407" s="6">
        <v>-0.36276884732451409</v>
      </c>
      <c r="D407" s="6">
        <v>-0.26184660075244082</v>
      </c>
      <c r="E407" s="6">
        <v>0.26053126694448853</v>
      </c>
      <c r="F407" s="6">
        <v>7.4449416714371067E-2</v>
      </c>
      <c r="G407" s="6">
        <v>-0.17909112669709756</v>
      </c>
      <c r="H407" s="6">
        <v>0.56760014819479043</v>
      </c>
      <c r="I407" s="6">
        <v>-0.11198346222366763</v>
      </c>
      <c r="J407" s="6">
        <v>0.47088681266006011</v>
      </c>
      <c r="K407" s="6">
        <v>-1.5421248429875929</v>
      </c>
      <c r="L407" s="6">
        <v>-0.19982868079841778</v>
      </c>
      <c r="N407" s="8">
        <f>SQRT((C407-Sheet3!$C$525)^2+(D407-Sheet3!$D$525)^2+(E407-Sheet3!$E$525)^2+(F407-Sheet3!$F$525)^2+(G407-Sheet3!$G$525)^2+(H407-Sheet3!$H$525)^2+(I407-Sheet3!$I$525)^2+(J407-Sheet3!$J$525)^2+(K407-Sheet3!$K$525)^2+(L407-Sheet3!$L$525)^2)</f>
        <v>2.2705469149171842</v>
      </c>
      <c r="O407" s="8">
        <f>SQRT((C407-Sheet3!$C$526)^2+(D407-Sheet3!$D$526)^2+(E407-Sheet3!$E$526)^2+(F407-Sheet3!$F$526)^2+(G407-Sheet3!$G$526)^2+(H407-Sheet3!$H$526)^2+(I407-Sheet3!$I$526)^2+(J407-Sheet3!$J$526)^2+(K407-Sheet3!$K$526)^2+(L407-Sheet3!$L$526)^2)</f>
        <v>2.9100450432319196</v>
      </c>
      <c r="P407" s="12">
        <f t="shared" si="6"/>
        <v>0</v>
      </c>
      <c r="Q407" s="11">
        <f>IF(P407=Sheet1!M407, 1, 0)</f>
        <v>1</v>
      </c>
    </row>
    <row r="408" spans="1:17" x14ac:dyDescent="0.35">
      <c r="A408" s="6" t="s">
        <v>436</v>
      </c>
      <c r="B408" s="6" t="s">
        <v>445</v>
      </c>
      <c r="C408" s="6">
        <v>0.26932340213339512</v>
      </c>
      <c r="D408" s="6">
        <v>-0.31708658502281611</v>
      </c>
      <c r="E408" s="6">
        <v>0.43993817156808729</v>
      </c>
      <c r="F408" s="6">
        <v>-0.11043020414649235</v>
      </c>
      <c r="G408" s="6">
        <v>-0.83528408788945363</v>
      </c>
      <c r="H408" s="6">
        <v>0.49272996630692556</v>
      </c>
      <c r="I408" s="6">
        <v>0.26796405966632758</v>
      </c>
      <c r="J408" s="6">
        <v>0.30386607687511136</v>
      </c>
      <c r="K408" s="6">
        <v>-0.78784248516786914</v>
      </c>
      <c r="L408" s="6">
        <v>-9.3264234263914961E-2</v>
      </c>
      <c r="N408" s="8">
        <f>SQRT((C408-Sheet3!$C$525)^2+(D408-Sheet3!$D$525)^2+(E408-Sheet3!$E$525)^2+(F408-Sheet3!$F$525)^2+(G408-Sheet3!$G$525)^2+(H408-Sheet3!$H$525)^2+(I408-Sheet3!$I$525)^2+(J408-Sheet3!$J$525)^2+(K408-Sheet3!$K$525)^2+(L408-Sheet3!$L$525)^2)</f>
        <v>1.767546733738276</v>
      </c>
      <c r="O408" s="8">
        <f>SQRT((C408-Sheet3!$C$526)^2+(D408-Sheet3!$D$526)^2+(E408-Sheet3!$E$526)^2+(F408-Sheet3!$F$526)^2+(G408-Sheet3!$G$526)^2+(H408-Sheet3!$H$526)^2+(I408-Sheet3!$I$526)^2+(J408-Sheet3!$J$526)^2+(K408-Sheet3!$K$526)^2+(L408-Sheet3!$L$526)^2)</f>
        <v>3.1887765808665796</v>
      </c>
      <c r="P408" s="12">
        <f t="shared" si="6"/>
        <v>0</v>
      </c>
      <c r="Q408" s="11">
        <f>IF(P408=Sheet1!M408, 1, 0)</f>
        <v>1</v>
      </c>
    </row>
    <row r="409" spans="1:17" x14ac:dyDescent="0.35">
      <c r="A409" s="6" t="s">
        <v>436</v>
      </c>
      <c r="B409" s="6" t="s">
        <v>446</v>
      </c>
      <c r="C409" s="6">
        <v>-0.4822087840585989</v>
      </c>
      <c r="D409" s="6">
        <v>-0.12067775206148122</v>
      </c>
      <c r="E409" s="6">
        <v>0.25500538692528119</v>
      </c>
      <c r="F409" s="6">
        <v>0.18537718923088869</v>
      </c>
      <c r="G409" s="6">
        <v>-0.17038060066357452</v>
      </c>
      <c r="H409" s="6">
        <v>0.90047620867465017</v>
      </c>
      <c r="I409" s="6">
        <v>0.75692337055496173</v>
      </c>
      <c r="J409" s="6">
        <v>0.63790754844500919</v>
      </c>
      <c r="K409" s="6">
        <v>-1.7721653131110351</v>
      </c>
      <c r="L409" s="6">
        <v>-0.35300216087645908</v>
      </c>
      <c r="N409" s="8">
        <f>SQRT((C409-Sheet3!$C$525)^2+(D409-Sheet3!$D$525)^2+(E409-Sheet3!$E$525)^2+(F409-Sheet3!$F$525)^2+(G409-Sheet3!$G$525)^2+(H409-Sheet3!$H$525)^2+(I409-Sheet3!$I$525)^2+(J409-Sheet3!$J$525)^2+(K409-Sheet3!$K$525)^2+(L409-Sheet3!$L$525)^2)</f>
        <v>2.8601885146675823</v>
      </c>
      <c r="O409" s="8">
        <f>SQRT((C409-Sheet3!$C$526)^2+(D409-Sheet3!$D$526)^2+(E409-Sheet3!$E$526)^2+(F409-Sheet3!$F$526)^2+(G409-Sheet3!$G$526)^2+(H409-Sheet3!$H$526)^2+(I409-Sheet3!$I$526)^2+(J409-Sheet3!$J$526)^2+(K409-Sheet3!$K$526)^2+(L409-Sheet3!$L$526)^2)</f>
        <v>2.7781755678575428</v>
      </c>
      <c r="P409" s="12">
        <f t="shared" si="6"/>
        <v>1</v>
      </c>
      <c r="Q409" s="11">
        <f>IF(P409=Sheet1!M409, 1, 0)</f>
        <v>0</v>
      </c>
    </row>
    <row r="410" spans="1:17" x14ac:dyDescent="0.35">
      <c r="A410" s="6" t="s">
        <v>436</v>
      </c>
      <c r="B410" s="6" t="s">
        <v>447</v>
      </c>
      <c r="C410" s="6">
        <v>-0.23527678002408661</v>
      </c>
      <c r="D410" s="6">
        <v>-0.74059313109569369</v>
      </c>
      <c r="E410" s="6">
        <v>-0.47698951961905289</v>
      </c>
      <c r="F410" s="6">
        <v>-0.54335664966234465</v>
      </c>
      <c r="G410" s="6">
        <v>-0.71043321474223786</v>
      </c>
      <c r="H410" s="6">
        <v>0.91986704714920509</v>
      </c>
      <c r="I410" s="6">
        <v>0.31577624782362557</v>
      </c>
      <c r="J410" s="6">
        <v>-0.34523723719821309</v>
      </c>
      <c r="K410" s="6">
        <v>-0.59379474166238111</v>
      </c>
      <c r="L410" s="6">
        <v>2.736809669632179E-2</v>
      </c>
      <c r="N410" s="8">
        <f>SQRT((C410-Sheet3!$C$525)^2+(D410-Sheet3!$D$525)^2+(E410-Sheet3!$E$525)^2+(F410-Sheet3!$F$525)^2+(G410-Sheet3!$G$525)^2+(H410-Sheet3!$H$525)^2+(I410-Sheet3!$I$525)^2+(J410-Sheet3!$J$525)^2+(K410-Sheet3!$K$525)^2+(L410-Sheet3!$L$525)^2)</f>
        <v>1.6732839929135213</v>
      </c>
      <c r="O410" s="8">
        <f>SQRT((C410-Sheet3!$C$526)^2+(D410-Sheet3!$D$526)^2+(E410-Sheet3!$E$526)^2+(F410-Sheet3!$F$526)^2+(G410-Sheet3!$G$526)^2+(H410-Sheet3!$H$526)^2+(I410-Sheet3!$I$526)^2+(J410-Sheet3!$J$526)^2+(K410-Sheet3!$K$526)^2+(L410-Sheet3!$L$526)^2)</f>
        <v>3.9104396704268343</v>
      </c>
      <c r="P410" s="12">
        <f t="shared" si="6"/>
        <v>0</v>
      </c>
      <c r="Q410" s="11">
        <f>IF(P410=Sheet1!M410, 1, 0)</f>
        <v>1</v>
      </c>
    </row>
    <row r="411" spans="1:17" x14ac:dyDescent="0.35">
      <c r="A411" s="6" t="s">
        <v>436</v>
      </c>
      <c r="B411" s="6" t="s">
        <v>448</v>
      </c>
      <c r="C411" s="6">
        <v>-0.63654128658016906</v>
      </c>
      <c r="D411" s="6">
        <v>-0.37846434532323298</v>
      </c>
      <c r="E411" s="6">
        <v>-0.28247854294295405</v>
      </c>
      <c r="F411" s="6">
        <v>-0.14432480130431705</v>
      </c>
      <c r="G411" s="6">
        <v>4.4479041496756612E-2</v>
      </c>
      <c r="H411" s="6">
        <v>0.81806514515779172</v>
      </c>
      <c r="I411" s="6">
        <v>0.72951104934477717</v>
      </c>
      <c r="J411" s="6">
        <v>-0.43254353090398201</v>
      </c>
      <c r="K411" s="6">
        <v>-1.6469732205268492</v>
      </c>
      <c r="L411" s="6">
        <v>-0.30043069210065393</v>
      </c>
      <c r="N411" s="8">
        <f>SQRT((C411-Sheet3!$C$525)^2+(D411-Sheet3!$D$525)^2+(E411-Sheet3!$E$525)^2+(F411-Sheet3!$F$525)^2+(G411-Sheet3!$G$525)^2+(H411-Sheet3!$H$525)^2+(I411-Sheet3!$I$525)^2+(J411-Sheet3!$J$525)^2+(K411-Sheet3!$K$525)^2+(L411-Sheet3!$L$525)^2)</f>
        <v>2.483335864716377</v>
      </c>
      <c r="O411" s="8">
        <f>SQRT((C411-Sheet3!$C$526)^2+(D411-Sheet3!$D$526)^2+(E411-Sheet3!$E$526)^2+(F411-Sheet3!$F$526)^2+(G411-Sheet3!$G$526)^2+(H411-Sheet3!$H$526)^2+(I411-Sheet3!$I$526)^2+(J411-Sheet3!$J$526)^2+(K411-Sheet3!$K$526)^2+(L411-Sheet3!$L$526)^2)</f>
        <v>3.4435398921267262</v>
      </c>
      <c r="P411" s="12">
        <f t="shared" si="6"/>
        <v>0</v>
      </c>
      <c r="Q411" s="11">
        <f>IF(P411=Sheet1!M411, 1, 0)</f>
        <v>1</v>
      </c>
    </row>
    <row r="412" spans="1:17" x14ac:dyDescent="0.35">
      <c r="A412" s="6" t="s">
        <v>436</v>
      </c>
      <c r="B412" s="6" t="s">
        <v>449</v>
      </c>
      <c r="C412" s="6">
        <v>-0.78013761501328227</v>
      </c>
      <c r="D412" s="6">
        <v>-0.85107309963644484</v>
      </c>
      <c r="E412" s="6">
        <v>0.80317268483065063</v>
      </c>
      <c r="F412" s="6">
        <v>-4.7263000352362507E-2</v>
      </c>
      <c r="G412" s="6">
        <v>-0.63203848044049338</v>
      </c>
      <c r="H412" s="6">
        <v>0.96026462730452788</v>
      </c>
      <c r="I412" s="6">
        <v>0.17425217087802358</v>
      </c>
      <c r="J412" s="6">
        <v>-0.28070649837221007</v>
      </c>
      <c r="K412" s="6">
        <v>-0.76436896780833552</v>
      </c>
      <c r="L412" s="6">
        <v>-0.17540938346336432</v>
      </c>
      <c r="N412" s="8">
        <f>SQRT((C412-Sheet3!$C$525)^2+(D412-Sheet3!$D$525)^2+(E412-Sheet3!$E$525)^2+(F412-Sheet3!$F$525)^2+(G412-Sheet3!$G$525)^2+(H412-Sheet3!$H$525)^2+(I412-Sheet3!$I$525)^2+(J412-Sheet3!$J$525)^2+(K412-Sheet3!$K$525)^2+(L412-Sheet3!$L$525)^2)</f>
        <v>2.28968186572085</v>
      </c>
      <c r="O412" s="8">
        <f>SQRT((C412-Sheet3!$C$526)^2+(D412-Sheet3!$D$526)^2+(E412-Sheet3!$E$526)^2+(F412-Sheet3!$F$526)^2+(G412-Sheet3!$G$526)^2+(H412-Sheet3!$H$526)^2+(I412-Sheet3!$I$526)^2+(J412-Sheet3!$J$526)^2+(K412-Sheet3!$K$526)^2+(L412-Sheet3!$L$526)^2)</f>
        <v>3.3764291524783028</v>
      </c>
      <c r="P412" s="12">
        <f t="shared" si="6"/>
        <v>0</v>
      </c>
      <c r="Q412" s="11">
        <f>IF(P412=Sheet1!M412, 1, 0)</f>
        <v>1</v>
      </c>
    </row>
    <row r="413" spans="1:17" x14ac:dyDescent="0.35">
      <c r="A413" s="6" t="s">
        <v>436</v>
      </c>
      <c r="B413" s="6" t="s">
        <v>450</v>
      </c>
      <c r="C413" s="6">
        <v>-0.97070470508339501</v>
      </c>
      <c r="D413" s="6">
        <v>-0.30481103296273238</v>
      </c>
      <c r="E413" s="6">
        <v>0.69118151644138159</v>
      </c>
      <c r="F413" s="6">
        <v>0.24854439302501855</v>
      </c>
      <c r="G413" s="6">
        <v>0.10254921505360297</v>
      </c>
      <c r="H413" s="6">
        <v>1.148248033627296</v>
      </c>
      <c r="I413" s="6">
        <v>0.88633502650071505</v>
      </c>
      <c r="J413" s="6">
        <v>-4.9155023761258312E-2</v>
      </c>
      <c r="K413" s="6">
        <v>-1.6845308483021044</v>
      </c>
      <c r="L413" s="6">
        <v>-0.27368302109798315</v>
      </c>
      <c r="N413" s="8">
        <f>SQRT((C413-Sheet3!$C$525)^2+(D413-Sheet3!$D$525)^2+(E413-Sheet3!$E$525)^2+(F413-Sheet3!$F$525)^2+(G413-Sheet3!$G$525)^2+(H413-Sheet3!$H$525)^2+(I413-Sheet3!$I$525)^2+(J413-Sheet3!$J$525)^2+(K413-Sheet3!$K$525)^2+(L413-Sheet3!$L$525)^2)</f>
        <v>3.105724782719546</v>
      </c>
      <c r="O413" s="8">
        <f>SQRT((C413-Sheet3!$C$526)^2+(D413-Sheet3!$D$526)^2+(E413-Sheet3!$E$526)^2+(F413-Sheet3!$F$526)^2+(G413-Sheet3!$G$526)^2+(H413-Sheet3!$H$526)^2+(I413-Sheet3!$I$526)^2+(J413-Sheet3!$J$526)^2+(K413-Sheet3!$K$526)^2+(L413-Sheet3!$L$526)^2)</f>
        <v>2.8145580899558258</v>
      </c>
      <c r="P413" s="12">
        <f t="shared" si="6"/>
        <v>1</v>
      </c>
      <c r="Q413" s="11">
        <f>IF(P413=Sheet1!M413, 1, 0)</f>
        <v>0</v>
      </c>
    </row>
    <row r="414" spans="1:17" x14ac:dyDescent="0.35">
      <c r="A414" s="6" t="s">
        <v>436</v>
      </c>
      <c r="B414" s="6" t="s">
        <v>451</v>
      </c>
      <c r="C414" s="6">
        <v>-0.46476250116485612</v>
      </c>
      <c r="D414" s="6">
        <v>-0.34777546517302454</v>
      </c>
      <c r="E414" s="6">
        <v>0.60092547612766156</v>
      </c>
      <c r="F414" s="6">
        <v>0.23467842146045328</v>
      </c>
      <c r="G414" s="6">
        <v>3.2865006785385689E-2</v>
      </c>
      <c r="H414" s="6">
        <v>0.94356696084032765</v>
      </c>
      <c r="I414" s="6">
        <v>0.42925050771694617</v>
      </c>
      <c r="J414" s="6">
        <v>-0.379400569517862</v>
      </c>
      <c r="K414" s="6">
        <v>-1.8285017547739189</v>
      </c>
      <c r="L414" s="6">
        <v>-0.17743181227455573</v>
      </c>
      <c r="N414" s="8">
        <f>SQRT((C414-Sheet3!$C$525)^2+(D414-Sheet3!$D$525)^2+(E414-Sheet3!$E$525)^2+(F414-Sheet3!$F$525)^2+(G414-Sheet3!$G$525)^2+(H414-Sheet3!$H$525)^2+(I414-Sheet3!$I$525)^2+(J414-Sheet3!$J$525)^2+(K414-Sheet3!$K$525)^2+(L414-Sheet3!$L$525)^2)</f>
        <v>2.7603801092868201</v>
      </c>
      <c r="O414" s="8">
        <f>SQRT((C414-Sheet3!$C$526)^2+(D414-Sheet3!$D$526)^2+(E414-Sheet3!$E$526)^2+(F414-Sheet3!$F$526)^2+(G414-Sheet3!$G$526)^2+(H414-Sheet3!$H$526)^2+(I414-Sheet3!$I$526)^2+(J414-Sheet3!$J$526)^2+(K414-Sheet3!$K$526)^2+(L414-Sheet3!$L$526)^2)</f>
        <v>3.0361994465645226</v>
      </c>
      <c r="P414" s="12">
        <f t="shared" si="6"/>
        <v>0</v>
      </c>
      <c r="Q414" s="11">
        <f>IF(P414=Sheet1!M414, 1, 0)</f>
        <v>1</v>
      </c>
    </row>
    <row r="415" spans="1:17" x14ac:dyDescent="0.35">
      <c r="A415" s="6" t="s">
        <v>436</v>
      </c>
      <c r="B415" s="6" t="s">
        <v>452</v>
      </c>
      <c r="C415" s="6">
        <v>2.6417463382054338E-2</v>
      </c>
      <c r="D415" s="6">
        <v>0.29055324195131327</v>
      </c>
      <c r="E415" s="6">
        <v>0.23879613886893963</v>
      </c>
      <c r="F415" s="6">
        <v>0.45961529350783564</v>
      </c>
      <c r="G415" s="6">
        <v>0.36967201341509293</v>
      </c>
      <c r="H415" s="6">
        <v>0.64139306127851359</v>
      </c>
      <c r="I415" s="6">
        <v>-0.7717916587943795</v>
      </c>
      <c r="J415" s="6">
        <v>-1.0322998094044806</v>
      </c>
      <c r="K415" s="6">
        <v>0.49694136497734204</v>
      </c>
      <c r="L415" s="6">
        <v>-0.35688073594403807</v>
      </c>
      <c r="N415" s="8">
        <f>SQRT((C415-Sheet3!$C$525)^2+(D415-Sheet3!$D$525)^2+(E415-Sheet3!$E$525)^2+(F415-Sheet3!$F$525)^2+(G415-Sheet3!$G$525)^2+(H415-Sheet3!$H$525)^2+(I415-Sheet3!$I$525)^2+(J415-Sheet3!$J$525)^2+(K415-Sheet3!$K$525)^2+(L415-Sheet3!$L$525)^2)</f>
        <v>1.8830226130460288</v>
      </c>
      <c r="O415" s="8">
        <f>SQRT((C415-Sheet3!$C$526)^2+(D415-Sheet3!$D$526)^2+(E415-Sheet3!$E$526)^2+(F415-Sheet3!$F$526)^2+(G415-Sheet3!$G$526)^2+(H415-Sheet3!$H$526)^2+(I415-Sheet3!$I$526)^2+(J415-Sheet3!$J$526)^2+(K415-Sheet3!$K$526)^2+(L415-Sheet3!$L$526)^2)</f>
        <v>3.5112795338157428</v>
      </c>
      <c r="P415" s="12">
        <f t="shared" si="6"/>
        <v>0</v>
      </c>
      <c r="Q415" s="11">
        <f>IF(P415=Sheet1!M415, 1, 0)</f>
        <v>1</v>
      </c>
    </row>
    <row r="416" spans="1:17" x14ac:dyDescent="0.35">
      <c r="A416" s="6" t="s">
        <v>436</v>
      </c>
      <c r="B416" s="6" t="s">
        <v>453</v>
      </c>
      <c r="C416" s="6">
        <v>3.4469593948396965E-2</v>
      </c>
      <c r="D416" s="6">
        <v>-5.3162215731022769E-2</v>
      </c>
      <c r="E416" s="6">
        <v>-7.6915806228440506E-2</v>
      </c>
      <c r="F416" s="6">
        <v>0.14223861103002047</v>
      </c>
      <c r="G416" s="6">
        <v>0.22740008820081875</v>
      </c>
      <c r="H416" s="6">
        <v>0.61122953476253905</v>
      </c>
      <c r="I416" s="6">
        <v>-0.11198346222366763</v>
      </c>
      <c r="J416" s="6">
        <v>-9.8502059334084097E-2</v>
      </c>
      <c r="K416" s="6">
        <v>-0.82070540947121928</v>
      </c>
      <c r="L416" s="6">
        <v>-0.24059208226140524</v>
      </c>
      <c r="N416" s="8">
        <f>SQRT((C416-Sheet3!$C$525)^2+(D416-Sheet3!$D$525)^2+(E416-Sheet3!$E$525)^2+(F416-Sheet3!$F$525)^2+(G416-Sheet3!$G$525)^2+(H416-Sheet3!$H$525)^2+(I416-Sheet3!$I$525)^2+(J416-Sheet3!$J$525)^2+(K416-Sheet3!$K$525)^2+(L416-Sheet3!$L$525)^2)</f>
        <v>1.5656285636470557</v>
      </c>
      <c r="O416" s="8">
        <f>SQRT((C416-Sheet3!$C$526)^2+(D416-Sheet3!$D$526)^2+(E416-Sheet3!$E$526)^2+(F416-Sheet3!$F$526)^2+(G416-Sheet3!$G$526)^2+(H416-Sheet3!$H$526)^2+(I416-Sheet3!$I$526)^2+(J416-Sheet3!$J$526)^2+(K416-Sheet3!$K$526)^2+(L416-Sheet3!$L$526)^2)</f>
        <v>2.9153091736840211</v>
      </c>
      <c r="P416" s="12">
        <f t="shared" si="6"/>
        <v>0</v>
      </c>
      <c r="Q416" s="11">
        <f>IF(P416=Sheet1!M416, 1, 0)</f>
        <v>1</v>
      </c>
    </row>
    <row r="417" spans="1:17" x14ac:dyDescent="0.35">
      <c r="A417" s="6" t="s">
        <v>436</v>
      </c>
      <c r="B417" s="6" t="s">
        <v>454</v>
      </c>
      <c r="C417" s="6">
        <v>-4.2297183908844934E-4</v>
      </c>
      <c r="D417" s="6">
        <v>4.5042200749644663E-2</v>
      </c>
      <c r="E417" s="6">
        <v>-1.0649431536627154</v>
      </c>
      <c r="F417" s="6">
        <v>-6.7291625945624156E-2</v>
      </c>
      <c r="G417" s="6">
        <v>1.0868386568421351</v>
      </c>
      <c r="H417" s="6">
        <v>0.35268502176847366</v>
      </c>
      <c r="I417" s="6">
        <v>-0.86486605174058673</v>
      </c>
      <c r="J417" s="6">
        <v>-0.74760537340740851</v>
      </c>
      <c r="K417" s="6">
        <v>1.3341634841340873</v>
      </c>
      <c r="L417" s="6">
        <v>-0.35904105098030498</v>
      </c>
      <c r="N417" s="8">
        <f>SQRT((C417-Sheet3!$C$525)^2+(D417-Sheet3!$D$525)^2+(E417-Sheet3!$E$525)^2+(F417-Sheet3!$F$525)^2+(G417-Sheet3!$G$525)^2+(H417-Sheet3!$H$525)^2+(I417-Sheet3!$I$525)^2+(J417-Sheet3!$J$525)^2+(K417-Sheet3!$K$525)^2+(L417-Sheet3!$L$525)^2)</f>
        <v>2.2118090546840627</v>
      </c>
      <c r="O417" s="8">
        <f>SQRT((C417-Sheet3!$C$526)^2+(D417-Sheet3!$D$526)^2+(E417-Sheet3!$E$526)^2+(F417-Sheet3!$F$526)^2+(G417-Sheet3!$G$526)^2+(H417-Sheet3!$H$526)^2+(I417-Sheet3!$I$526)^2+(J417-Sheet3!$J$526)^2+(K417-Sheet3!$K$526)^2+(L417-Sheet3!$L$526)^2)</f>
        <v>4.4306279555220565</v>
      </c>
      <c r="P417" s="12">
        <f t="shared" si="6"/>
        <v>0</v>
      </c>
      <c r="Q417" s="11">
        <f>IF(P417=Sheet1!M417, 1, 0)</f>
        <v>1</v>
      </c>
    </row>
    <row r="418" spans="1:17" x14ac:dyDescent="0.35">
      <c r="A418" s="6" t="s">
        <v>436</v>
      </c>
      <c r="B418" s="6" t="s">
        <v>455</v>
      </c>
      <c r="C418" s="6">
        <v>0.17672390062045304</v>
      </c>
      <c r="D418" s="6">
        <v>-0.35391324120306611</v>
      </c>
      <c r="E418" s="6">
        <v>0.51987923584595364</v>
      </c>
      <c r="F418" s="6">
        <v>1.4363539934590509E-2</v>
      </c>
      <c r="G418" s="6">
        <v>-0.28652094777726311</v>
      </c>
      <c r="H418" s="6">
        <v>0.88970352063323066</v>
      </c>
      <c r="I418" s="6">
        <v>-7.0546232487342347E-2</v>
      </c>
      <c r="J418" s="6">
        <v>-0.4363394567172762</v>
      </c>
      <c r="K418" s="6">
        <v>-1.000669042560987</v>
      </c>
      <c r="L418" s="6">
        <v>-0.28150977253875203</v>
      </c>
      <c r="N418" s="8">
        <f>SQRT((C418-Sheet3!$C$525)^2+(D418-Sheet3!$D$525)^2+(E418-Sheet3!$E$525)^2+(F418-Sheet3!$F$525)^2+(G418-Sheet3!$G$525)^2+(H418-Sheet3!$H$525)^2+(I418-Sheet3!$I$525)^2+(J418-Sheet3!$J$525)^2+(K418-Sheet3!$K$525)^2+(L418-Sheet3!$L$525)^2)</f>
        <v>1.8878505931426601</v>
      </c>
      <c r="O418" s="8">
        <f>SQRT((C418-Sheet3!$C$526)^2+(D418-Sheet3!$D$526)^2+(E418-Sheet3!$E$526)^2+(F418-Sheet3!$F$526)^2+(G418-Sheet3!$G$526)^2+(H418-Sheet3!$H$526)^2+(I418-Sheet3!$I$526)^2+(J418-Sheet3!$J$526)^2+(K418-Sheet3!$K$526)^2+(L418-Sheet3!$L$526)^2)</f>
        <v>3.2728728280888277</v>
      </c>
      <c r="P418" s="12">
        <f t="shared" si="6"/>
        <v>0</v>
      </c>
      <c r="Q418" s="11">
        <f>IF(P418=Sheet1!M418, 1, 0)</f>
        <v>1</v>
      </c>
    </row>
    <row r="419" spans="1:17" x14ac:dyDescent="0.35">
      <c r="A419" s="6" t="s">
        <v>436</v>
      </c>
      <c r="B419" s="6" t="s">
        <v>456</v>
      </c>
      <c r="C419" s="6">
        <v>-0.7157205704825399</v>
      </c>
      <c r="D419" s="6">
        <v>0.22917548165089638</v>
      </c>
      <c r="E419" s="6">
        <v>0.94353003731851748</v>
      </c>
      <c r="F419" s="6">
        <v>0.52586382431631262</v>
      </c>
      <c r="G419" s="6">
        <v>0.28256675307982132</v>
      </c>
      <c r="H419" s="6">
        <v>0.842842327653056</v>
      </c>
      <c r="I419" s="6">
        <v>-0.38419418679921724</v>
      </c>
      <c r="J419" s="6">
        <v>-3.7767246321375333E-2</v>
      </c>
      <c r="K419" s="6">
        <v>0.57518642284245847</v>
      </c>
      <c r="L419" s="6">
        <v>-0.12398216767400883</v>
      </c>
      <c r="N419" s="8">
        <f>SQRT((C419-Sheet3!$C$525)^2+(D419-Sheet3!$D$525)^2+(E419-Sheet3!$E$525)^2+(F419-Sheet3!$F$525)^2+(G419-Sheet3!$G$525)^2+(H419-Sheet3!$H$525)^2+(I419-Sheet3!$I$525)^2+(J419-Sheet3!$J$525)^2+(K419-Sheet3!$K$525)^2+(L419-Sheet3!$L$525)^2)</f>
        <v>2.3258589545787332</v>
      </c>
      <c r="O419" s="8">
        <f>SQRT((C419-Sheet3!$C$526)^2+(D419-Sheet3!$D$526)^2+(E419-Sheet3!$E$526)^2+(F419-Sheet3!$F$526)^2+(G419-Sheet3!$G$526)^2+(H419-Sheet3!$H$526)^2+(I419-Sheet3!$I$526)^2+(J419-Sheet3!$J$526)^2+(K419-Sheet3!$K$526)^2+(L419-Sheet3!$L$526)^2)</f>
        <v>2.5471196329825205</v>
      </c>
      <c r="P419" s="12">
        <f t="shared" si="6"/>
        <v>0</v>
      </c>
      <c r="Q419" s="11">
        <f>IF(P419=Sheet1!M419, 1, 0)</f>
        <v>1</v>
      </c>
    </row>
    <row r="420" spans="1:17" x14ac:dyDescent="0.35">
      <c r="A420" s="6" t="s">
        <v>436</v>
      </c>
      <c r="B420" s="6" t="s">
        <v>457</v>
      </c>
      <c r="C420" s="6">
        <v>-3.7999581148688066E-2</v>
      </c>
      <c r="D420" s="6">
        <v>-0.11453997603143964</v>
      </c>
      <c r="E420" s="6">
        <v>-0.80706875276637213</v>
      </c>
      <c r="F420" s="6">
        <v>-2.723437475910305E-2</v>
      </c>
      <c r="G420" s="6">
        <v>1.0897421655199746</v>
      </c>
      <c r="H420" s="6">
        <v>0.56113653536993924</v>
      </c>
      <c r="I420" s="6">
        <v>-0.78645406316261779</v>
      </c>
      <c r="J420" s="6">
        <v>-0.92980981244553462</v>
      </c>
      <c r="K420" s="6">
        <v>0.32793203998869075</v>
      </c>
      <c r="L420" s="6">
        <v>-0.34700249072176714</v>
      </c>
      <c r="N420" s="8">
        <f>SQRT((C420-Sheet3!$C$525)^2+(D420-Sheet3!$D$525)^2+(E420-Sheet3!$E$525)^2+(F420-Sheet3!$F$525)^2+(G420-Sheet3!$G$525)^2+(H420-Sheet3!$H$525)^2+(I420-Sheet3!$I$525)^2+(J420-Sheet3!$J$525)^2+(K420-Sheet3!$K$525)^2+(L420-Sheet3!$L$525)^2)</f>
        <v>1.895714002817301</v>
      </c>
      <c r="O420" s="8">
        <f>SQRT((C420-Sheet3!$C$526)^2+(D420-Sheet3!$D$526)^2+(E420-Sheet3!$E$526)^2+(F420-Sheet3!$F$526)^2+(G420-Sheet3!$G$526)^2+(H420-Sheet3!$H$526)^2+(I420-Sheet3!$I$526)^2+(J420-Sheet3!$J$526)^2+(K420-Sheet3!$K$526)^2+(L420-Sheet3!$L$526)^2)</f>
        <v>4.0302808878246941</v>
      </c>
      <c r="P420" s="12">
        <f t="shared" si="6"/>
        <v>0</v>
      </c>
      <c r="Q420" s="11">
        <f>IF(P420=Sheet1!M420, 1, 0)</f>
        <v>1</v>
      </c>
    </row>
    <row r="421" spans="1:17" x14ac:dyDescent="0.35">
      <c r="A421" s="6" t="s">
        <v>436</v>
      </c>
      <c r="B421" s="6" t="s">
        <v>458</v>
      </c>
      <c r="C421" s="6">
        <v>-1.0002291838266519</v>
      </c>
      <c r="D421" s="6">
        <v>1.8372728015218238</v>
      </c>
      <c r="E421" s="6">
        <v>2.494828754710662</v>
      </c>
      <c r="F421" s="6">
        <v>1.9617622130023473</v>
      </c>
      <c r="G421" s="6">
        <v>0.71809305475616292</v>
      </c>
      <c r="H421" s="6">
        <v>0.89131942383944363</v>
      </c>
      <c r="I421" s="6">
        <v>0.92075980197396912</v>
      </c>
      <c r="J421" s="6">
        <v>3.082483772206535</v>
      </c>
      <c r="K421" s="6">
        <v>-1.5280407325718715</v>
      </c>
      <c r="L421" s="6">
        <v>2.1803690407938481</v>
      </c>
      <c r="N421" s="8">
        <f>SQRT((C421-Sheet3!$C$525)^2+(D421-Sheet3!$D$525)^2+(E421-Sheet3!$E$525)^2+(F421-Sheet3!$F$525)^2+(G421-Sheet3!$G$525)^2+(H421-Sheet3!$H$525)^2+(I421-Sheet3!$I$525)^2+(J421-Sheet3!$J$525)^2+(K421-Sheet3!$K$525)^2+(L421-Sheet3!$L$525)^2)</f>
        <v>6.6122936597004198</v>
      </c>
      <c r="O421" s="8">
        <f>SQRT((C421-Sheet3!$C$526)^2+(D421-Sheet3!$D$526)^2+(E421-Sheet3!$E$526)^2+(F421-Sheet3!$F$526)^2+(G421-Sheet3!$G$526)^2+(H421-Sheet3!$H$526)^2+(I421-Sheet3!$I$526)^2+(J421-Sheet3!$J$526)^2+(K421-Sheet3!$K$526)^2+(L421-Sheet3!$L$526)^2)</f>
        <v>3.1101904289292839</v>
      </c>
      <c r="P421" s="12">
        <f t="shared" si="6"/>
        <v>1</v>
      </c>
      <c r="Q421" s="11">
        <f>IF(P421=Sheet1!M421, 1, 0)</f>
        <v>0</v>
      </c>
    </row>
    <row r="422" spans="1:17" x14ac:dyDescent="0.35">
      <c r="A422" s="6" t="s">
        <v>436</v>
      </c>
      <c r="B422" s="6" t="s">
        <v>459</v>
      </c>
      <c r="C422" s="6">
        <v>-0.92239192168533823</v>
      </c>
      <c r="D422" s="6">
        <v>1.3585262711785708</v>
      </c>
      <c r="E422" s="6">
        <v>1.2750828384709587</v>
      </c>
      <c r="F422" s="6">
        <v>1.2761669523099801</v>
      </c>
      <c r="G422" s="6">
        <v>0.48000534317309818</v>
      </c>
      <c r="H422" s="6">
        <v>1.131550367163096</v>
      </c>
      <c r="I422" s="6">
        <v>0.88952250571120139</v>
      </c>
      <c r="J422" s="6">
        <v>0.63031569681842048</v>
      </c>
      <c r="K422" s="6">
        <v>-0.39505229468498598</v>
      </c>
      <c r="L422" s="6">
        <v>-0.35108146990886402</v>
      </c>
      <c r="N422" s="8">
        <f>SQRT((C422-Sheet3!$C$525)^2+(D422-Sheet3!$D$525)^2+(E422-Sheet3!$E$525)^2+(F422-Sheet3!$F$525)^2+(G422-Sheet3!$G$525)^2+(H422-Sheet3!$H$525)^2+(I422-Sheet3!$I$525)^2+(J422-Sheet3!$J$525)^2+(K422-Sheet3!$K$525)^2+(L422-Sheet3!$L$525)^2)</f>
        <v>3.8037540934427367</v>
      </c>
      <c r="O422" s="8">
        <f>SQRT((C422-Sheet3!$C$526)^2+(D422-Sheet3!$D$526)^2+(E422-Sheet3!$E$526)^2+(F422-Sheet3!$F$526)^2+(G422-Sheet3!$G$526)^2+(H422-Sheet3!$H$526)^2+(I422-Sheet3!$I$526)^2+(J422-Sheet3!$J$526)^2+(K422-Sheet3!$K$526)^2+(L422-Sheet3!$L$526)^2)</f>
        <v>1.3986694633610715</v>
      </c>
      <c r="P422" s="12">
        <f t="shared" si="6"/>
        <v>1</v>
      </c>
      <c r="Q422" s="11">
        <f>IF(P422=Sheet1!M422, 1, 0)</f>
        <v>0</v>
      </c>
    </row>
    <row r="423" spans="1:17" x14ac:dyDescent="0.35">
      <c r="A423" s="6" t="s">
        <v>436</v>
      </c>
      <c r="B423" s="6" t="s">
        <v>460</v>
      </c>
      <c r="C423" s="6">
        <v>-0.55467795915568396</v>
      </c>
      <c r="D423" s="6">
        <v>1.5365217760497798</v>
      </c>
      <c r="E423" s="6">
        <v>1.0286285896143106</v>
      </c>
      <c r="F423" s="6">
        <v>1.3023582319319358</v>
      </c>
      <c r="G423" s="6">
        <v>0.3667685047372492</v>
      </c>
      <c r="H423" s="6">
        <v>0.80190611309566284</v>
      </c>
      <c r="I423" s="6">
        <v>0.70656119902927417</v>
      </c>
      <c r="J423" s="6">
        <v>1.4312560434235169</v>
      </c>
      <c r="K423" s="6">
        <v>-1.4889182036393132</v>
      </c>
      <c r="L423" s="6">
        <v>-0.33841158757055206</v>
      </c>
      <c r="N423" s="8">
        <f>SQRT((C423-Sheet3!$C$525)^2+(D423-Sheet3!$D$525)^2+(E423-Sheet3!$E$525)^2+(F423-Sheet3!$F$525)^2+(G423-Sheet3!$G$525)^2+(H423-Sheet3!$H$525)^2+(I423-Sheet3!$I$525)^2+(J423-Sheet3!$J$525)^2+(K423-Sheet3!$K$525)^2+(L423-Sheet3!$L$525)^2)</f>
        <v>4.132791538055427</v>
      </c>
      <c r="O423" s="8">
        <f>SQRT((C423-Sheet3!$C$526)^2+(D423-Sheet3!$D$526)^2+(E423-Sheet3!$E$526)^2+(F423-Sheet3!$F$526)^2+(G423-Sheet3!$G$526)^2+(H423-Sheet3!$H$526)^2+(I423-Sheet3!$I$526)^2+(J423-Sheet3!$J$526)^2+(K423-Sheet3!$K$526)^2+(L423-Sheet3!$L$526)^2)</f>
        <v>1.6045140095929087</v>
      </c>
      <c r="P423" s="12">
        <f t="shared" si="6"/>
        <v>1</v>
      </c>
      <c r="Q423" s="11">
        <f>IF(P423=Sheet1!M423, 1, 0)</f>
        <v>0</v>
      </c>
    </row>
    <row r="424" spans="1:17" x14ac:dyDescent="0.35">
      <c r="A424" s="6" t="s">
        <v>461</v>
      </c>
      <c r="B424" s="6" t="s">
        <v>462</v>
      </c>
      <c r="C424" s="6">
        <v>0.22101061873533842</v>
      </c>
      <c r="D424" s="6">
        <v>-0.31708658502281611</v>
      </c>
      <c r="E424" s="6">
        <v>-1.1054662738035692</v>
      </c>
      <c r="F424" s="6">
        <v>-0.5556819577197375</v>
      </c>
      <c r="G424" s="6">
        <v>-0.36781919075684721</v>
      </c>
      <c r="H424" s="6">
        <v>0.11676315366138909</v>
      </c>
      <c r="I424" s="6">
        <v>0.81876046723840046</v>
      </c>
      <c r="J424" s="6">
        <v>-0.12127761421384972</v>
      </c>
      <c r="K424" s="6">
        <v>-0.78940738632517227</v>
      </c>
      <c r="L424" s="6">
        <v>-0.39944980129945162</v>
      </c>
      <c r="N424" s="8">
        <f>SQRT((C424-Sheet3!$C$525)^2+(D424-Sheet3!$D$525)^2+(E424-Sheet3!$E$525)^2+(F424-Sheet3!$F$525)^2+(G424-Sheet3!$G$525)^2+(H424-Sheet3!$H$525)^2+(I424-Sheet3!$I$525)^2+(J424-Sheet3!$J$525)^2+(K424-Sheet3!$K$525)^2+(L424-Sheet3!$L$525)^2)</f>
        <v>1.6679368067332105</v>
      </c>
      <c r="O424" s="8">
        <f>SQRT((C424-Sheet3!$C$526)^2+(D424-Sheet3!$D$526)^2+(E424-Sheet3!$E$526)^2+(F424-Sheet3!$F$526)^2+(G424-Sheet3!$G$526)^2+(H424-Sheet3!$H$526)^2+(I424-Sheet3!$I$526)^2+(J424-Sheet3!$J$526)^2+(K424-Sheet3!$K$526)^2+(L424-Sheet3!$L$526)^2)</f>
        <v>4.052010948135365</v>
      </c>
      <c r="P424" s="12">
        <f t="shared" si="6"/>
        <v>0</v>
      </c>
      <c r="Q424" s="11">
        <f>IF(P424=Sheet1!M424, 1, 0)</f>
        <v>1</v>
      </c>
    </row>
    <row r="425" spans="1:17" x14ac:dyDescent="0.35">
      <c r="A425" s="6" t="s">
        <v>461</v>
      </c>
      <c r="B425" s="6" t="s">
        <v>463</v>
      </c>
      <c r="C425" s="6">
        <v>0.17001379181516729</v>
      </c>
      <c r="D425" s="6">
        <v>1.4353320599436772E-2</v>
      </c>
      <c r="E425" s="6">
        <v>-0.77612382465881091</v>
      </c>
      <c r="F425" s="6">
        <v>-0.11659285817518657</v>
      </c>
      <c r="G425" s="6">
        <v>0.21868956216729157</v>
      </c>
      <c r="H425" s="6">
        <v>0.14261760496079509</v>
      </c>
      <c r="I425" s="6">
        <v>0.44391291208518358</v>
      </c>
      <c r="J425" s="6">
        <v>-3.3971320508081118E-2</v>
      </c>
      <c r="K425" s="6">
        <v>-0.46390794560628812</v>
      </c>
      <c r="L425" s="6">
        <v>-0.34966833982826817</v>
      </c>
      <c r="N425" s="8">
        <f>SQRT((C425-Sheet3!$C$525)^2+(D425-Sheet3!$D$525)^2+(E425-Sheet3!$E$525)^2+(F425-Sheet3!$F$525)^2+(G425-Sheet3!$G$525)^2+(H425-Sheet3!$H$525)^2+(I425-Sheet3!$I$525)^2+(J425-Sheet3!$J$525)^2+(K425-Sheet3!$K$525)^2+(L425-Sheet3!$L$525)^2)</f>
        <v>1.2988608486353606</v>
      </c>
      <c r="O425" s="8">
        <f>SQRT((C425-Sheet3!$C$526)^2+(D425-Sheet3!$D$526)^2+(E425-Sheet3!$E$526)^2+(F425-Sheet3!$F$526)^2+(G425-Sheet3!$G$526)^2+(H425-Sheet3!$H$526)^2+(I425-Sheet3!$I$526)^2+(J425-Sheet3!$J$526)^2+(K425-Sheet3!$K$526)^2+(L425-Sheet3!$L$526)^2)</f>
        <v>3.3477276332246695</v>
      </c>
      <c r="P425" s="12">
        <f t="shared" si="6"/>
        <v>0</v>
      </c>
      <c r="Q425" s="11">
        <f>IF(P425=Sheet1!M425, 1, 0)</f>
        <v>1</v>
      </c>
    </row>
    <row r="426" spans="1:17" x14ac:dyDescent="0.35">
      <c r="A426" s="6" t="s">
        <v>461</v>
      </c>
      <c r="B426" s="6" t="s">
        <v>464</v>
      </c>
      <c r="C426" s="6">
        <v>0.10157068200125358</v>
      </c>
      <c r="D426" s="6">
        <v>0.47468652285256496</v>
      </c>
      <c r="E426" s="6">
        <v>-6.4022086183623345E-2</v>
      </c>
      <c r="F426" s="6">
        <v>0.23930041198197502</v>
      </c>
      <c r="G426" s="6">
        <v>0.1925579840667101</v>
      </c>
      <c r="H426" s="6">
        <v>0.6742497598048427</v>
      </c>
      <c r="I426" s="6">
        <v>7.416532366874598E-2</v>
      </c>
      <c r="J426" s="6">
        <v>-0.18960427885314726</v>
      </c>
      <c r="K426" s="6">
        <v>8.3807459449527055E-2</v>
      </c>
      <c r="L426" s="6">
        <v>-0.29540686108575182</v>
      </c>
      <c r="N426" s="8">
        <f>SQRT((C426-Sheet3!$C$525)^2+(D426-Sheet3!$D$525)^2+(E426-Sheet3!$E$525)^2+(F426-Sheet3!$F$525)^2+(G426-Sheet3!$G$525)^2+(H426-Sheet3!$H$525)^2+(I426-Sheet3!$I$525)^2+(J426-Sheet3!$J$525)^2+(K426-Sheet3!$K$525)^2+(L426-Sheet3!$L$525)^2)</f>
        <v>1.5072565318205893</v>
      </c>
      <c r="O426" s="8">
        <f>SQRT((C426-Sheet3!$C$526)^2+(D426-Sheet3!$D$526)^2+(E426-Sheet3!$E$526)^2+(F426-Sheet3!$F$526)^2+(G426-Sheet3!$G$526)^2+(H426-Sheet3!$H$526)^2+(I426-Sheet3!$I$526)^2+(J426-Sheet3!$J$526)^2+(K426-Sheet3!$K$526)^2+(L426-Sheet3!$L$526)^2)</f>
        <v>2.804391476727004</v>
      </c>
      <c r="P426" s="12">
        <f t="shared" si="6"/>
        <v>0</v>
      </c>
      <c r="Q426" s="11">
        <f>IF(P426=Sheet1!M426, 1, 0)</f>
        <v>1</v>
      </c>
    </row>
    <row r="427" spans="1:17" x14ac:dyDescent="0.35">
      <c r="A427" s="6" t="s">
        <v>461</v>
      </c>
      <c r="B427" s="6" t="s">
        <v>465</v>
      </c>
      <c r="C427" s="6">
        <v>2.1049376337825686E-2</v>
      </c>
      <c r="D427" s="6">
        <v>0.33965545019164695</v>
      </c>
      <c r="E427" s="6">
        <v>0.81054052485626049</v>
      </c>
      <c r="F427" s="6">
        <v>0.55975842147413724</v>
      </c>
      <c r="G427" s="6">
        <v>0.45097025639467292</v>
      </c>
      <c r="H427" s="6">
        <v>0.54659340651402255</v>
      </c>
      <c r="I427" s="6">
        <v>3.5278077300810312E-2</v>
      </c>
      <c r="J427" s="6">
        <v>-0.54642130530281074</v>
      </c>
      <c r="K427" s="6">
        <v>5.72041397753872E-2</v>
      </c>
      <c r="L427" s="6">
        <v>-6.1948013797814845E-2</v>
      </c>
      <c r="N427" s="8">
        <f>SQRT((C427-Sheet3!$C$525)^2+(D427-Sheet3!$D$525)^2+(E427-Sheet3!$E$525)^2+(F427-Sheet3!$F$525)^2+(G427-Sheet3!$G$525)^2+(H427-Sheet3!$H$525)^2+(I427-Sheet3!$I$525)^2+(J427-Sheet3!$J$525)^2+(K427-Sheet3!$K$525)^2+(L427-Sheet3!$L$525)^2)</f>
        <v>2.0006072523137783</v>
      </c>
      <c r="O427" s="8">
        <f>SQRT((C427-Sheet3!$C$526)^2+(D427-Sheet3!$D$526)^2+(E427-Sheet3!$E$526)^2+(F427-Sheet3!$F$526)^2+(G427-Sheet3!$G$526)^2+(H427-Sheet3!$H$526)^2+(I427-Sheet3!$I$526)^2+(J427-Sheet3!$J$526)^2+(K427-Sheet3!$K$526)^2+(L427-Sheet3!$L$526)^2)</f>
        <v>2.5125938262890717</v>
      </c>
      <c r="P427" s="12">
        <f t="shared" si="6"/>
        <v>0</v>
      </c>
      <c r="Q427" s="11">
        <f>IF(P427=Sheet1!M427, 1, 0)</f>
        <v>1</v>
      </c>
    </row>
    <row r="428" spans="1:17" x14ac:dyDescent="0.35">
      <c r="A428" s="6" t="s">
        <v>461</v>
      </c>
      <c r="B428" s="6" t="s">
        <v>466</v>
      </c>
      <c r="C428" s="6">
        <v>-0.12523099561740172</v>
      </c>
      <c r="D428" s="6">
        <v>-0.20046884045202393</v>
      </c>
      <c r="E428" s="6">
        <v>-0.46630615158191868</v>
      </c>
      <c r="F428" s="6">
        <v>-0.20749200509844473</v>
      </c>
      <c r="G428" s="6">
        <v>0.35225096134803863</v>
      </c>
      <c r="H428" s="6">
        <v>-2.4359059681205286E-2</v>
      </c>
      <c r="I428" s="6">
        <v>0.11815253677345998</v>
      </c>
      <c r="J428" s="6">
        <v>-1.1082183256703664</v>
      </c>
      <c r="K428" s="6">
        <v>0.39365788859538886</v>
      </c>
      <c r="L428" s="6">
        <v>-0.27808146421827878</v>
      </c>
      <c r="N428" s="8">
        <f>SQRT((C428-Sheet3!$C$525)^2+(D428-Sheet3!$D$525)^2+(E428-Sheet3!$E$525)^2+(F428-Sheet3!$F$525)^2+(G428-Sheet3!$G$525)^2+(H428-Sheet3!$H$525)^2+(I428-Sheet3!$I$525)^2+(J428-Sheet3!$J$525)^2+(K428-Sheet3!$K$525)^2+(L428-Sheet3!$L$525)^2)</f>
        <v>1.1631282688913642</v>
      </c>
      <c r="O428" s="8">
        <f>SQRT((C428-Sheet3!$C$526)^2+(D428-Sheet3!$D$526)^2+(E428-Sheet3!$E$526)^2+(F428-Sheet3!$F$526)^2+(G428-Sheet3!$G$526)^2+(H428-Sheet3!$H$526)^2+(I428-Sheet3!$I$526)^2+(J428-Sheet3!$J$526)^2+(K428-Sheet3!$K$526)^2+(L428-Sheet3!$L$526)^2)</f>
        <v>3.8981275758570999</v>
      </c>
      <c r="P428" s="12">
        <f t="shared" si="6"/>
        <v>0</v>
      </c>
      <c r="Q428" s="11">
        <f>IF(P428=Sheet1!M428, 1, 0)</f>
        <v>1</v>
      </c>
    </row>
    <row r="429" spans="1:17" x14ac:dyDescent="0.35">
      <c r="A429" s="6" t="s">
        <v>461</v>
      </c>
      <c r="B429" s="6" t="s">
        <v>467</v>
      </c>
      <c r="C429" s="6">
        <v>-0.2030682577587154</v>
      </c>
      <c r="D429" s="6">
        <v>-0.24343327266231607</v>
      </c>
      <c r="E429" s="6">
        <v>-0.74223176054100581</v>
      </c>
      <c r="F429" s="6">
        <v>-0.56646660226995338</v>
      </c>
      <c r="G429" s="6">
        <v>-0.16457358330788699</v>
      </c>
      <c r="H429" s="6">
        <v>0.28535572150960242</v>
      </c>
      <c r="I429" s="6">
        <v>0.44136292871679483</v>
      </c>
      <c r="J429" s="6">
        <v>-0.71723796690105412</v>
      </c>
      <c r="K429" s="6">
        <v>0.51728508002227158</v>
      </c>
      <c r="L429" s="6">
        <v>-0.35710339325793472</v>
      </c>
      <c r="N429" s="8">
        <f>SQRT((C429-Sheet3!$C$525)^2+(D429-Sheet3!$D$525)^2+(E429-Sheet3!$E$525)^2+(F429-Sheet3!$F$525)^2+(G429-Sheet3!$G$525)^2+(H429-Sheet3!$H$525)^2+(I429-Sheet3!$I$525)^2+(J429-Sheet3!$J$525)^2+(K429-Sheet3!$K$525)^2+(L429-Sheet3!$L$525)^2)</f>
        <v>1.1536485883547574</v>
      </c>
      <c r="O429" s="8">
        <f>SQRT((C429-Sheet3!$C$526)^2+(D429-Sheet3!$D$526)^2+(E429-Sheet3!$E$526)^2+(F429-Sheet3!$F$526)^2+(G429-Sheet3!$G$526)^2+(H429-Sheet3!$H$526)^2+(I429-Sheet3!$I$526)^2+(J429-Sheet3!$J$526)^2+(K429-Sheet3!$K$526)^2+(L429-Sheet3!$L$526)^2)</f>
        <v>4.0537892375952946</v>
      </c>
      <c r="P429" s="12">
        <f t="shared" si="6"/>
        <v>0</v>
      </c>
      <c r="Q429" s="11">
        <f>IF(P429=Sheet1!M429, 1, 0)</f>
        <v>1</v>
      </c>
    </row>
    <row r="430" spans="1:17" x14ac:dyDescent="0.35">
      <c r="A430" s="6" t="s">
        <v>461</v>
      </c>
      <c r="B430" s="6" t="s">
        <v>468</v>
      </c>
      <c r="C430" s="6">
        <v>0.35387077307999454</v>
      </c>
      <c r="D430" s="6">
        <v>-0.16977996030181494</v>
      </c>
      <c r="E430" s="6">
        <v>-0.38489151929893034</v>
      </c>
      <c r="F430" s="6">
        <v>-8.7464126730160494E-3</v>
      </c>
      <c r="G430" s="6">
        <v>0.23901412291218965</v>
      </c>
      <c r="H430" s="6">
        <v>0.41947568762527365</v>
      </c>
      <c r="I430" s="6">
        <v>0.57906203060981287</v>
      </c>
      <c r="J430" s="6">
        <v>-1.0474835126576578</v>
      </c>
      <c r="K430" s="6">
        <v>0.18239623235957309</v>
      </c>
      <c r="L430" s="6">
        <v>-0.39163838680203855</v>
      </c>
      <c r="N430" s="8">
        <f>SQRT((C430-Sheet3!$C$525)^2+(D430-Sheet3!$D$525)^2+(E430-Sheet3!$E$525)^2+(F430-Sheet3!$F$525)^2+(G430-Sheet3!$G$525)^2+(H430-Sheet3!$H$525)^2+(I430-Sheet3!$I$525)^2+(J430-Sheet3!$J$525)^2+(K430-Sheet3!$K$525)^2+(L430-Sheet3!$L$525)^2)</f>
        <v>1.4176318220782298</v>
      </c>
      <c r="O430" s="8">
        <f>SQRT((C430-Sheet3!$C$526)^2+(D430-Sheet3!$D$526)^2+(E430-Sheet3!$E$526)^2+(F430-Sheet3!$F$526)^2+(G430-Sheet3!$G$526)^2+(H430-Sheet3!$H$526)^2+(I430-Sheet3!$I$526)^2+(J430-Sheet3!$J$526)^2+(K430-Sheet3!$K$526)^2+(L430-Sheet3!$L$526)^2)</f>
        <v>3.7480604285062649</v>
      </c>
      <c r="P430" s="12">
        <f t="shared" si="6"/>
        <v>0</v>
      </c>
      <c r="Q430" s="11">
        <f>IF(P430=Sheet1!M430, 1, 0)</f>
        <v>1</v>
      </c>
    </row>
    <row r="431" spans="1:17" x14ac:dyDescent="0.35">
      <c r="A431" s="6" t="s">
        <v>461</v>
      </c>
      <c r="B431" s="6" t="s">
        <v>469</v>
      </c>
      <c r="C431" s="6">
        <v>0.20356433584159561</v>
      </c>
      <c r="D431" s="6">
        <v>-0.13295330412156439</v>
      </c>
      <c r="E431" s="6">
        <v>-2.9761630064537754E-2</v>
      </c>
      <c r="F431" s="6">
        <v>-6.5750962438449509E-2</v>
      </c>
      <c r="G431" s="6">
        <v>0.20417201877808103</v>
      </c>
      <c r="H431" s="6">
        <v>0.48357318147171974</v>
      </c>
      <c r="I431" s="6">
        <v>0.12006502429975198</v>
      </c>
      <c r="J431" s="6">
        <v>-0.71344204108775977</v>
      </c>
      <c r="K431" s="6">
        <v>1.6111509889766009</v>
      </c>
      <c r="L431" s="6">
        <v>-0.32259048574806409</v>
      </c>
      <c r="N431" s="8">
        <f>SQRT((C431-Sheet3!$C$525)^2+(D431-Sheet3!$D$525)^2+(E431-Sheet3!$E$525)^2+(F431-Sheet3!$F$525)^2+(G431-Sheet3!$G$525)^2+(H431-Sheet3!$H$525)^2+(I431-Sheet3!$I$525)^2+(J431-Sheet3!$J$525)^2+(K431-Sheet3!$K$525)^2+(L431-Sheet3!$L$525)^2)</f>
        <v>1.8125469320197725</v>
      </c>
      <c r="O431" s="8">
        <f>SQRT((C431-Sheet3!$C$526)^2+(D431-Sheet3!$D$526)^2+(E431-Sheet3!$E$526)^2+(F431-Sheet3!$F$526)^2+(G431-Sheet3!$G$526)^2+(H431-Sheet3!$H$526)^2+(I431-Sheet3!$I$526)^2+(J431-Sheet3!$J$526)^2+(K431-Sheet3!$K$526)^2+(L431-Sheet3!$L$526)^2)</f>
        <v>3.9872146171145033</v>
      </c>
      <c r="P431" s="12">
        <f t="shared" si="6"/>
        <v>0</v>
      </c>
      <c r="Q431" s="11">
        <f>IF(P431=Sheet1!M431, 1, 0)</f>
        <v>1</v>
      </c>
    </row>
    <row r="432" spans="1:17" x14ac:dyDescent="0.35">
      <c r="A432" s="6" t="s">
        <v>461</v>
      </c>
      <c r="B432" s="6" t="s">
        <v>470</v>
      </c>
      <c r="C432" s="6">
        <v>0.35118672955788033</v>
      </c>
      <c r="D432" s="6">
        <v>0.3028287940113964</v>
      </c>
      <c r="E432" s="6">
        <v>-1.0421028495833249</v>
      </c>
      <c r="F432" s="6">
        <v>-0.28452518045713765</v>
      </c>
      <c r="G432" s="6">
        <v>0.36967201341509293</v>
      </c>
      <c r="H432" s="6">
        <v>-0.41863944199715492</v>
      </c>
      <c r="I432" s="6">
        <v>0.4273380201906542</v>
      </c>
      <c r="J432" s="6">
        <v>-0.78176870572705714</v>
      </c>
      <c r="K432" s="6">
        <v>0.96484681101073766</v>
      </c>
      <c r="L432" s="6">
        <v>-0.40999123350424566</v>
      </c>
      <c r="N432" s="8">
        <f>SQRT((C432-Sheet3!$C$525)^2+(D432-Sheet3!$D$525)^2+(E432-Sheet3!$E$525)^2+(F432-Sheet3!$F$525)^2+(G432-Sheet3!$G$525)^2+(H432-Sheet3!$H$525)^2+(I432-Sheet3!$I$525)^2+(J432-Sheet3!$J$525)^2+(K432-Sheet3!$K$525)^2+(L432-Sheet3!$L$525)^2)</f>
        <v>1.6237077599055374</v>
      </c>
      <c r="O432" s="8">
        <f>SQRT((C432-Sheet3!$C$526)^2+(D432-Sheet3!$D$526)^2+(E432-Sheet3!$E$526)^2+(F432-Sheet3!$F$526)^2+(G432-Sheet3!$G$526)^2+(H432-Sheet3!$H$526)^2+(I432-Sheet3!$I$526)^2+(J432-Sheet3!$J$526)^2+(K432-Sheet3!$K$526)^2+(L432-Sheet3!$L$526)^2)</f>
        <v>4.2606929172063479</v>
      </c>
      <c r="P432" s="12">
        <f t="shared" si="6"/>
        <v>0</v>
      </c>
      <c r="Q432" s="11">
        <f>IF(P432=Sheet1!M432, 1, 0)</f>
        <v>1</v>
      </c>
    </row>
    <row r="433" spans="1:17" x14ac:dyDescent="0.35">
      <c r="A433" s="6" t="s">
        <v>461</v>
      </c>
      <c r="B433" s="6" t="s">
        <v>471</v>
      </c>
      <c r="C433" s="6">
        <v>0.27469148917762376</v>
      </c>
      <c r="D433" s="6">
        <v>0.5299265071229402</v>
      </c>
      <c r="E433" s="6">
        <v>-0.42136232742569885</v>
      </c>
      <c r="F433" s="6">
        <v>4.6717473585242759E-2</v>
      </c>
      <c r="G433" s="6">
        <v>-3.6819201482827475E-2</v>
      </c>
      <c r="H433" s="6">
        <v>-3.3515844516411868E-2</v>
      </c>
      <c r="I433" s="6">
        <v>-0.25988249759024229</v>
      </c>
      <c r="J433" s="6">
        <v>-0.64511537644846251</v>
      </c>
      <c r="K433" s="6">
        <v>0.17770152888766591</v>
      </c>
      <c r="L433" s="6">
        <v>-0.39713574071929858</v>
      </c>
      <c r="N433" s="8">
        <f>SQRT((C433-Sheet3!$C$525)^2+(D433-Sheet3!$D$525)^2+(E433-Sheet3!$E$525)^2+(F433-Sheet3!$F$525)^2+(G433-Sheet3!$G$525)^2+(H433-Sheet3!$H$525)^2+(I433-Sheet3!$I$525)^2+(J433-Sheet3!$J$525)^2+(K433-Sheet3!$K$525)^2+(L433-Sheet3!$L$525)^2)</f>
        <v>1.0806832178582961</v>
      </c>
      <c r="O433" s="8">
        <f>SQRT((C433-Sheet3!$C$526)^2+(D433-Sheet3!$D$526)^2+(E433-Sheet3!$E$526)^2+(F433-Sheet3!$F$526)^2+(G433-Sheet3!$G$526)^2+(H433-Sheet3!$H$526)^2+(I433-Sheet3!$I$526)^2+(J433-Sheet3!$J$526)^2+(K433-Sheet3!$K$526)^2+(L433-Sheet3!$L$526)^2)</f>
        <v>3.5733532648743105</v>
      </c>
      <c r="P433" s="12">
        <f t="shared" si="6"/>
        <v>0</v>
      </c>
      <c r="Q433" s="11">
        <f>IF(P433=Sheet1!M433, 1, 0)</f>
        <v>1</v>
      </c>
    </row>
    <row r="434" spans="1:17" x14ac:dyDescent="0.35">
      <c r="A434" s="6" t="s">
        <v>461</v>
      </c>
      <c r="B434" s="6" t="s">
        <v>472</v>
      </c>
      <c r="C434" s="6">
        <v>0.2787175544607951</v>
      </c>
      <c r="D434" s="6">
        <v>-0.36618879326314979</v>
      </c>
      <c r="E434" s="6">
        <v>-0.94742610525423887</v>
      </c>
      <c r="F434" s="6">
        <v>-0.33382641268670005</v>
      </c>
      <c r="G434" s="6">
        <v>0.91843515352727934</v>
      </c>
      <c r="H434" s="6">
        <v>0.60368865313354547</v>
      </c>
      <c r="I434" s="6">
        <v>0.55674967613640747</v>
      </c>
      <c r="J434" s="6">
        <v>-0.61474796994210812</v>
      </c>
      <c r="K434" s="6">
        <v>0.83339511379734366</v>
      </c>
      <c r="L434" s="6">
        <v>-0.38760510501973633</v>
      </c>
      <c r="N434" s="8">
        <f>SQRT((C434-Sheet3!$C$525)^2+(D434-Sheet3!$D$525)^2+(E434-Sheet3!$E$525)^2+(F434-Sheet3!$F$525)^2+(G434-Sheet3!$G$525)^2+(H434-Sheet3!$H$525)^2+(I434-Sheet3!$I$525)^2+(J434-Sheet3!$J$525)^2+(K434-Sheet3!$K$525)^2+(L434-Sheet3!$L$525)^2)</f>
        <v>1.8872907427978156</v>
      </c>
      <c r="O434" s="8">
        <f>SQRT((C434-Sheet3!$C$526)^2+(D434-Sheet3!$D$526)^2+(E434-Sheet3!$E$526)^2+(F434-Sheet3!$F$526)^2+(G434-Sheet3!$G$526)^2+(H434-Sheet3!$H$526)^2+(I434-Sheet3!$I$526)^2+(J434-Sheet3!$J$526)^2+(K434-Sheet3!$K$526)^2+(L434-Sheet3!$L$526)^2)</f>
        <v>4.0866194667632518</v>
      </c>
      <c r="P434" s="12">
        <f t="shared" si="6"/>
        <v>0</v>
      </c>
      <c r="Q434" s="11">
        <f>IF(P434=Sheet1!M434, 1, 0)</f>
        <v>1</v>
      </c>
    </row>
    <row r="435" spans="1:17" x14ac:dyDescent="0.35">
      <c r="A435" s="6" t="s">
        <v>461</v>
      </c>
      <c r="B435" s="6" t="s">
        <v>473</v>
      </c>
      <c r="C435" s="6">
        <v>0.74305708378656277</v>
      </c>
      <c r="D435" s="6">
        <v>0.60357981948344031</v>
      </c>
      <c r="E435" s="6">
        <v>-1.3213439865539365</v>
      </c>
      <c r="F435" s="6">
        <v>-0.64658110464299345</v>
      </c>
      <c r="G435" s="6">
        <v>-0.35620515604547631</v>
      </c>
      <c r="H435" s="6">
        <v>6.343834785636257E-2</v>
      </c>
      <c r="I435" s="6">
        <v>0.80601055039645408</v>
      </c>
      <c r="J435" s="6">
        <v>-1.2258920258824895</v>
      </c>
      <c r="K435" s="6">
        <v>0.20273994740450488</v>
      </c>
      <c r="L435" s="6">
        <v>-0.43655914466537615</v>
      </c>
      <c r="N435" s="8">
        <f>SQRT((C435-Sheet3!$C$525)^2+(D435-Sheet3!$D$525)^2+(E435-Sheet3!$E$525)^2+(F435-Sheet3!$F$525)^2+(G435-Sheet3!$G$525)^2+(H435-Sheet3!$H$525)^2+(I435-Sheet3!$I$525)^2+(J435-Sheet3!$J$525)^2+(K435-Sheet3!$K$525)^2+(L435-Sheet3!$L$525)^2)</f>
        <v>2.0367519433270105</v>
      </c>
      <c r="O435" s="8">
        <f>SQRT((C435-Sheet3!$C$526)^2+(D435-Sheet3!$D$526)^2+(E435-Sheet3!$E$526)^2+(F435-Sheet3!$F$526)^2+(G435-Sheet3!$G$526)^2+(H435-Sheet3!$H$526)^2+(I435-Sheet3!$I$526)^2+(J435-Sheet3!$J$526)^2+(K435-Sheet3!$K$526)^2+(L435-Sheet3!$L$526)^2)</f>
        <v>4.670299467942078</v>
      </c>
      <c r="P435" s="12">
        <f t="shared" si="6"/>
        <v>0</v>
      </c>
      <c r="Q435" s="11">
        <f>IF(P435=Sheet1!M435, 1, 0)</f>
        <v>1</v>
      </c>
    </row>
    <row r="436" spans="1:17" x14ac:dyDescent="0.35">
      <c r="A436" s="6" t="s">
        <v>461</v>
      </c>
      <c r="B436" s="6" t="s">
        <v>474</v>
      </c>
      <c r="C436" s="6">
        <v>0.22637870577956709</v>
      </c>
      <c r="D436" s="6">
        <v>-0.69762869888540213</v>
      </c>
      <c r="E436" s="6">
        <v>-1.0398924975756421</v>
      </c>
      <c r="F436" s="6">
        <v>-0.68509769232233986</v>
      </c>
      <c r="G436" s="6">
        <v>0.20126851010023725</v>
      </c>
      <c r="H436" s="6">
        <v>-0.22473105725160605</v>
      </c>
      <c r="I436" s="6">
        <v>0.64026163145115478</v>
      </c>
      <c r="J436" s="6">
        <v>-0.84250351873976592</v>
      </c>
      <c r="K436" s="6">
        <v>0.39052808628078256</v>
      </c>
      <c r="L436" s="6">
        <v>-0.4186855878905491</v>
      </c>
      <c r="N436" s="8">
        <f>SQRT((C436-Sheet3!$C$525)^2+(D436-Sheet3!$D$525)^2+(E436-Sheet3!$E$525)^2+(F436-Sheet3!$F$525)^2+(G436-Sheet3!$G$525)^2+(H436-Sheet3!$H$525)^2+(I436-Sheet3!$I$525)^2+(J436-Sheet3!$J$525)^2+(K436-Sheet3!$K$525)^2+(L436-Sheet3!$L$525)^2)</f>
        <v>1.4056115079052569</v>
      </c>
      <c r="O436" s="8">
        <f>SQRT((C436-Sheet3!$C$526)^2+(D436-Sheet3!$D$526)^2+(E436-Sheet3!$E$526)^2+(F436-Sheet3!$F$526)^2+(G436-Sheet3!$G$526)^2+(H436-Sheet3!$H$526)^2+(I436-Sheet3!$I$526)^2+(J436-Sheet3!$J$526)^2+(K436-Sheet3!$K$526)^2+(L436-Sheet3!$L$526)^2)</f>
        <v>4.5300854610178876</v>
      </c>
      <c r="P436" s="12">
        <f t="shared" si="6"/>
        <v>0</v>
      </c>
      <c r="Q436" s="11">
        <f>IF(P436=Sheet1!M436, 1, 0)</f>
        <v>1</v>
      </c>
    </row>
    <row r="437" spans="1:17" x14ac:dyDescent="0.35">
      <c r="A437" s="6" t="s">
        <v>461</v>
      </c>
      <c r="B437" s="6" t="s">
        <v>475</v>
      </c>
      <c r="C437" s="6">
        <v>0.47331070981407941</v>
      </c>
      <c r="D437" s="6">
        <v>-0.69149092285536051</v>
      </c>
      <c r="E437" s="6">
        <v>-1.1349376339060084</v>
      </c>
      <c r="F437" s="6">
        <v>-0.8283793984895097</v>
      </c>
      <c r="G437" s="6">
        <v>-0.57106479820580747</v>
      </c>
      <c r="H437" s="6">
        <v>0.50134811674006163</v>
      </c>
      <c r="I437" s="6">
        <v>0.44710039129567081</v>
      </c>
      <c r="J437" s="6">
        <v>-0.48948241810339638</v>
      </c>
      <c r="K437" s="6">
        <v>-0.86608754303298674</v>
      </c>
      <c r="L437" s="6">
        <v>-0.42216381440949263</v>
      </c>
      <c r="N437" s="8">
        <f>SQRT((C437-Sheet3!$C$525)^2+(D437-Sheet3!$D$525)^2+(E437-Sheet3!$E$525)^2+(F437-Sheet3!$F$525)^2+(G437-Sheet3!$G$525)^2+(H437-Sheet3!$H$525)^2+(I437-Sheet3!$I$525)^2+(J437-Sheet3!$J$525)^2+(K437-Sheet3!$K$525)^2+(L437-Sheet3!$L$525)^2)</f>
        <v>1.7818830401953991</v>
      </c>
      <c r="O437" s="8">
        <f>SQRT((C437-Sheet3!$C$526)^2+(D437-Sheet3!$D$526)^2+(E437-Sheet3!$E$526)^2+(F437-Sheet3!$F$526)^2+(G437-Sheet3!$G$526)^2+(H437-Sheet3!$H$526)^2+(I437-Sheet3!$I$526)^2+(J437-Sheet3!$J$526)^2+(K437-Sheet3!$K$526)^2+(L437-Sheet3!$L$526)^2)</f>
        <v>4.5646775728011981</v>
      </c>
      <c r="P437" s="12">
        <f t="shared" si="6"/>
        <v>0</v>
      </c>
      <c r="Q437" s="11">
        <f>IF(P437=Sheet1!M437, 1, 0)</f>
        <v>1</v>
      </c>
    </row>
    <row r="438" spans="1:17" x14ac:dyDescent="0.35">
      <c r="A438" s="6" t="s">
        <v>461</v>
      </c>
      <c r="B438" s="6" t="s">
        <v>476</v>
      </c>
      <c r="C438" s="6">
        <v>0.31495214200933758</v>
      </c>
      <c r="D438" s="6">
        <v>-0.55032207416440093</v>
      </c>
      <c r="E438" s="6">
        <v>-1.1220439138611913</v>
      </c>
      <c r="F438" s="6">
        <v>-0.76059020417386036</v>
      </c>
      <c r="G438" s="6">
        <v>-0.57106479820580747</v>
      </c>
      <c r="H438" s="6">
        <v>0.53959115928710022</v>
      </c>
      <c r="I438" s="6">
        <v>0.70018624060830148</v>
      </c>
      <c r="J438" s="6">
        <v>-0.43254353090398201</v>
      </c>
      <c r="K438" s="6">
        <v>0.61587385293231978</v>
      </c>
      <c r="L438" s="6">
        <v>-0.41547408627887761</v>
      </c>
      <c r="N438" s="8">
        <f>SQRT((C438-Sheet3!$C$525)^2+(D438-Sheet3!$D$525)^2+(E438-Sheet3!$E$525)^2+(F438-Sheet3!$F$525)^2+(G438-Sheet3!$G$525)^2+(H438-Sheet3!$H$525)^2+(I438-Sheet3!$I$525)^2+(J438-Sheet3!$J$525)^2+(K438-Sheet3!$K$525)^2+(L438-Sheet3!$L$525)^2)</f>
        <v>1.5836128784766716</v>
      </c>
      <c r="O438" s="8">
        <f>SQRT((C438-Sheet3!$C$526)^2+(D438-Sheet3!$D$526)^2+(E438-Sheet3!$E$526)^2+(F438-Sheet3!$F$526)^2+(G438-Sheet3!$G$526)^2+(H438-Sheet3!$H$526)^2+(I438-Sheet3!$I$526)^2+(J438-Sheet3!$J$526)^2+(K438-Sheet3!$K$526)^2+(L438-Sheet3!$L$526)^2)</f>
        <v>4.5538313669146318</v>
      </c>
      <c r="P438" s="12">
        <f t="shared" si="6"/>
        <v>0</v>
      </c>
      <c r="Q438" s="11">
        <f>IF(P438=Sheet1!M438, 1, 0)</f>
        <v>1</v>
      </c>
    </row>
    <row r="439" spans="1:17" x14ac:dyDescent="0.35">
      <c r="A439" s="6" t="s">
        <v>461</v>
      </c>
      <c r="B439" s="6" t="s">
        <v>477</v>
      </c>
      <c r="C439" s="6">
        <v>-0.99351907502136627</v>
      </c>
      <c r="D439" s="6">
        <v>2.5001526127663283</v>
      </c>
      <c r="E439" s="6">
        <v>1.485066279200838</v>
      </c>
      <c r="F439" s="6">
        <v>2.1913210755712536</v>
      </c>
      <c r="G439" s="6">
        <v>1.2116895299893509</v>
      </c>
      <c r="H439" s="6">
        <v>1.0432143252234567</v>
      </c>
      <c r="I439" s="6">
        <v>0.87358510965876879</v>
      </c>
      <c r="J439" s="6">
        <v>4.953904738439361E-2</v>
      </c>
      <c r="K439" s="6">
        <v>-0.64543647985335773</v>
      </c>
      <c r="L439" s="6">
        <v>-0.10027294574231024</v>
      </c>
      <c r="N439" s="8">
        <f>SQRT((C439-Sheet3!$C$525)^2+(D439-Sheet3!$D$525)^2+(E439-Sheet3!$E$525)^2+(F439-Sheet3!$F$525)^2+(G439-Sheet3!$G$525)^2+(H439-Sheet3!$H$525)^2+(I439-Sheet3!$I$525)^2+(J439-Sheet3!$J$525)^2+(K439-Sheet3!$K$525)^2+(L439-Sheet3!$L$525)^2)</f>
        <v>5.0352012879049539</v>
      </c>
      <c r="O439" s="8">
        <f>SQRT((C439-Sheet3!$C$526)^2+(D439-Sheet3!$D$526)^2+(E439-Sheet3!$E$526)^2+(F439-Sheet3!$F$526)^2+(G439-Sheet3!$G$526)^2+(H439-Sheet3!$H$526)^2+(I439-Sheet3!$I$526)^2+(J439-Sheet3!$J$526)^2+(K439-Sheet3!$K$526)^2+(L439-Sheet3!$L$526)^2)</f>
        <v>2.2312180836152495</v>
      </c>
      <c r="P439" s="12">
        <f t="shared" si="6"/>
        <v>1</v>
      </c>
      <c r="Q439" s="11">
        <f>IF(P439=Sheet1!M439, 1, 0)</f>
        <v>0</v>
      </c>
    </row>
    <row r="440" spans="1:17" x14ac:dyDescent="0.35">
      <c r="A440" s="6" t="s">
        <v>461</v>
      </c>
      <c r="B440" s="6" t="s">
        <v>478</v>
      </c>
      <c r="C440" s="6">
        <v>-0.60299074255374074</v>
      </c>
      <c r="D440" s="6">
        <v>1.5181084479596552</v>
      </c>
      <c r="E440" s="6">
        <v>6.565189826710921E-2</v>
      </c>
      <c r="F440" s="6">
        <v>0.97573756841107939</v>
      </c>
      <c r="G440" s="6">
        <v>0.46258429110604382</v>
      </c>
      <c r="H440" s="6">
        <v>1.0491393036462382</v>
      </c>
      <c r="I440" s="6">
        <v>0.92649726455284509</v>
      </c>
      <c r="J440" s="6">
        <v>0.68725458401783501</v>
      </c>
      <c r="K440" s="6">
        <v>-8.0507162067217045E-2</v>
      </c>
      <c r="L440" s="6">
        <v>-0.31591989745411653</v>
      </c>
      <c r="N440" s="8">
        <f>SQRT((C440-Sheet3!$C$525)^2+(D440-Sheet3!$D$525)^2+(E440-Sheet3!$E$525)^2+(F440-Sheet3!$F$525)^2+(G440-Sheet3!$G$525)^2+(H440-Sheet3!$H$525)^2+(I440-Sheet3!$I$525)^2+(J440-Sheet3!$J$525)^2+(K440-Sheet3!$K$525)^2+(L440-Sheet3!$L$525)^2)</f>
        <v>3.2711218651931948</v>
      </c>
      <c r="O440" s="8">
        <f>SQRT((C440-Sheet3!$C$526)^2+(D440-Sheet3!$D$526)^2+(E440-Sheet3!$E$526)^2+(F440-Sheet3!$F$526)^2+(G440-Sheet3!$G$526)^2+(H440-Sheet3!$H$526)^2+(I440-Sheet3!$I$526)^2+(J440-Sheet3!$J$526)^2+(K440-Sheet3!$K$526)^2+(L440-Sheet3!$L$526)^2)</f>
        <v>1.8537365054292436</v>
      </c>
      <c r="P440" s="12">
        <f t="shared" si="6"/>
        <v>1</v>
      </c>
      <c r="Q440" s="11">
        <f>IF(P440=Sheet1!M440, 1, 0)</f>
        <v>0</v>
      </c>
    </row>
    <row r="441" spans="1:17" x14ac:dyDescent="0.35">
      <c r="A441" s="6" t="s">
        <v>479</v>
      </c>
      <c r="B441" s="6" t="s">
        <v>480</v>
      </c>
      <c r="C441" s="6">
        <v>0.90275767335236168</v>
      </c>
      <c r="D441" s="6">
        <v>-0.88176197978665327</v>
      </c>
      <c r="E441" s="6">
        <v>-0.51014479973429705</v>
      </c>
      <c r="F441" s="6">
        <v>-0.5402753226479976</v>
      </c>
      <c r="G441" s="6">
        <v>-0.103599901073201</v>
      </c>
      <c r="H441" s="6">
        <v>-0.4514961405234848</v>
      </c>
      <c r="I441" s="6">
        <v>0.57842453476771516</v>
      </c>
      <c r="J441" s="6">
        <v>-0.5654009343692824</v>
      </c>
      <c r="K441" s="6">
        <v>-0.61100865439270668</v>
      </c>
      <c r="L441" s="6">
        <v>-0.38439393772835595</v>
      </c>
      <c r="N441" s="8">
        <f>SQRT((C441-Sheet3!$C$525)^2+(D441-Sheet3!$D$525)^2+(E441-Sheet3!$E$525)^2+(F441-Sheet3!$F$525)^2+(G441-Sheet3!$G$525)^2+(H441-Sheet3!$H$525)^2+(I441-Sheet3!$I$525)^2+(J441-Sheet3!$J$525)^2+(K441-Sheet3!$K$525)^2+(L441-Sheet3!$L$525)^2)</f>
        <v>1.4946861931157633</v>
      </c>
      <c r="O441" s="8">
        <f>SQRT((C441-Sheet3!$C$526)^2+(D441-Sheet3!$D$526)^2+(E441-Sheet3!$E$526)^2+(F441-Sheet3!$F$526)^2+(G441-Sheet3!$G$526)^2+(H441-Sheet3!$H$526)^2+(I441-Sheet3!$I$526)^2+(J441-Sheet3!$J$526)^2+(K441-Sheet3!$K$526)^2+(L441-Sheet3!$L$526)^2)</f>
        <v>4.3890522431302044</v>
      </c>
      <c r="P441" s="12">
        <f t="shared" si="6"/>
        <v>0</v>
      </c>
      <c r="Q441" s="11">
        <f>IF(P441=Sheet1!M441, 1, 0)</f>
        <v>1</v>
      </c>
    </row>
    <row r="442" spans="1:17" x14ac:dyDescent="0.35">
      <c r="A442" s="6" t="s">
        <v>479</v>
      </c>
      <c r="B442" s="6" t="s">
        <v>481</v>
      </c>
      <c r="C442" s="6">
        <v>0.75379325787502005</v>
      </c>
      <c r="D442" s="6">
        <v>-0.69762869888540213</v>
      </c>
      <c r="E442" s="6">
        <v>-0.33626377512990563</v>
      </c>
      <c r="F442" s="6">
        <v>-0.39853427998800234</v>
      </c>
      <c r="G442" s="6">
        <v>-0.57106479820580747</v>
      </c>
      <c r="H442" s="6">
        <v>-2.0588618866708864E-2</v>
      </c>
      <c r="I442" s="6">
        <v>0.63579916055647312</v>
      </c>
      <c r="J442" s="6">
        <v>-1.1158101772969551</v>
      </c>
      <c r="K442" s="6">
        <v>-0.67829940415670786</v>
      </c>
      <c r="L442" s="6">
        <v>-0.26916472415331522</v>
      </c>
      <c r="N442" s="8">
        <f>SQRT((C442-Sheet3!$C$525)^2+(D442-Sheet3!$D$525)^2+(E442-Sheet3!$E$525)^2+(F442-Sheet3!$F$525)^2+(G442-Sheet3!$G$525)^2+(H442-Sheet3!$H$525)^2+(I442-Sheet3!$I$525)^2+(J442-Sheet3!$J$525)^2+(K442-Sheet3!$K$525)^2+(L442-Sheet3!$L$525)^2)</f>
        <v>1.616009425639559</v>
      </c>
      <c r="O442" s="8">
        <f>SQRT((C442-Sheet3!$C$526)^2+(D442-Sheet3!$D$526)^2+(E442-Sheet3!$E$526)^2+(F442-Sheet3!$F$526)^2+(G442-Sheet3!$G$526)^2+(H442-Sheet3!$H$526)^2+(I442-Sheet3!$I$526)^2+(J442-Sheet3!$J$526)^2+(K442-Sheet3!$K$526)^2+(L442-Sheet3!$L$526)^2)</f>
        <v>4.394251986317915</v>
      </c>
      <c r="P442" s="12">
        <f t="shared" si="6"/>
        <v>0</v>
      </c>
      <c r="Q442" s="11">
        <f>IF(P442=Sheet1!M442, 1, 0)</f>
        <v>1</v>
      </c>
    </row>
    <row r="443" spans="1:17" x14ac:dyDescent="0.35">
      <c r="A443" s="6" t="s">
        <v>479</v>
      </c>
      <c r="B443" s="6" t="s">
        <v>482</v>
      </c>
      <c r="C443" s="6">
        <v>0.77929167133510524</v>
      </c>
      <c r="D443" s="6">
        <v>-0.72217980300556894</v>
      </c>
      <c r="E443" s="6">
        <v>3.1023050146743131E-2</v>
      </c>
      <c r="F443" s="6">
        <v>-0.63579646009277746</v>
      </c>
      <c r="G443" s="6">
        <v>-1.5553542399943394</v>
      </c>
      <c r="H443" s="6">
        <v>-5.829302701167615E-2</v>
      </c>
      <c r="I443" s="6">
        <v>0.50957498382120625</v>
      </c>
      <c r="J443" s="6">
        <v>-0.99054462545824329</v>
      </c>
      <c r="K443" s="6">
        <v>9.7891569865248551E-2</v>
      </c>
      <c r="L443" s="6">
        <v>-0.36065771943314812</v>
      </c>
      <c r="N443" s="8">
        <f>SQRT((C443-Sheet3!$C$525)^2+(D443-Sheet3!$D$525)^2+(E443-Sheet3!$E$525)^2+(F443-Sheet3!$F$525)^2+(G443-Sheet3!$G$525)^2+(H443-Sheet3!$H$525)^2+(I443-Sheet3!$I$525)^2+(J443-Sheet3!$J$525)^2+(K443-Sheet3!$K$525)^2+(L443-Sheet3!$L$525)^2)</f>
        <v>1.8278240325567097</v>
      </c>
      <c r="O443" s="8">
        <f>SQRT((C443-Sheet3!$C$526)^2+(D443-Sheet3!$D$526)^2+(E443-Sheet3!$E$526)^2+(F443-Sheet3!$F$526)^2+(G443-Sheet3!$G$526)^2+(H443-Sheet3!$H$526)^2+(I443-Sheet3!$I$526)^2+(J443-Sheet3!$J$526)^2+(K443-Sheet3!$K$526)^2+(L443-Sheet3!$L$526)^2)</f>
        <v>4.834815679704632</v>
      </c>
      <c r="P443" s="12">
        <f t="shared" si="6"/>
        <v>0</v>
      </c>
      <c r="Q443" s="11">
        <f>IF(P443=Sheet1!M443, 1, 0)</f>
        <v>1</v>
      </c>
    </row>
    <row r="444" spans="1:17" x14ac:dyDescent="0.35">
      <c r="A444" s="6" t="s">
        <v>479</v>
      </c>
      <c r="B444" s="6" t="s">
        <v>483</v>
      </c>
      <c r="C444" s="6">
        <v>0.54041179786693605</v>
      </c>
      <c r="D444" s="6">
        <v>-7.1575543821147503E-2</v>
      </c>
      <c r="E444" s="6">
        <v>-4.6707662123440304E-2</v>
      </c>
      <c r="F444" s="6">
        <v>4.9798800599589861E-2</v>
      </c>
      <c r="G444" s="6">
        <v>-0.33007357794489894</v>
      </c>
      <c r="H444" s="6">
        <v>-0.18810391791078049</v>
      </c>
      <c r="I444" s="6">
        <v>0.54718723850494755</v>
      </c>
      <c r="J444" s="6">
        <v>-0.61095204412881376</v>
      </c>
      <c r="K444" s="6">
        <v>-0.68455900878591602</v>
      </c>
      <c r="L444" s="6">
        <v>-0.39156005137882177</v>
      </c>
      <c r="N444" s="8">
        <f>SQRT((C444-Sheet3!$C$525)^2+(D444-Sheet3!$D$525)^2+(E444-Sheet3!$E$525)^2+(F444-Sheet3!$F$525)^2+(G444-Sheet3!$G$525)^2+(H444-Sheet3!$H$525)^2+(I444-Sheet3!$I$525)^2+(J444-Sheet3!$J$525)^2+(K444-Sheet3!$K$525)^2+(L444-Sheet3!$L$525)^2)</f>
        <v>1.3775887631054122</v>
      </c>
      <c r="O444" s="8">
        <f>SQRT((C444-Sheet3!$C$526)^2+(D444-Sheet3!$D$526)^2+(E444-Sheet3!$E$526)^2+(F444-Sheet3!$F$526)^2+(G444-Sheet3!$G$526)^2+(H444-Sheet3!$H$526)^2+(I444-Sheet3!$I$526)^2+(J444-Sheet3!$J$526)^2+(K444-Sheet3!$K$526)^2+(L444-Sheet3!$L$526)^2)</f>
        <v>3.5541970297374124</v>
      </c>
      <c r="P444" s="12">
        <f t="shared" si="6"/>
        <v>0</v>
      </c>
      <c r="Q444" s="11">
        <f>IF(P444=Sheet1!M444, 1, 0)</f>
        <v>1</v>
      </c>
    </row>
    <row r="445" spans="1:17" x14ac:dyDescent="0.35">
      <c r="A445" s="6" t="s">
        <v>479</v>
      </c>
      <c r="B445" s="6" t="s">
        <v>484</v>
      </c>
      <c r="C445" s="6">
        <v>0.66521982164524929</v>
      </c>
      <c r="D445" s="6">
        <v>-0.78969533933602742</v>
      </c>
      <c r="E445" s="6">
        <v>-0.46446419157551622</v>
      </c>
      <c r="F445" s="6">
        <v>-0.72669560701603564</v>
      </c>
      <c r="G445" s="6">
        <v>-1.0820823255060454</v>
      </c>
      <c r="H445" s="6">
        <v>9.844958399097592E-2</v>
      </c>
      <c r="I445" s="6">
        <v>6.9702852774065266E-2</v>
      </c>
      <c r="J445" s="6">
        <v>-1.0474835126576578</v>
      </c>
      <c r="K445" s="6">
        <v>-0.13997340604470707</v>
      </c>
      <c r="L445" s="6">
        <v>-0.40929018474875145</v>
      </c>
      <c r="N445" s="8">
        <f>SQRT((C445-Sheet3!$C$525)^2+(D445-Sheet3!$D$525)^2+(E445-Sheet3!$E$525)^2+(F445-Sheet3!$F$525)^2+(G445-Sheet3!$G$525)^2+(H445-Sheet3!$H$525)^2+(I445-Sheet3!$I$525)^2+(J445-Sheet3!$J$525)^2+(K445-Sheet3!$K$525)^2+(L445-Sheet3!$L$525)^2)</f>
        <v>1.4182276663638074</v>
      </c>
      <c r="O445" s="8">
        <f>SQRT((C445-Sheet3!$C$526)^2+(D445-Sheet3!$D$526)^2+(E445-Sheet3!$E$526)^2+(F445-Sheet3!$F$526)^2+(G445-Sheet3!$G$526)^2+(H445-Sheet3!$H$526)^2+(I445-Sheet3!$I$526)^2+(J445-Sheet3!$J$526)^2+(K445-Sheet3!$K$526)^2+(L445-Sheet3!$L$526)^2)</f>
        <v>4.8188969717390853</v>
      </c>
      <c r="P445" s="12">
        <f t="shared" si="6"/>
        <v>0</v>
      </c>
      <c r="Q445" s="11">
        <f>IF(P445=Sheet1!M445, 1, 0)</f>
        <v>1</v>
      </c>
    </row>
    <row r="446" spans="1:17" x14ac:dyDescent="0.35">
      <c r="A446" s="6" t="s">
        <v>479</v>
      </c>
      <c r="B446" s="6" t="s">
        <v>485</v>
      </c>
      <c r="C446" s="6">
        <v>-0.85126476834931031</v>
      </c>
      <c r="D446" s="6">
        <v>1.1866685423374022</v>
      </c>
      <c r="E446" s="6">
        <v>0.76080760468339426</v>
      </c>
      <c r="F446" s="6">
        <v>1.1529138717360718</v>
      </c>
      <c r="G446" s="6">
        <v>0.83423340186985562</v>
      </c>
      <c r="H446" s="6">
        <v>0.84553549966341146</v>
      </c>
      <c r="I446" s="6">
        <v>0.92330978534235875</v>
      </c>
      <c r="J446" s="6">
        <v>-0.19340020466644148</v>
      </c>
      <c r="K446" s="6">
        <v>-0.85982793840377758</v>
      </c>
      <c r="L446" s="6">
        <v>-0.32634770254996071</v>
      </c>
      <c r="N446" s="8">
        <f>SQRT((C446-Sheet3!$C$525)^2+(D446-Sheet3!$D$525)^2+(E446-Sheet3!$E$525)^2+(F446-Sheet3!$F$525)^2+(G446-Sheet3!$G$525)^2+(H446-Sheet3!$H$525)^2+(I446-Sheet3!$I$525)^2+(J446-Sheet3!$J$525)^2+(K446-Sheet3!$K$525)^2+(L446-Sheet3!$L$525)^2)</f>
        <v>3.4375171346682589</v>
      </c>
      <c r="O446" s="8">
        <f>SQRT((C446-Sheet3!$C$526)^2+(D446-Sheet3!$D$526)^2+(E446-Sheet3!$E$526)^2+(F446-Sheet3!$F$526)^2+(G446-Sheet3!$G$526)^2+(H446-Sheet3!$H$526)^2+(I446-Sheet3!$I$526)^2+(J446-Sheet3!$J$526)^2+(K446-Sheet3!$K$526)^2+(L446-Sheet3!$L$526)^2)</f>
        <v>1.7985165764304978</v>
      </c>
      <c r="P446" s="12">
        <f t="shared" si="6"/>
        <v>1</v>
      </c>
      <c r="Q446" s="11">
        <f>IF(P446=Sheet1!M446, 1, 0)</f>
        <v>0</v>
      </c>
    </row>
    <row r="447" spans="1:17" x14ac:dyDescent="0.35">
      <c r="A447" s="6" t="s">
        <v>486</v>
      </c>
      <c r="B447" s="6" t="s">
        <v>487</v>
      </c>
      <c r="C447" s="6">
        <v>0.27737553269973797</v>
      </c>
      <c r="D447" s="6">
        <v>0.29055324195131327</v>
      </c>
      <c r="E447" s="6">
        <v>-0.10933430234112365</v>
      </c>
      <c r="F447" s="6">
        <v>-0.40623759752387117</v>
      </c>
      <c r="G447" s="6">
        <v>-2.2899419354884336</v>
      </c>
      <c r="H447" s="6">
        <v>0.13669262653801445</v>
      </c>
      <c r="I447" s="6">
        <v>0.60328687260951019</v>
      </c>
      <c r="J447" s="6">
        <v>-0.83870759292647146</v>
      </c>
      <c r="K447" s="6">
        <v>-0.64387157869605682</v>
      </c>
      <c r="L447" s="6">
        <v>-0.38373948486343884</v>
      </c>
      <c r="N447" s="8">
        <f>SQRT((C447-Sheet3!$C$525)^2+(D447-Sheet3!$D$525)^2+(E447-Sheet3!$E$525)^2+(F447-Sheet3!$F$525)^2+(G447-Sheet3!$G$525)^2+(H447-Sheet3!$H$525)^2+(I447-Sheet3!$I$525)^2+(J447-Sheet3!$J$525)^2+(K447-Sheet3!$K$525)^2+(L447-Sheet3!$L$525)^2)</f>
        <v>2.5084221279788239</v>
      </c>
      <c r="O447" s="8">
        <f>SQRT((C447-Sheet3!$C$526)^2+(D447-Sheet3!$D$526)^2+(E447-Sheet3!$E$526)^2+(F447-Sheet3!$F$526)^2+(G447-Sheet3!$G$526)^2+(H447-Sheet3!$H$526)^2+(I447-Sheet3!$I$526)^2+(J447-Sheet3!$J$526)^2+(K447-Sheet3!$K$526)^2+(L447-Sheet3!$L$526)^2)</f>
        <v>4.6643137925896925</v>
      </c>
      <c r="P447" s="12">
        <f t="shared" si="6"/>
        <v>0</v>
      </c>
      <c r="Q447" s="11">
        <f>IF(P447=Sheet1!M447, 1, 0)</f>
        <v>1</v>
      </c>
    </row>
    <row r="448" spans="1:17" x14ac:dyDescent="0.35">
      <c r="A448" s="6" t="s">
        <v>486</v>
      </c>
      <c r="B448" s="6" t="s">
        <v>488</v>
      </c>
      <c r="C448" s="6">
        <v>0.45720644868139365</v>
      </c>
      <c r="D448" s="6">
        <v>-0.6116998344648179</v>
      </c>
      <c r="E448" s="6">
        <v>-0.65455446423624919</v>
      </c>
      <c r="F448" s="6">
        <v>-0.87768063071907221</v>
      </c>
      <c r="G448" s="6">
        <v>-2.0692752759724216</v>
      </c>
      <c r="H448" s="6">
        <v>0.49057542869864212</v>
      </c>
      <c r="I448" s="6">
        <v>-8.0108670118802308E-2</v>
      </c>
      <c r="J448" s="6">
        <v>-0.63752352482187391</v>
      </c>
      <c r="K448" s="6">
        <v>-7.5812458595309884E-2</v>
      </c>
      <c r="L448" s="6">
        <v>-0.26221336949986795</v>
      </c>
      <c r="N448" s="8">
        <f>SQRT((C448-Sheet3!$C$525)^2+(D448-Sheet3!$D$525)^2+(E448-Sheet3!$E$525)^2+(F448-Sheet3!$F$525)^2+(G448-Sheet3!$G$525)^2+(H448-Sheet3!$H$525)^2+(I448-Sheet3!$I$525)^2+(J448-Sheet3!$J$525)^2+(K448-Sheet3!$K$525)^2+(L448-Sheet3!$L$525)^2)</f>
        <v>2.0887175762032051</v>
      </c>
      <c r="O448" s="8">
        <f>SQRT((C448-Sheet3!$C$526)^2+(D448-Sheet3!$D$526)^2+(E448-Sheet3!$E$526)^2+(F448-Sheet3!$F$526)^2+(G448-Sheet3!$G$526)^2+(H448-Sheet3!$H$526)^2+(I448-Sheet3!$I$526)^2+(J448-Sheet3!$J$526)^2+(K448-Sheet3!$K$526)^2+(L448-Sheet3!$L$526)^2)</f>
        <v>5.1251986643407559</v>
      </c>
      <c r="P448" s="12">
        <f t="shared" si="6"/>
        <v>0</v>
      </c>
      <c r="Q448" s="11">
        <f>IF(P448=Sheet1!M448, 1, 0)</f>
        <v>1</v>
      </c>
    </row>
    <row r="449" spans="1:17" x14ac:dyDescent="0.35">
      <c r="A449" s="6" t="s">
        <v>486</v>
      </c>
      <c r="B449" s="6" t="s">
        <v>489</v>
      </c>
      <c r="C449" s="6">
        <v>0.2008802923194814</v>
      </c>
      <c r="D449" s="6">
        <v>-0.34163768914298293</v>
      </c>
      <c r="E449" s="6">
        <v>-0.95368876927600721</v>
      </c>
      <c r="F449" s="6">
        <v>-0.50792138899734751</v>
      </c>
      <c r="G449" s="6">
        <v>0.3725755220929326</v>
      </c>
      <c r="H449" s="6">
        <v>-0.76067228731222125</v>
      </c>
      <c r="I449" s="6">
        <v>-3.4186743951823959</v>
      </c>
      <c r="J449" s="6">
        <v>-1.0930346224171892</v>
      </c>
      <c r="K449" s="6">
        <v>1.6862662445271113</v>
      </c>
      <c r="L449" s="6">
        <v>-0.41180882845206157</v>
      </c>
      <c r="N449" s="8">
        <f>SQRT((C449-Sheet3!$C$525)^2+(D449-Sheet3!$D$525)^2+(E449-Sheet3!$E$525)^2+(F449-Sheet3!$F$525)^2+(G449-Sheet3!$G$525)^2+(H449-Sheet3!$H$525)^2+(I449-Sheet3!$I$525)^2+(J449-Sheet3!$J$525)^2+(K449-Sheet3!$K$525)^2+(L449-Sheet3!$L$525)^2)</f>
        <v>3.7711262468593425</v>
      </c>
      <c r="O449" s="8">
        <f>SQRT((C449-Sheet3!$C$526)^2+(D449-Sheet3!$D$526)^2+(E449-Sheet3!$E$526)^2+(F449-Sheet3!$F$526)^2+(G449-Sheet3!$G$526)^2+(H449-Sheet3!$H$526)^2+(I449-Sheet3!$I$526)^2+(J449-Sheet3!$J$526)^2+(K449-Sheet3!$K$526)^2+(L449-Sheet3!$L$526)^2)</f>
        <v>6.4562798165254449</v>
      </c>
      <c r="P449" s="12">
        <f t="shared" si="6"/>
        <v>0</v>
      </c>
      <c r="Q449" s="11">
        <f>IF(P449=Sheet1!M449, 1, 0)</f>
        <v>1</v>
      </c>
    </row>
    <row r="450" spans="1:17" x14ac:dyDescent="0.35">
      <c r="A450" s="6" t="s">
        <v>486</v>
      </c>
      <c r="B450" s="6" t="s">
        <v>490</v>
      </c>
      <c r="C450" s="6">
        <v>-0.64593543890756899</v>
      </c>
      <c r="D450" s="6">
        <v>-0.29253548090264925</v>
      </c>
      <c r="E450" s="6">
        <v>-0.30605563102490541</v>
      </c>
      <c r="F450" s="6">
        <v>-0.24754925628496582</v>
      </c>
      <c r="G450" s="6">
        <v>-0.54783672878306966</v>
      </c>
      <c r="H450" s="6">
        <v>0.17601293788919548</v>
      </c>
      <c r="I450" s="6">
        <v>-0.14194576680224097</v>
      </c>
      <c r="J450" s="6">
        <v>-0.48189056647680778</v>
      </c>
      <c r="K450" s="6">
        <v>0.12136508722478216</v>
      </c>
      <c r="L450" s="6">
        <v>-0.28463322254374562</v>
      </c>
      <c r="N450" s="8">
        <f>SQRT((C450-Sheet3!$C$525)^2+(D450-Sheet3!$D$525)^2+(E450-Sheet3!$E$525)^2+(F450-Sheet3!$F$525)^2+(G450-Sheet3!$G$525)^2+(H450-Sheet3!$H$525)^2+(I450-Sheet3!$I$525)^2+(J450-Sheet3!$J$525)^2+(K450-Sheet3!$K$525)^2+(L450-Sheet3!$L$525)^2)</f>
        <v>1.004714677355482</v>
      </c>
      <c r="O450" s="8">
        <f>SQRT((C450-Sheet3!$C$526)^2+(D450-Sheet3!$D$526)^2+(E450-Sheet3!$E$526)^2+(F450-Sheet3!$F$526)^2+(G450-Sheet3!$G$526)^2+(H450-Sheet3!$H$526)^2+(I450-Sheet3!$I$526)^2+(J450-Sheet3!$J$526)^2+(K450-Sheet3!$K$526)^2+(L450-Sheet3!$L$526)^2)</f>
        <v>3.7197757908639613</v>
      </c>
      <c r="P450" s="12">
        <f t="shared" si="6"/>
        <v>0</v>
      </c>
      <c r="Q450" s="11">
        <f>IF(P450=Sheet1!M450, 1, 0)</f>
        <v>1</v>
      </c>
    </row>
    <row r="451" spans="1:17" x14ac:dyDescent="0.35">
      <c r="A451" s="6" t="s">
        <v>486</v>
      </c>
      <c r="B451" s="6" t="s">
        <v>491</v>
      </c>
      <c r="C451" s="6">
        <v>-1.0069392926319376</v>
      </c>
      <c r="D451" s="6">
        <v>-0.21274439251210708</v>
      </c>
      <c r="E451" s="6">
        <v>0.27526694699570814</v>
      </c>
      <c r="F451" s="6">
        <v>-0.29222849799300649</v>
      </c>
      <c r="G451" s="6">
        <v>-0.93109987425824825</v>
      </c>
      <c r="H451" s="6">
        <v>0.10652910002204077</v>
      </c>
      <c r="I451" s="6">
        <v>0.1417398829310606</v>
      </c>
      <c r="J451" s="6">
        <v>-0.73242167015423132</v>
      </c>
      <c r="K451" s="6">
        <v>-6.7987952808798685E-2</v>
      </c>
      <c r="L451" s="6">
        <v>-0.30454032427944433</v>
      </c>
      <c r="N451" s="8">
        <f>SQRT((C451-Sheet3!$C$525)^2+(D451-Sheet3!$D$525)^2+(E451-Sheet3!$E$525)^2+(F451-Sheet3!$F$525)^2+(G451-Sheet3!$G$525)^2+(H451-Sheet3!$H$525)^2+(I451-Sheet3!$I$525)^2+(J451-Sheet3!$J$525)^2+(K451-Sheet3!$K$525)^2+(L451-Sheet3!$L$525)^2)</f>
        <v>1.6727757778383983</v>
      </c>
      <c r="O451" s="8">
        <f>SQRT((C451-Sheet3!$C$526)^2+(D451-Sheet3!$D$526)^2+(E451-Sheet3!$E$526)^2+(F451-Sheet3!$F$526)^2+(G451-Sheet3!$G$526)^2+(H451-Sheet3!$H$526)^2+(I451-Sheet3!$I$526)^2+(J451-Sheet3!$J$526)^2+(K451-Sheet3!$K$526)^2+(L451-Sheet3!$L$526)^2)</f>
        <v>3.7434849376616852</v>
      </c>
      <c r="P451" s="12">
        <f t="shared" ref="P451:P514" si="7">IF(N451&lt;=O451, 0, 1)</f>
        <v>0</v>
      </c>
      <c r="Q451" s="11">
        <f>IF(P451=Sheet1!M451, 1, 0)</f>
        <v>1</v>
      </c>
    </row>
    <row r="452" spans="1:17" x14ac:dyDescent="0.35">
      <c r="A452" s="6" t="s">
        <v>486</v>
      </c>
      <c r="B452" s="6" t="s">
        <v>492</v>
      </c>
      <c r="C452" s="6">
        <v>-0.69022215702245437</v>
      </c>
      <c r="D452" s="6">
        <v>-0.56873540225452623</v>
      </c>
      <c r="E452" s="6">
        <v>-0.70612934441551778</v>
      </c>
      <c r="F452" s="6">
        <v>-0.57725124682016937</v>
      </c>
      <c r="G452" s="6">
        <v>-0.32136305191137177</v>
      </c>
      <c r="H452" s="6">
        <v>0.24549677575635093</v>
      </c>
      <c r="I452" s="6">
        <v>-0.49129348827156427</v>
      </c>
      <c r="J452" s="6">
        <v>-0.96397314476518325</v>
      </c>
      <c r="K452" s="6">
        <v>0.21525915666292322</v>
      </c>
      <c r="L452" s="6">
        <v>-0.41124173765822197</v>
      </c>
      <c r="N452" s="8">
        <f>SQRT((C452-Sheet3!$C$525)^2+(D452-Sheet3!$D$525)^2+(E452-Sheet3!$E$525)^2+(F452-Sheet3!$F$525)^2+(G452-Sheet3!$G$525)^2+(H452-Sheet3!$H$525)^2+(I452-Sheet3!$I$525)^2+(J452-Sheet3!$J$525)^2+(K452-Sheet3!$K$525)^2+(L452-Sheet3!$L$525)^2)</f>
        <v>1.3152438127476072</v>
      </c>
      <c r="O452" s="8">
        <f>SQRT((C452-Sheet3!$C$526)^2+(D452-Sheet3!$D$526)^2+(E452-Sheet3!$E$526)^2+(F452-Sheet3!$F$526)^2+(G452-Sheet3!$G$526)^2+(H452-Sheet3!$H$526)^2+(I452-Sheet3!$I$526)^2+(J452-Sheet3!$J$526)^2+(K452-Sheet3!$K$526)^2+(L452-Sheet3!$L$526)^2)</f>
        <v>4.405875739585972</v>
      </c>
      <c r="P452" s="12">
        <f t="shared" si="7"/>
        <v>0</v>
      </c>
      <c r="Q452" s="11">
        <f>IF(P452=Sheet1!M452, 1, 0)</f>
        <v>1</v>
      </c>
    </row>
    <row r="453" spans="1:17" x14ac:dyDescent="0.35">
      <c r="A453" s="6" t="s">
        <v>493</v>
      </c>
      <c r="B453" s="6" t="s">
        <v>494</v>
      </c>
      <c r="C453" s="6">
        <v>2.01260966974661</v>
      </c>
      <c r="D453" s="6">
        <v>0.76929977229456614</v>
      </c>
      <c r="E453" s="6">
        <v>-1.469805963069974</v>
      </c>
      <c r="F453" s="6">
        <v>-1.0718042326229791</v>
      </c>
      <c r="G453" s="6">
        <v>-1.8021524776109314</v>
      </c>
      <c r="H453" s="6">
        <v>0.41355070920249304</v>
      </c>
      <c r="I453" s="6">
        <v>0.52041241313686049</v>
      </c>
      <c r="J453" s="6">
        <v>-0.25033909186585568</v>
      </c>
      <c r="K453" s="6">
        <v>-7.8942260909916143E-2</v>
      </c>
      <c r="L453" s="6">
        <v>-0.42237754955061957</v>
      </c>
      <c r="N453" s="8">
        <f>SQRT((C453-Sheet3!$C$525)^2+(D453-Sheet3!$D$525)^2+(E453-Sheet3!$E$525)^2+(F453-Sheet3!$F$525)^2+(G453-Sheet3!$G$525)^2+(H453-Sheet3!$H$525)^2+(I453-Sheet3!$I$525)^2+(J453-Sheet3!$J$525)^2+(K453-Sheet3!$K$525)^2+(L453-Sheet3!$L$525)^2)</f>
        <v>3.0985870317859905</v>
      </c>
      <c r="O453" s="8">
        <f>SQRT((C453-Sheet3!$C$526)^2+(D453-Sheet3!$D$526)^2+(E453-Sheet3!$E$526)^2+(F453-Sheet3!$F$526)^2+(G453-Sheet3!$G$526)^2+(H453-Sheet3!$H$526)^2+(I453-Sheet3!$I$526)^2+(J453-Sheet3!$J$526)^2+(K453-Sheet3!$K$526)^2+(L453-Sheet3!$L$526)^2)</f>
        <v>5.5581399375690443</v>
      </c>
      <c r="P453" s="12">
        <f t="shared" si="7"/>
        <v>0</v>
      </c>
      <c r="Q453" s="11">
        <f>IF(P453=Sheet1!M453, 1, 0)</f>
        <v>0</v>
      </c>
    </row>
    <row r="454" spans="1:17" x14ac:dyDescent="0.35">
      <c r="A454" s="6" t="s">
        <v>493</v>
      </c>
      <c r="B454" s="6" t="s">
        <v>495</v>
      </c>
      <c r="C454" s="6">
        <v>1.403331790226672</v>
      </c>
      <c r="D454" s="6">
        <v>0.81226420450485837</v>
      </c>
      <c r="E454" s="6">
        <v>-1.0111579214757638</v>
      </c>
      <c r="F454" s="6">
        <v>-0.55414129421256286</v>
      </c>
      <c r="G454" s="6">
        <v>-1.3114595110555873</v>
      </c>
      <c r="H454" s="6">
        <v>0.49919357913177742</v>
      </c>
      <c r="I454" s="6">
        <v>0.49873755450555191</v>
      </c>
      <c r="J454" s="6">
        <v>1.9201181156748245E-4</v>
      </c>
      <c r="K454" s="6">
        <v>-0.76436896780833552</v>
      </c>
      <c r="L454" s="6">
        <v>-0.4164392062743329</v>
      </c>
      <c r="N454" s="8">
        <f>SQRT((C454-Sheet3!$C$525)^2+(D454-Sheet3!$D$525)^2+(E454-Sheet3!$E$525)^2+(F454-Sheet3!$F$525)^2+(G454-Sheet3!$G$525)^2+(H454-Sheet3!$H$525)^2+(I454-Sheet3!$I$525)^2+(J454-Sheet3!$J$525)^2+(K454-Sheet3!$K$525)^2+(L454-Sheet3!$L$525)^2)</f>
        <v>2.5213674686443146</v>
      </c>
      <c r="O454" s="8">
        <f>SQRT((C454-Sheet3!$C$526)^2+(D454-Sheet3!$D$526)^2+(E454-Sheet3!$E$526)^2+(F454-Sheet3!$F$526)^2+(G454-Sheet3!$G$526)^2+(H454-Sheet3!$H$526)^2+(I454-Sheet3!$I$526)^2+(J454-Sheet3!$J$526)^2+(K454-Sheet3!$K$526)^2+(L454-Sheet3!$L$526)^2)</f>
        <v>4.50128674900298</v>
      </c>
      <c r="P454" s="12">
        <f t="shared" si="7"/>
        <v>0</v>
      </c>
      <c r="Q454" s="11">
        <f>IF(P454=Sheet1!M454, 1, 0)</f>
        <v>0</v>
      </c>
    </row>
    <row r="455" spans="1:17" x14ac:dyDescent="0.35">
      <c r="A455" s="6" t="s">
        <v>493</v>
      </c>
      <c r="B455" s="6" t="s">
        <v>496</v>
      </c>
      <c r="C455" s="6">
        <v>1.0154875012811608</v>
      </c>
      <c r="D455" s="6">
        <v>0.76316199626452463</v>
      </c>
      <c r="E455" s="6">
        <v>-3.0130022065818246E-2</v>
      </c>
      <c r="F455" s="6">
        <v>0.21464979586719163</v>
      </c>
      <c r="G455" s="6">
        <v>-0.93109987425824825</v>
      </c>
      <c r="H455" s="6">
        <v>-0.15955629460101903</v>
      </c>
      <c r="I455" s="6">
        <v>0.28517644740295456</v>
      </c>
      <c r="J455" s="6">
        <v>1.1427656816131504</v>
      </c>
      <c r="K455" s="6">
        <v>-1.0757842981114982</v>
      </c>
      <c r="L455" s="6">
        <v>-0.33298116039657388</v>
      </c>
      <c r="N455" s="8">
        <f>SQRT((C455-Sheet3!$C$525)^2+(D455-Sheet3!$D$525)^2+(E455-Sheet3!$E$525)^2+(F455-Sheet3!$F$525)^2+(G455-Sheet3!$G$525)^2+(H455-Sheet3!$H$525)^2+(I455-Sheet3!$I$525)^2+(J455-Sheet3!$J$525)^2+(K455-Sheet3!$K$525)^2+(L455-Sheet3!$L$525)^2)</f>
        <v>2.607790675115802</v>
      </c>
      <c r="O455" s="8">
        <f>SQRT((C455-Sheet3!$C$526)^2+(D455-Sheet3!$D$526)^2+(E455-Sheet3!$E$526)^2+(F455-Sheet3!$F$526)^2+(G455-Sheet3!$G$526)^2+(H455-Sheet3!$H$526)^2+(I455-Sheet3!$I$526)^2+(J455-Sheet3!$J$526)^2+(K455-Sheet3!$K$526)^2+(L455-Sheet3!$L$526)^2)</f>
        <v>3.3669334716611878</v>
      </c>
      <c r="P455" s="12">
        <f t="shared" si="7"/>
        <v>0</v>
      </c>
      <c r="Q455" s="11">
        <f>IF(P455=Sheet1!M455, 1, 0)</f>
        <v>1</v>
      </c>
    </row>
    <row r="456" spans="1:17" x14ac:dyDescent="0.35">
      <c r="A456" s="6" t="s">
        <v>493</v>
      </c>
      <c r="B456" s="6" t="s">
        <v>497</v>
      </c>
      <c r="C456" s="6">
        <v>0.67192993045053506</v>
      </c>
      <c r="D456" s="6">
        <v>0.21689992959081214</v>
      </c>
      <c r="E456" s="6">
        <v>8.1827460673527374E-3</v>
      </c>
      <c r="F456" s="6">
        <v>-9.1942242060405355E-2</v>
      </c>
      <c r="G456" s="6">
        <v>-0.93400338293609209</v>
      </c>
      <c r="H456" s="6">
        <v>-0.42294851721372334</v>
      </c>
      <c r="I456" s="6">
        <v>0.70401121566088543</v>
      </c>
      <c r="J456" s="6">
        <v>-7.9522430267612701E-2</v>
      </c>
      <c r="K456" s="6">
        <v>0.21212935434831698</v>
      </c>
      <c r="L456" s="6">
        <v>-0.42527244984658524</v>
      </c>
      <c r="N456" s="8">
        <f>SQRT((C456-Sheet3!$C$525)^2+(D456-Sheet3!$D$525)^2+(E456-Sheet3!$E$525)^2+(F456-Sheet3!$F$525)^2+(G456-Sheet3!$G$525)^2+(H456-Sheet3!$H$525)^2+(I456-Sheet3!$I$525)^2+(J456-Sheet3!$J$525)^2+(K456-Sheet3!$K$525)^2+(L456-Sheet3!$L$525)^2)</f>
        <v>1.4804332657641732</v>
      </c>
      <c r="O456" s="8">
        <f>SQRT((C456-Sheet3!$C$526)^2+(D456-Sheet3!$D$526)^2+(E456-Sheet3!$E$526)^2+(F456-Sheet3!$F$526)^2+(G456-Sheet3!$G$526)^2+(H456-Sheet3!$H$526)^2+(I456-Sheet3!$I$526)^2+(J456-Sheet3!$J$526)^2+(K456-Sheet3!$K$526)^2+(L456-Sheet3!$L$526)^2)</f>
        <v>3.7432805403418641</v>
      </c>
      <c r="P456" s="12">
        <f t="shared" si="7"/>
        <v>0</v>
      </c>
      <c r="Q456" s="11">
        <f>IF(P456=Sheet1!M456, 1, 0)</f>
        <v>1</v>
      </c>
    </row>
    <row r="457" spans="1:17" x14ac:dyDescent="0.35">
      <c r="A457" s="6" t="s">
        <v>493</v>
      </c>
      <c r="B457" s="6" t="s">
        <v>498</v>
      </c>
      <c r="C457" s="6">
        <v>1.9133000594283824</v>
      </c>
      <c r="D457" s="6">
        <v>0.24145103371097953</v>
      </c>
      <c r="E457" s="6">
        <v>-0.99531706542070264</v>
      </c>
      <c r="F457" s="6">
        <v>-0.93930717100602734</v>
      </c>
      <c r="G457" s="6">
        <v>-1.9444244028252036</v>
      </c>
      <c r="H457" s="6">
        <v>-2.022154056962433</v>
      </c>
      <c r="I457" s="6">
        <v>-3.4208969487796309E-2</v>
      </c>
      <c r="J457" s="6">
        <v>-1.3321779486547298</v>
      </c>
      <c r="K457" s="6">
        <v>-0.5718861254601485</v>
      </c>
      <c r="L457" s="6">
        <v>-0.40969594510709967</v>
      </c>
      <c r="N457" s="8">
        <f>SQRT((C457-Sheet3!$C$525)^2+(D457-Sheet3!$D$525)^2+(E457-Sheet3!$E$525)^2+(F457-Sheet3!$F$525)^2+(G457-Sheet3!$G$525)^2+(H457-Sheet3!$H$525)^2+(I457-Sheet3!$I$525)^2+(J457-Sheet3!$J$525)^2+(K457-Sheet3!$K$525)^2+(L457-Sheet3!$L$525)^2)</f>
        <v>3.4162781407349763</v>
      </c>
      <c r="O457" s="8">
        <f>SQRT((C457-Sheet3!$C$526)^2+(D457-Sheet3!$D$526)^2+(E457-Sheet3!$E$526)^2+(F457-Sheet3!$F$526)^2+(G457-Sheet3!$G$526)^2+(H457-Sheet3!$H$526)^2+(I457-Sheet3!$I$526)^2+(J457-Sheet3!$J$526)^2+(K457-Sheet3!$K$526)^2+(L457-Sheet3!$L$526)^2)</f>
        <v>6.3739520924075963</v>
      </c>
      <c r="P457" s="12">
        <f t="shared" si="7"/>
        <v>0</v>
      </c>
      <c r="Q457" s="11">
        <f>IF(P457=Sheet1!M457, 1, 0)</f>
        <v>0</v>
      </c>
    </row>
    <row r="458" spans="1:17" x14ac:dyDescent="0.35">
      <c r="A458" s="6" t="s">
        <v>493</v>
      </c>
      <c r="B458" s="6" t="s">
        <v>499</v>
      </c>
      <c r="C458" s="6">
        <v>1.7442053175351835</v>
      </c>
      <c r="D458" s="6">
        <v>0.29669101798135483</v>
      </c>
      <c r="E458" s="6">
        <v>-0.59119104001600487</v>
      </c>
      <c r="F458" s="6">
        <v>-0.63117446957125567</v>
      </c>
      <c r="G458" s="6">
        <v>-2.2667138660656962</v>
      </c>
      <c r="H458" s="6">
        <v>-0.78437220100334382</v>
      </c>
      <c r="I458" s="6">
        <v>0.3820758154017449</v>
      </c>
      <c r="J458" s="6">
        <v>0.22415163479593117</v>
      </c>
      <c r="K458" s="6">
        <v>0.4280857140560399</v>
      </c>
      <c r="L458" s="6">
        <v>-0.41652052968515174</v>
      </c>
      <c r="N458" s="8">
        <f>SQRT((C458-Sheet3!$C$525)^2+(D458-Sheet3!$D$525)^2+(E458-Sheet3!$E$525)^2+(F458-Sheet3!$F$525)^2+(G458-Sheet3!$G$525)^2+(H458-Sheet3!$H$525)^2+(I458-Sheet3!$I$525)^2+(J458-Sheet3!$J$525)^2+(K458-Sheet3!$K$525)^2+(L458-Sheet3!$L$525)^2)</f>
        <v>2.8237146292271027</v>
      </c>
      <c r="O458" s="8">
        <f>SQRT((C458-Sheet3!$C$526)^2+(D458-Sheet3!$D$526)^2+(E458-Sheet3!$E$526)^2+(F458-Sheet3!$F$526)^2+(G458-Sheet3!$G$526)^2+(H458-Sheet3!$H$526)^2+(I458-Sheet3!$I$526)^2+(J458-Sheet3!$J$526)^2+(K458-Sheet3!$K$526)^2+(L458-Sheet3!$L$526)^2)</f>
        <v>5.3792198342437851</v>
      </c>
      <c r="P458" s="12">
        <f t="shared" si="7"/>
        <v>0</v>
      </c>
      <c r="Q458" s="11">
        <f>IF(P458=Sheet1!M458, 1, 0)</f>
        <v>0</v>
      </c>
    </row>
    <row r="459" spans="1:17" x14ac:dyDescent="0.35">
      <c r="A459" s="6" t="s">
        <v>493</v>
      </c>
      <c r="B459" s="6" t="s">
        <v>500</v>
      </c>
      <c r="C459" s="6">
        <v>1.4731169218016429</v>
      </c>
      <c r="D459" s="6">
        <v>1.4353320599436772E-2</v>
      </c>
      <c r="E459" s="6">
        <v>-0.31121311904283228</v>
      </c>
      <c r="F459" s="6">
        <v>-0.86689598616885621</v>
      </c>
      <c r="G459" s="6">
        <v>-2.9141963012245249</v>
      </c>
      <c r="H459" s="6">
        <v>-0.64378862206282073</v>
      </c>
      <c r="I459" s="6">
        <v>-4.5046398803449725E-2</v>
      </c>
      <c r="J459" s="6">
        <v>-0.4477272341571592</v>
      </c>
      <c r="K459" s="6">
        <v>-6.1728348179590609E-2</v>
      </c>
      <c r="L459" s="6">
        <v>-0.41784886778190822</v>
      </c>
      <c r="N459" s="8">
        <f>SQRT((C459-Sheet3!$C$525)^2+(D459-Sheet3!$D$525)^2+(E459-Sheet3!$E$525)^2+(F459-Sheet3!$F$525)^2+(G459-Sheet3!$G$525)^2+(H459-Sheet3!$H$525)^2+(I459-Sheet3!$I$525)^2+(J459-Sheet3!$J$525)^2+(K459-Sheet3!$K$525)^2+(L459-Sheet3!$L$525)^2)</f>
        <v>3.0465460933561364</v>
      </c>
      <c r="O459" s="8">
        <f>SQRT((C459-Sheet3!$C$526)^2+(D459-Sheet3!$D$526)^2+(E459-Sheet3!$E$526)^2+(F459-Sheet3!$F$526)^2+(G459-Sheet3!$G$526)^2+(H459-Sheet3!$H$526)^2+(I459-Sheet3!$I$526)^2+(J459-Sheet3!$J$526)^2+(K459-Sheet3!$K$526)^2+(L459-Sheet3!$L$526)^2)</f>
        <v>5.8103720036007305</v>
      </c>
      <c r="P459" s="12">
        <f t="shared" si="7"/>
        <v>0</v>
      </c>
      <c r="Q459" s="11">
        <f>IF(P459=Sheet1!M459, 1, 0)</f>
        <v>0</v>
      </c>
    </row>
    <row r="460" spans="1:17" x14ac:dyDescent="0.35">
      <c r="A460" s="6" t="s">
        <v>493</v>
      </c>
      <c r="B460" s="6" t="s">
        <v>501</v>
      </c>
      <c r="C460" s="6">
        <v>2.3185906312676363</v>
      </c>
      <c r="D460" s="6">
        <v>9.4144408989978376E-2</v>
      </c>
      <c r="E460" s="6">
        <v>-1.2550334263234482</v>
      </c>
      <c r="F460" s="6">
        <v>-1.1642440430534109</v>
      </c>
      <c r="G460" s="6">
        <v>-2.0634682586167381</v>
      </c>
      <c r="H460" s="6">
        <v>0.2934352375406673</v>
      </c>
      <c r="I460" s="6">
        <v>0.51084997550540145</v>
      </c>
      <c r="J460" s="6">
        <v>-1.2372798033223726</v>
      </c>
      <c r="K460" s="6">
        <v>1.1260316302128777</v>
      </c>
      <c r="L460" s="6">
        <v>-0.43612647152359146</v>
      </c>
      <c r="N460" s="8">
        <f>SQRT((C460-Sheet3!$C$525)^2+(D460-Sheet3!$D$525)^2+(E460-Sheet3!$E$525)^2+(F460-Sheet3!$F$525)^2+(G460-Sheet3!$G$525)^2+(H460-Sheet3!$H$525)^2+(I460-Sheet3!$I$525)^2+(J460-Sheet3!$J$525)^2+(K460-Sheet3!$K$525)^2+(L460-Sheet3!$L$525)^2)</f>
        <v>3.4376369813263086</v>
      </c>
      <c r="O460" s="8">
        <f>SQRT((C460-Sheet3!$C$526)^2+(D460-Sheet3!$D$526)^2+(E460-Sheet3!$E$526)^2+(F460-Sheet3!$F$526)^2+(G460-Sheet3!$G$526)^2+(H460-Sheet3!$H$526)^2+(I460-Sheet3!$I$526)^2+(J460-Sheet3!$J$526)^2+(K460-Sheet3!$K$526)^2+(L460-Sheet3!$L$526)^2)</f>
        <v>6.3956513810214579</v>
      </c>
      <c r="P460" s="12">
        <f t="shared" si="7"/>
        <v>0</v>
      </c>
      <c r="Q460" s="11">
        <f>IF(P460=Sheet1!M460, 1, 0)</f>
        <v>0</v>
      </c>
    </row>
    <row r="461" spans="1:17" x14ac:dyDescent="0.35">
      <c r="A461" s="6" t="s">
        <v>493</v>
      </c>
      <c r="B461" s="6" t="s">
        <v>502</v>
      </c>
      <c r="C461" s="6">
        <v>0.48538890566359355</v>
      </c>
      <c r="D461" s="6">
        <v>-0.29867325693269081</v>
      </c>
      <c r="E461" s="6">
        <v>-1.0037900814501539</v>
      </c>
      <c r="F461" s="6">
        <v>-0.7898628108101633</v>
      </c>
      <c r="G461" s="6">
        <v>-0.95723145235882978</v>
      </c>
      <c r="H461" s="6">
        <v>-1.0052123058524416</v>
      </c>
      <c r="I461" s="6">
        <v>0.56439962624157458</v>
      </c>
      <c r="J461" s="6">
        <v>-1.3018105421483754</v>
      </c>
      <c r="K461" s="6">
        <v>0.92728918323548248</v>
      </c>
      <c r="L461" s="6">
        <v>-0.43964857758074666</v>
      </c>
      <c r="N461" s="8">
        <f>SQRT((C461-Sheet3!$C$525)^2+(D461-Sheet3!$D$525)^2+(E461-Sheet3!$E$525)^2+(F461-Sheet3!$F$525)^2+(G461-Sheet3!$G$525)^2+(H461-Sheet3!$H$525)^2+(I461-Sheet3!$I$525)^2+(J461-Sheet3!$J$525)^2+(K461-Sheet3!$K$525)^2+(L461-Sheet3!$L$525)^2)</f>
        <v>1.9786094645776282</v>
      </c>
      <c r="O461" s="8">
        <f>SQRT((C461-Sheet3!$C$526)^2+(D461-Sheet3!$D$526)^2+(E461-Sheet3!$E$526)^2+(F461-Sheet3!$F$526)^2+(G461-Sheet3!$G$526)^2+(H461-Sheet3!$H$526)^2+(I461-Sheet3!$I$526)^2+(J461-Sheet3!$J$526)^2+(K461-Sheet3!$K$526)^2+(L461-Sheet3!$L$526)^2)</f>
        <v>5.3324184721914181</v>
      </c>
      <c r="P461" s="12">
        <f t="shared" si="7"/>
        <v>0</v>
      </c>
      <c r="Q461" s="11">
        <f>IF(P461=Sheet1!M461, 1, 0)</f>
        <v>1</v>
      </c>
    </row>
    <row r="462" spans="1:17" x14ac:dyDescent="0.35">
      <c r="A462" s="6" t="s">
        <v>493</v>
      </c>
      <c r="B462" s="6" t="s">
        <v>503</v>
      </c>
      <c r="C462" s="6">
        <v>-0.97338874860550939</v>
      </c>
      <c r="D462" s="6">
        <v>2.3098815558350352</v>
      </c>
      <c r="E462" s="6">
        <v>1.4084407429344961</v>
      </c>
      <c r="F462" s="6">
        <v>1.7414473314764867</v>
      </c>
      <c r="G462" s="6">
        <v>0.28256675307982132</v>
      </c>
      <c r="H462" s="6">
        <v>0.71949504957880428</v>
      </c>
      <c r="I462" s="6">
        <v>0.83916033418551383</v>
      </c>
      <c r="J462" s="6">
        <v>2.3764415709337965</v>
      </c>
      <c r="K462" s="6">
        <v>-1.2369691173136383</v>
      </c>
      <c r="L462" s="6">
        <v>-0.23762367329142606</v>
      </c>
      <c r="N462" s="8">
        <f>SQRT((C462-Sheet3!$C$525)^2+(D462-Sheet3!$D$525)^2+(E462-Sheet3!$E$525)^2+(F462-Sheet3!$F$525)^2+(G462-Sheet3!$G$525)^2+(H462-Sheet3!$H$525)^2+(I462-Sheet3!$I$525)^2+(J462-Sheet3!$J$525)^2+(K462-Sheet3!$K$525)^2+(L462-Sheet3!$L$525)^2)</f>
        <v>5.2652589228433504</v>
      </c>
      <c r="O462" s="8">
        <f>SQRT((C462-Sheet3!$C$526)^2+(D462-Sheet3!$D$526)^2+(E462-Sheet3!$E$526)^2+(F462-Sheet3!$F$526)^2+(G462-Sheet3!$G$526)^2+(H462-Sheet3!$H$526)^2+(I462-Sheet3!$I$526)^2+(J462-Sheet3!$J$526)^2+(K462-Sheet3!$K$526)^2+(L462-Sheet3!$L$526)^2)</f>
        <v>2.250647497095323</v>
      </c>
      <c r="P462" s="12">
        <f t="shared" si="7"/>
        <v>1</v>
      </c>
      <c r="Q462" s="11">
        <f>IF(P462=Sheet1!M462, 1, 0)</f>
        <v>0</v>
      </c>
    </row>
    <row r="463" spans="1:17" x14ac:dyDescent="0.35">
      <c r="A463" s="6" t="s">
        <v>493</v>
      </c>
      <c r="B463" s="6" t="s">
        <v>504</v>
      </c>
      <c r="C463" s="6">
        <v>1.4744589435627002</v>
      </c>
      <c r="D463" s="6">
        <v>1.2848729588180696</v>
      </c>
      <c r="E463" s="6">
        <v>-1.0756265216998495</v>
      </c>
      <c r="F463" s="6">
        <v>-0.27219987239974702</v>
      </c>
      <c r="G463" s="6">
        <v>-1.1546700424521024</v>
      </c>
      <c r="H463" s="6">
        <v>0.32683057046906688</v>
      </c>
      <c r="I463" s="6">
        <v>0.70464871150298214</v>
      </c>
      <c r="J463" s="6">
        <v>1.3857049336639855</v>
      </c>
      <c r="K463" s="6">
        <v>-1.3856347272573599</v>
      </c>
      <c r="L463" s="6">
        <v>-0.42654992946905262</v>
      </c>
      <c r="N463" s="8">
        <f>SQRT((C463-Sheet3!$C$525)^2+(D463-Sheet3!$D$525)^2+(E463-Sheet3!$E$525)^2+(F463-Sheet3!$F$525)^2+(G463-Sheet3!$G$525)^2+(H463-Sheet3!$H$525)^2+(I463-Sheet3!$I$525)^2+(J463-Sheet3!$J$525)^2+(K463-Sheet3!$K$525)^2+(L463-Sheet3!$L$525)^2)</f>
        <v>3.4858040864309148</v>
      </c>
      <c r="O463" s="8">
        <f>SQRT((C463-Sheet3!$C$526)^2+(D463-Sheet3!$D$526)^2+(E463-Sheet3!$E$526)^2+(F463-Sheet3!$F$526)^2+(G463-Sheet3!$G$526)^2+(H463-Sheet3!$H$526)^2+(I463-Sheet3!$I$526)^2+(J463-Sheet3!$J$526)^2+(K463-Sheet3!$K$526)^2+(L463-Sheet3!$L$526)^2)</f>
        <v>4.3192754736829286</v>
      </c>
      <c r="P463" s="12">
        <f t="shared" si="7"/>
        <v>0</v>
      </c>
      <c r="Q463" s="11">
        <f>IF(P463=Sheet1!M463, 1, 0)</f>
        <v>0</v>
      </c>
    </row>
    <row r="464" spans="1:17" x14ac:dyDescent="0.35">
      <c r="A464" s="6" t="s">
        <v>505</v>
      </c>
      <c r="B464" s="6" t="s">
        <v>506</v>
      </c>
      <c r="C464" s="6">
        <v>-0.44597419651005643</v>
      </c>
      <c r="D464" s="6">
        <v>-4.0886663670939613E-2</v>
      </c>
      <c r="E464" s="6">
        <v>-1.0527862176204592</v>
      </c>
      <c r="F464" s="6">
        <v>-0.67277238426494923</v>
      </c>
      <c r="G464" s="6">
        <v>-0.96303846971451312</v>
      </c>
      <c r="H464" s="6">
        <v>-0.20911065959154834</v>
      </c>
      <c r="I464" s="6">
        <v>0.6115743185567758</v>
      </c>
      <c r="J464" s="6">
        <v>-0.68307463458140549</v>
      </c>
      <c r="K464" s="6">
        <v>-0.71742193308926616</v>
      </c>
      <c r="L464" s="6">
        <v>-0.42646710161692369</v>
      </c>
      <c r="N464" s="8">
        <f>SQRT((C464-Sheet3!$C$525)^2+(D464-Sheet3!$D$525)^2+(E464-Sheet3!$E$525)^2+(F464-Sheet3!$F$525)^2+(G464-Sheet3!$G$525)^2+(H464-Sheet3!$H$525)^2+(I464-Sheet3!$I$525)^2+(J464-Sheet3!$J$525)^2+(K464-Sheet3!$K$525)^2+(L464-Sheet3!$L$525)^2)</f>
        <v>1.7915732876695023</v>
      </c>
      <c r="O464" s="8">
        <f>SQRT((C464-Sheet3!$C$526)^2+(D464-Sheet3!$D$526)^2+(E464-Sheet3!$E$526)^2+(F464-Sheet3!$F$526)^2+(G464-Sheet3!$G$526)^2+(H464-Sheet3!$H$526)^2+(I464-Sheet3!$I$526)^2+(J464-Sheet3!$J$526)^2+(K464-Sheet3!$K$526)^2+(L464-Sheet3!$L$526)^2)</f>
        <v>4.3819533906300965</v>
      </c>
      <c r="P464" s="12">
        <f t="shared" si="7"/>
        <v>0</v>
      </c>
      <c r="Q464" s="11">
        <f>IF(P464=Sheet1!M464, 1, 0)</f>
        <v>1</v>
      </c>
    </row>
    <row r="465" spans="1:17" x14ac:dyDescent="0.35">
      <c r="A465" s="6" t="s">
        <v>505</v>
      </c>
      <c r="B465" s="6" t="s">
        <v>507</v>
      </c>
      <c r="C465" s="6">
        <v>0.16732974829305308</v>
      </c>
      <c r="D465" s="6">
        <v>0.35193100225173013</v>
      </c>
      <c r="E465" s="6">
        <v>-0.86895860898149446</v>
      </c>
      <c r="F465" s="6">
        <v>-0.63271513307843041</v>
      </c>
      <c r="G465" s="6">
        <v>-1.5989068701619711</v>
      </c>
      <c r="H465" s="6">
        <v>0.18840152913682801</v>
      </c>
      <c r="I465" s="6">
        <v>-9.0946099434456626E-2</v>
      </c>
      <c r="J465" s="6">
        <v>-0.3148698306918587</v>
      </c>
      <c r="K465" s="6">
        <v>-1.0084935483474982</v>
      </c>
      <c r="L465" s="6">
        <v>-0.34974560960555695</v>
      </c>
      <c r="N465" s="8">
        <f>SQRT((C465-Sheet3!$C$525)^2+(D465-Sheet3!$D$525)^2+(E465-Sheet3!$E$525)^2+(F465-Sheet3!$F$525)^2+(G465-Sheet3!$G$525)^2+(H465-Sheet3!$H$525)^2+(I465-Sheet3!$I$525)^2+(J465-Sheet3!$J$525)^2+(K465-Sheet3!$K$525)^2+(L465-Sheet3!$L$525)^2)</f>
        <v>2.0416504878713448</v>
      </c>
      <c r="O465" s="8">
        <f>SQRT((C465-Sheet3!$C$526)^2+(D465-Sheet3!$D$526)^2+(E465-Sheet3!$E$526)^2+(F465-Sheet3!$F$526)^2+(G465-Sheet3!$G$526)^2+(H465-Sheet3!$H$526)^2+(I465-Sheet3!$I$526)^2+(J465-Sheet3!$J$526)^2+(K465-Sheet3!$K$526)^2+(L465-Sheet3!$L$526)^2)</f>
        <v>4.450174543436443</v>
      </c>
      <c r="P465" s="12">
        <f t="shared" si="7"/>
        <v>0</v>
      </c>
      <c r="Q465" s="11">
        <f>IF(P465=Sheet1!M465, 1, 0)</f>
        <v>1</v>
      </c>
    </row>
    <row r="466" spans="1:17" x14ac:dyDescent="0.35">
      <c r="A466" s="6" t="s">
        <v>505</v>
      </c>
      <c r="B466" s="6" t="s">
        <v>508</v>
      </c>
      <c r="C466" s="6">
        <v>-0.54259976330616977</v>
      </c>
      <c r="D466" s="6">
        <v>0.34579322622168857</v>
      </c>
      <c r="E466" s="6">
        <v>-1.2100896021672285</v>
      </c>
      <c r="F466" s="6">
        <v>-0.94392916152754913</v>
      </c>
      <c r="G466" s="6">
        <v>-1.8195735296779858</v>
      </c>
      <c r="H466" s="6">
        <v>0.22125822766315714</v>
      </c>
      <c r="I466" s="6">
        <v>-3.8671440382477024E-2</v>
      </c>
      <c r="J466" s="6">
        <v>-0.86527907361953171</v>
      </c>
      <c r="K466" s="6">
        <v>-0.89269086270712661</v>
      </c>
      <c r="L466" s="6">
        <v>-0.42418398655871886</v>
      </c>
      <c r="N466" s="8">
        <f>SQRT((C466-Sheet3!$C$525)^2+(D466-Sheet3!$D$525)^2+(E466-Sheet3!$E$525)^2+(F466-Sheet3!$F$525)^2+(G466-Sheet3!$G$525)^2+(H466-Sheet3!$H$525)^2+(I466-Sheet3!$I$525)^2+(J466-Sheet3!$J$525)^2+(K466-Sheet3!$K$525)^2+(L466-Sheet3!$L$525)^2)</f>
        <v>2.4822210407831578</v>
      </c>
      <c r="O466" s="8">
        <f>SQRT((C466-Sheet3!$C$526)^2+(D466-Sheet3!$D$526)^2+(E466-Sheet3!$E$526)^2+(F466-Sheet3!$F$526)^2+(G466-Sheet3!$G$526)^2+(H466-Sheet3!$H$526)^2+(I466-Sheet3!$I$526)^2+(J466-Sheet3!$J$526)^2+(K466-Sheet3!$K$526)^2+(L466-Sheet3!$L$526)^2)</f>
        <v>4.9893946750494385</v>
      </c>
      <c r="P466" s="12">
        <f t="shared" si="7"/>
        <v>0</v>
      </c>
      <c r="Q466" s="11">
        <f>IF(P466=Sheet1!M466, 1, 0)</f>
        <v>1</v>
      </c>
    </row>
    <row r="467" spans="1:17" x14ac:dyDescent="0.35">
      <c r="A467" s="6" t="s">
        <v>505</v>
      </c>
      <c r="B467" s="6" t="s">
        <v>509</v>
      </c>
      <c r="C467" s="6">
        <v>-0.95057437866753802</v>
      </c>
      <c r="D467" s="6">
        <v>-0.20660661648206549</v>
      </c>
      <c r="E467" s="6">
        <v>-1.1725136180366185</v>
      </c>
      <c r="F467" s="6">
        <v>-0.88384328474776852</v>
      </c>
      <c r="G467" s="6">
        <v>-1.0820823255060454</v>
      </c>
      <c r="H467" s="6">
        <v>-1.0359144667704869</v>
      </c>
      <c r="I467" s="6">
        <v>0.34063858566542055</v>
      </c>
      <c r="J467" s="6">
        <v>-1.1841368419362523</v>
      </c>
      <c r="K467" s="6">
        <v>-9.3026371325635418E-2</v>
      </c>
      <c r="L467" s="6">
        <v>-0.32245308010840712</v>
      </c>
      <c r="N467" s="8">
        <f>SQRT((C467-Sheet3!$C$525)^2+(D467-Sheet3!$D$525)^2+(E467-Sheet3!$E$525)^2+(F467-Sheet3!$F$525)^2+(G467-Sheet3!$G$525)^2+(H467-Sheet3!$H$525)^2+(I467-Sheet3!$I$525)^2+(J467-Sheet3!$J$525)^2+(K467-Sheet3!$K$525)^2+(L467-Sheet3!$L$525)^2)</f>
        <v>2.1738739489318966</v>
      </c>
      <c r="O467" s="8">
        <f>SQRT((C467-Sheet3!$C$526)^2+(D467-Sheet3!$D$526)^2+(E467-Sheet3!$E$526)^2+(F467-Sheet3!$F$526)^2+(G467-Sheet3!$G$526)^2+(H467-Sheet3!$H$526)^2+(I467-Sheet3!$I$526)^2+(J467-Sheet3!$J$526)^2+(K467-Sheet3!$K$526)^2+(L467-Sheet3!$L$526)^2)</f>
        <v>5.0855453424621642</v>
      </c>
      <c r="P467" s="12">
        <f t="shared" si="7"/>
        <v>0</v>
      </c>
      <c r="Q467" s="11">
        <f>IF(P467=Sheet1!M467, 1, 0)</f>
        <v>1</v>
      </c>
    </row>
    <row r="468" spans="1:17" x14ac:dyDescent="0.35">
      <c r="A468" s="6" t="s">
        <v>505</v>
      </c>
      <c r="B468" s="6" t="s">
        <v>510</v>
      </c>
      <c r="C468" s="6">
        <v>-0.94654831338436674</v>
      </c>
      <c r="D468" s="6">
        <v>0.11255773708010311</v>
      </c>
      <c r="E468" s="6">
        <v>-1.0336298335538736</v>
      </c>
      <c r="F468" s="6">
        <v>-0.32458243164365874</v>
      </c>
      <c r="G468" s="6">
        <v>-1.3591132060089755E-2</v>
      </c>
      <c r="H468" s="6">
        <v>-0.44287799009034873</v>
      </c>
      <c r="I468" s="6">
        <v>0.1245274951944336</v>
      </c>
      <c r="J468" s="6">
        <v>1.1199901267333845</v>
      </c>
      <c r="K468" s="6">
        <v>-0.79410208979707941</v>
      </c>
      <c r="L468" s="6">
        <v>-0.37807532601592014</v>
      </c>
      <c r="N468" s="8">
        <f>SQRT((C468-Sheet3!$C$525)^2+(D468-Sheet3!$D$525)^2+(E468-Sheet3!$E$525)^2+(F468-Sheet3!$F$525)^2+(G468-Sheet3!$G$525)^2+(H468-Sheet3!$H$525)^2+(I468-Sheet3!$I$525)^2+(J468-Sheet3!$J$525)^2+(K468-Sheet3!$K$525)^2+(L468-Sheet3!$L$525)^2)</f>
        <v>2.3070535909713206</v>
      </c>
      <c r="O468" s="8">
        <f>SQRT((C468-Sheet3!$C$526)^2+(D468-Sheet3!$D$526)^2+(E468-Sheet3!$E$526)^2+(F468-Sheet3!$F$526)^2+(G468-Sheet3!$G$526)^2+(H468-Sheet3!$H$526)^2+(I468-Sheet3!$I$526)^2+(J468-Sheet3!$J$526)^2+(K468-Sheet3!$K$526)^2+(L468-Sheet3!$L$526)^2)</f>
        <v>3.5233669062436155</v>
      </c>
      <c r="P468" s="12">
        <f t="shared" si="7"/>
        <v>0</v>
      </c>
      <c r="Q468" s="11">
        <f>IF(P468=Sheet1!M468, 1, 0)</f>
        <v>1</v>
      </c>
    </row>
    <row r="469" spans="1:17" x14ac:dyDescent="0.35">
      <c r="A469" s="6" t="s">
        <v>505</v>
      </c>
      <c r="B469" s="6" t="s">
        <v>511</v>
      </c>
      <c r="C469" s="6">
        <v>0.37131705597373715</v>
      </c>
      <c r="D469" s="6">
        <v>-0.10226442397135649</v>
      </c>
      <c r="E469" s="6">
        <v>-0.86637986497253106</v>
      </c>
      <c r="F469" s="6">
        <v>-0.45091683923191406</v>
      </c>
      <c r="G469" s="6">
        <v>-0.16747709198573077</v>
      </c>
      <c r="H469" s="6">
        <v>-0.3825509370584006</v>
      </c>
      <c r="I469" s="6">
        <v>-1.2511885320515537</v>
      </c>
      <c r="J469" s="6">
        <v>0.65309125169818638</v>
      </c>
      <c r="K469" s="6">
        <v>-0.72994114234768448</v>
      </c>
      <c r="L469" s="6">
        <v>-0.40688205479667994</v>
      </c>
      <c r="N469" s="8">
        <f>SQRT((C469-Sheet3!$C$525)^2+(D469-Sheet3!$D$525)^2+(E469-Sheet3!$E$525)^2+(F469-Sheet3!$F$525)^2+(G469-Sheet3!$G$525)^2+(H469-Sheet3!$H$525)^2+(I469-Sheet3!$I$525)^2+(J469-Sheet3!$J$525)^2+(K469-Sheet3!$K$525)^2+(L469-Sheet3!$L$525)^2)</f>
        <v>1.8140574151778757</v>
      </c>
      <c r="O469" s="8">
        <f>SQRT((C469-Sheet3!$C$526)^2+(D469-Sheet3!$D$526)^2+(E469-Sheet3!$E$526)^2+(F469-Sheet3!$F$526)^2+(G469-Sheet3!$G$526)^2+(H469-Sheet3!$H$526)^2+(I469-Sheet3!$I$526)^2+(J469-Sheet3!$J$526)^2+(K469-Sheet3!$K$526)^2+(L469-Sheet3!$L$526)^2)</f>
        <v>4.198125234311421</v>
      </c>
      <c r="P469" s="12">
        <f t="shared" si="7"/>
        <v>0</v>
      </c>
      <c r="Q469" s="11">
        <f>IF(P469=Sheet1!M469, 1, 0)</f>
        <v>1</v>
      </c>
    </row>
    <row r="470" spans="1:17" x14ac:dyDescent="0.35">
      <c r="A470" s="6" t="s">
        <v>505</v>
      </c>
      <c r="B470" s="6" t="s">
        <v>512</v>
      </c>
      <c r="C470" s="6">
        <v>-0.77208548444693947</v>
      </c>
      <c r="D470" s="6">
        <v>-0.63625093858498472</v>
      </c>
      <c r="E470" s="6">
        <v>-1.4539651070149129</v>
      </c>
      <c r="F470" s="6">
        <v>-1.0825888771731962</v>
      </c>
      <c r="G470" s="6">
        <v>-0.66978409325244581</v>
      </c>
      <c r="H470" s="6">
        <v>-0.30714212076846453</v>
      </c>
      <c r="I470" s="6">
        <v>-0.39439412027277393</v>
      </c>
      <c r="J470" s="6">
        <v>0.45949903522017715</v>
      </c>
      <c r="K470" s="6">
        <v>-0.27455490557270729</v>
      </c>
      <c r="L470" s="6">
        <v>-0.43629440478483278</v>
      </c>
      <c r="N470" s="8">
        <f>SQRT((C470-Sheet3!$C$525)^2+(D470-Sheet3!$D$525)^2+(E470-Sheet3!$E$525)^2+(F470-Sheet3!$F$525)^2+(G470-Sheet3!$G$525)^2+(H470-Sheet3!$H$525)^2+(I470-Sheet3!$I$525)^2+(J470-Sheet3!$J$525)^2+(K470-Sheet3!$K$525)^2+(L470-Sheet3!$L$525)^2)</f>
        <v>1.9539218148947795</v>
      </c>
      <c r="O470" s="8">
        <f>SQRT((C470-Sheet3!$C$526)^2+(D470-Sheet3!$D$526)^2+(E470-Sheet3!$E$526)^2+(F470-Sheet3!$F$526)^2+(G470-Sheet3!$G$526)^2+(H470-Sheet3!$H$526)^2+(I470-Sheet3!$I$526)^2+(J470-Sheet3!$J$526)^2+(K470-Sheet3!$K$526)^2+(L470-Sheet3!$L$526)^2)</f>
        <v>4.725836443411354</v>
      </c>
      <c r="P470" s="12">
        <f t="shared" si="7"/>
        <v>0</v>
      </c>
      <c r="Q470" s="11">
        <f>IF(P470=Sheet1!M470, 1, 0)</f>
        <v>1</v>
      </c>
    </row>
    <row r="471" spans="1:17" x14ac:dyDescent="0.35">
      <c r="A471" s="6" t="s">
        <v>505</v>
      </c>
      <c r="B471" s="6" t="s">
        <v>513</v>
      </c>
      <c r="C471" s="6">
        <v>-0.64190937362439759</v>
      </c>
      <c r="D471" s="6">
        <v>-0.47053098577385882</v>
      </c>
      <c r="E471" s="6">
        <v>-1.4211782189009494</v>
      </c>
      <c r="F471" s="6">
        <v>-1.4169128582299235</v>
      </c>
      <c r="G471" s="6">
        <v>-2.1592840449855326</v>
      </c>
      <c r="H471" s="6">
        <v>-0.63732500923796886</v>
      </c>
      <c r="I471" s="6">
        <v>-1.0695022170538218</v>
      </c>
      <c r="J471" s="6">
        <v>0.39496829639417413</v>
      </c>
      <c r="K471" s="6">
        <v>-3.6689929662751655E-2</v>
      </c>
      <c r="L471" s="6">
        <v>-0.43535183051401094</v>
      </c>
      <c r="N471" s="8">
        <f>SQRT((C471-Sheet3!$C$525)^2+(D471-Sheet3!$D$525)^2+(E471-Sheet3!$E$525)^2+(F471-Sheet3!$F$525)^2+(G471-Sheet3!$G$525)^2+(H471-Sheet3!$H$525)^2+(I471-Sheet3!$I$525)^2+(J471-Sheet3!$J$525)^2+(K471-Sheet3!$K$525)^2+(L471-Sheet3!$L$525)^2)</f>
        <v>2.8356876940328997</v>
      </c>
      <c r="O471" s="8">
        <f>SQRT((C471-Sheet3!$C$526)^2+(D471-Sheet3!$D$526)^2+(E471-Sheet3!$E$526)^2+(F471-Sheet3!$F$526)^2+(G471-Sheet3!$G$526)^2+(H471-Sheet3!$H$526)^2+(I471-Sheet3!$I$526)^2+(J471-Sheet3!$J$526)^2+(K471-Sheet3!$K$526)^2+(L471-Sheet3!$L$526)^2)</f>
        <v>5.7606725421997664</v>
      </c>
      <c r="P471" s="12">
        <f t="shared" si="7"/>
        <v>0</v>
      </c>
      <c r="Q471" s="11">
        <f>IF(P471=Sheet1!M471, 1, 0)</f>
        <v>1</v>
      </c>
    </row>
    <row r="472" spans="1:17" x14ac:dyDescent="0.35">
      <c r="A472" s="6" t="s">
        <v>505</v>
      </c>
      <c r="B472" s="6" t="s">
        <v>514</v>
      </c>
      <c r="C472" s="6">
        <v>-1.1706659474809076</v>
      </c>
      <c r="D472" s="6">
        <v>2.0705082906634091</v>
      </c>
      <c r="E472" s="6">
        <v>1.0923604058358354</v>
      </c>
      <c r="F472" s="6">
        <v>1.5735150091945358</v>
      </c>
      <c r="G472" s="6">
        <v>0.40741762622704125</v>
      </c>
      <c r="H472" s="6">
        <v>1.1859524417722642</v>
      </c>
      <c r="I472" s="6">
        <v>0.94753462734205607</v>
      </c>
      <c r="J472" s="6">
        <v>0.24313126386240255</v>
      </c>
      <c r="K472" s="6">
        <v>-1.5468195464595</v>
      </c>
      <c r="L472" s="6">
        <v>-0.30442189131630942</v>
      </c>
      <c r="N472" s="8">
        <f>SQRT((C472-Sheet3!$C$525)^2+(D472-Sheet3!$D$525)^2+(E472-Sheet3!$E$525)^2+(F472-Sheet3!$F$525)^2+(G472-Sheet3!$G$525)^2+(H472-Sheet3!$H$525)^2+(I472-Sheet3!$I$525)^2+(J472-Sheet3!$J$525)^2+(K472-Sheet3!$K$525)^2+(L472-Sheet3!$L$525)^2)</f>
        <v>4.554258233781403</v>
      </c>
      <c r="O472" s="8">
        <f>SQRT((C472-Sheet3!$C$526)^2+(D472-Sheet3!$D$526)^2+(E472-Sheet3!$E$526)^2+(F472-Sheet3!$F$526)^2+(G472-Sheet3!$G$526)^2+(H472-Sheet3!$H$526)^2+(I472-Sheet3!$I$526)^2+(J472-Sheet3!$J$526)^2+(K472-Sheet3!$K$526)^2+(L472-Sheet3!$L$526)^2)</f>
        <v>2.1238409724152865</v>
      </c>
      <c r="P472" s="12">
        <f t="shared" si="7"/>
        <v>1</v>
      </c>
      <c r="Q472" s="11">
        <f>IF(P472=Sheet1!M472, 1, 0)</f>
        <v>0</v>
      </c>
    </row>
    <row r="473" spans="1:17" x14ac:dyDescent="0.35">
      <c r="A473" s="6" t="s">
        <v>505</v>
      </c>
      <c r="B473" s="6" t="s">
        <v>515</v>
      </c>
      <c r="C473" s="6">
        <v>-0.76403335388059668</v>
      </c>
      <c r="D473" s="6">
        <v>0.92888194907565047</v>
      </c>
      <c r="E473" s="6">
        <v>-0.74002140853332288</v>
      </c>
      <c r="F473" s="6">
        <v>0.16380790013045457</v>
      </c>
      <c r="G473" s="6">
        <v>-6.5854288261248589E-2</v>
      </c>
      <c r="H473" s="6">
        <v>0.71895641517673314</v>
      </c>
      <c r="I473" s="6">
        <v>0.83342287160663786</v>
      </c>
      <c r="J473" s="6">
        <v>-0.85389129617964865</v>
      </c>
      <c r="K473" s="6">
        <v>-0.51085498032535759</v>
      </c>
      <c r="L473" s="6">
        <v>-0.41583651036948732</v>
      </c>
      <c r="N473" s="8">
        <f>SQRT((C473-Sheet3!$C$525)^2+(D473-Sheet3!$D$525)^2+(E473-Sheet3!$E$525)^2+(F473-Sheet3!$F$525)^2+(G473-Sheet3!$G$525)^2+(H473-Sheet3!$H$525)^2+(I473-Sheet3!$I$525)^2+(J473-Sheet3!$J$525)^2+(K473-Sheet3!$K$525)^2+(L473-Sheet3!$L$525)^2)</f>
        <v>2.4062444615028471</v>
      </c>
      <c r="O473" s="8">
        <f>SQRT((C473-Sheet3!$C$526)^2+(D473-Sheet3!$D$526)^2+(E473-Sheet3!$E$526)^2+(F473-Sheet3!$F$526)^2+(G473-Sheet3!$G$526)^2+(H473-Sheet3!$H$526)^2+(I473-Sheet3!$I$526)^2+(J473-Sheet3!$J$526)^2+(K473-Sheet3!$K$526)^2+(L473-Sheet3!$L$526)^2)</f>
        <v>3.3463684411739152</v>
      </c>
      <c r="P473" s="12">
        <f t="shared" si="7"/>
        <v>0</v>
      </c>
      <c r="Q473" s="11">
        <f>IF(P473=Sheet1!M473, 1, 0)</f>
        <v>1</v>
      </c>
    </row>
    <row r="474" spans="1:17" x14ac:dyDescent="0.35">
      <c r="A474" s="6" t="s">
        <v>516</v>
      </c>
      <c r="B474" s="6" t="s">
        <v>517</v>
      </c>
      <c r="C474" s="6">
        <v>1.4207780731204147</v>
      </c>
      <c r="D474" s="6">
        <v>0.32737989813156382</v>
      </c>
      <c r="E474" s="6">
        <v>-1.0605224496473493</v>
      </c>
      <c r="F474" s="6">
        <v>-0.21673598614148823</v>
      </c>
      <c r="G474" s="6">
        <v>-0.33588059530058234</v>
      </c>
      <c r="H474" s="6">
        <v>-0.61093192353649162</v>
      </c>
      <c r="I474" s="6">
        <v>0.82003545892259477</v>
      </c>
      <c r="J474" s="6">
        <v>1.0782349427871476</v>
      </c>
      <c r="K474" s="6">
        <v>0.3232373365167836</v>
      </c>
      <c r="L474" s="6">
        <v>-0.38635027559699342</v>
      </c>
      <c r="N474" s="8">
        <f>SQRT((C474-Sheet3!$C$525)^2+(D474-Sheet3!$D$525)^2+(E474-Sheet3!$E$525)^2+(F474-Sheet3!$F$525)^2+(G474-Sheet3!$G$525)^2+(H474-Sheet3!$H$525)^2+(I474-Sheet3!$I$525)^2+(J474-Sheet3!$J$525)^2+(K474-Sheet3!$K$525)^2+(L474-Sheet3!$L$525)^2)</f>
        <v>2.3925923547594228</v>
      </c>
      <c r="O474" s="8">
        <f>SQRT((C474-Sheet3!$C$526)^2+(D474-Sheet3!$D$526)^2+(E474-Sheet3!$E$526)^2+(F474-Sheet3!$F$526)^2+(G474-Sheet3!$G$526)^2+(H474-Sheet3!$H$526)^2+(I474-Sheet3!$I$526)^2+(J474-Sheet3!$J$526)^2+(K474-Sheet3!$K$526)^2+(L474-Sheet3!$L$526)^2)</f>
        <v>4.2161095275309126</v>
      </c>
      <c r="P474" s="12">
        <f t="shared" si="7"/>
        <v>0</v>
      </c>
      <c r="Q474" s="11">
        <f>IF(P474=Sheet1!M474, 1, 0)</f>
        <v>0</v>
      </c>
    </row>
    <row r="475" spans="1:17" x14ac:dyDescent="0.35">
      <c r="A475" s="6" t="s">
        <v>516</v>
      </c>
      <c r="B475" s="6" t="s">
        <v>518</v>
      </c>
      <c r="C475" s="6">
        <v>0.50551923207945038</v>
      </c>
      <c r="D475" s="6">
        <v>8.8006632959936798E-2</v>
      </c>
      <c r="E475" s="6">
        <v>-0.80080608874460379</v>
      </c>
      <c r="F475" s="6">
        <v>-0.71128897194429574</v>
      </c>
      <c r="G475" s="6">
        <v>-1.3724331932902731</v>
      </c>
      <c r="H475" s="6">
        <v>-0.1417813593326771</v>
      </c>
      <c r="I475" s="6">
        <v>-8.6483628539775009E-2</v>
      </c>
      <c r="J475" s="6">
        <v>-0.69446241202128833</v>
      </c>
      <c r="K475" s="6">
        <v>0.9679766133253439</v>
      </c>
      <c r="L475" s="6">
        <v>-0.42308137734353385</v>
      </c>
      <c r="N475" s="8">
        <f>SQRT((C475-Sheet3!$C$525)^2+(D475-Sheet3!$D$525)^2+(E475-Sheet3!$E$525)^2+(F475-Sheet3!$F$525)^2+(G475-Sheet3!$G$525)^2+(H475-Sheet3!$H$525)^2+(I475-Sheet3!$I$525)^2+(J475-Sheet3!$J$525)^2+(K475-Sheet3!$K$525)^2+(L475-Sheet3!$L$525)^2)</f>
        <v>1.6154660681266695</v>
      </c>
      <c r="O475" s="8">
        <f>SQRT((C475-Sheet3!$C$526)^2+(D475-Sheet3!$D$526)^2+(E475-Sheet3!$E$526)^2+(F475-Sheet3!$F$526)^2+(G475-Sheet3!$G$526)^2+(H475-Sheet3!$H$526)^2+(I475-Sheet3!$I$526)^2+(J475-Sheet3!$J$526)^2+(K475-Sheet3!$K$526)^2+(L475-Sheet3!$L$526)^2)</f>
        <v>4.8990617415059745</v>
      </c>
      <c r="P475" s="12">
        <f t="shared" si="7"/>
        <v>0</v>
      </c>
      <c r="Q475" s="11">
        <f>IF(P475=Sheet1!M475, 1, 0)</f>
        <v>1</v>
      </c>
    </row>
    <row r="476" spans="1:17" x14ac:dyDescent="0.35">
      <c r="A476" s="6" t="s">
        <v>516</v>
      </c>
      <c r="B476" s="6" t="s">
        <v>519</v>
      </c>
      <c r="C476" s="6">
        <v>2.5950471140454052</v>
      </c>
      <c r="D476" s="6">
        <v>-0.83265977154631954</v>
      </c>
      <c r="E476" s="6">
        <v>-0.84390795289442122</v>
      </c>
      <c r="F476" s="6">
        <v>-1.4785393985168778</v>
      </c>
      <c r="G476" s="6">
        <v>-2.7341787631983023</v>
      </c>
      <c r="H476" s="6">
        <v>-0.86732189892227318</v>
      </c>
      <c r="I476" s="6">
        <v>-4.1664570179625366</v>
      </c>
      <c r="J476" s="6">
        <v>-0.81972796386000013</v>
      </c>
      <c r="K476" s="6">
        <v>0.86156333462878443</v>
      </c>
      <c r="L476" s="6">
        <v>-0.43825176650936182</v>
      </c>
      <c r="N476" s="8">
        <f>SQRT((C476-Sheet3!$C$525)^2+(D476-Sheet3!$D$525)^2+(E476-Sheet3!$E$525)^2+(F476-Sheet3!$F$525)^2+(G476-Sheet3!$G$525)^2+(H476-Sheet3!$H$525)^2+(I476-Sheet3!$I$525)^2+(J476-Sheet3!$J$525)^2+(K476-Sheet3!$K$525)^2+(L476-Sheet3!$L$525)^2)</f>
        <v>5.4974528921597665</v>
      </c>
      <c r="O476" s="8">
        <f>SQRT((C476-Sheet3!$C$526)^2+(D476-Sheet3!$D$526)^2+(E476-Sheet3!$E$526)^2+(F476-Sheet3!$F$526)^2+(G476-Sheet3!$G$526)^2+(H476-Sheet3!$H$526)^2+(I476-Sheet3!$I$526)^2+(J476-Sheet3!$J$526)^2+(K476-Sheet3!$K$526)^2+(L476-Sheet3!$L$526)^2)</f>
        <v>8.5530662755008926</v>
      </c>
      <c r="P476" s="12">
        <f t="shared" si="7"/>
        <v>0</v>
      </c>
      <c r="Q476" s="11">
        <f>IF(P476=Sheet1!M476, 1, 0)</f>
        <v>0</v>
      </c>
    </row>
    <row r="477" spans="1:17" x14ac:dyDescent="0.35">
      <c r="A477" s="6" t="s">
        <v>516</v>
      </c>
      <c r="B477" s="6" t="s">
        <v>520</v>
      </c>
      <c r="C477" s="6">
        <v>2.3507991535330071</v>
      </c>
      <c r="D477" s="6">
        <v>-0.13295330412156439</v>
      </c>
      <c r="E477" s="6">
        <v>-0.22721974275088053</v>
      </c>
      <c r="F477" s="6">
        <v>-0.81297276341776981</v>
      </c>
      <c r="G477" s="6">
        <v>-2.5164156123601318</v>
      </c>
      <c r="H477" s="6">
        <v>1.3345348463762764E-2</v>
      </c>
      <c r="I477" s="6">
        <v>0.3336261314023502</v>
      </c>
      <c r="J477" s="6">
        <v>-0.12127761421384972</v>
      </c>
      <c r="K477" s="6">
        <v>-0.33089134723559105</v>
      </c>
      <c r="L477" s="6">
        <v>6.4727448954961561E-2</v>
      </c>
      <c r="N477" s="8">
        <f>SQRT((C477-Sheet3!$C$525)^2+(D477-Sheet3!$D$525)^2+(E477-Sheet3!$E$525)^2+(F477-Sheet3!$F$525)^2+(G477-Sheet3!$G$525)^2+(H477-Sheet3!$H$525)^2+(I477-Sheet3!$I$525)^2+(J477-Sheet3!$J$525)^2+(K477-Sheet3!$K$525)^2+(L477-Sheet3!$L$525)^2)</f>
        <v>3.2593775541559413</v>
      </c>
      <c r="O477" s="8">
        <f>SQRT((C477-Sheet3!$C$526)^2+(D477-Sheet3!$D$526)^2+(E477-Sheet3!$E$526)^2+(F477-Sheet3!$F$526)^2+(G477-Sheet3!$G$526)^2+(H477-Sheet3!$H$526)^2+(I477-Sheet3!$I$526)^2+(J477-Sheet3!$J$526)^2+(K477-Sheet3!$K$526)^2+(L477-Sheet3!$L$526)^2)</f>
        <v>5.6179133841224305</v>
      </c>
      <c r="P477" s="12">
        <f t="shared" si="7"/>
        <v>0</v>
      </c>
      <c r="Q477" s="11">
        <f>IF(P477=Sheet1!M477, 1, 0)</f>
        <v>0</v>
      </c>
    </row>
    <row r="478" spans="1:17" x14ac:dyDescent="0.35">
      <c r="A478" s="6" t="s">
        <v>516</v>
      </c>
      <c r="B478" s="6" t="s">
        <v>521</v>
      </c>
      <c r="C478" s="6">
        <v>1.1121130680772742</v>
      </c>
      <c r="D478" s="6">
        <v>-5.9299991761064347E-2</v>
      </c>
      <c r="E478" s="6">
        <v>0.60866170815455178</v>
      </c>
      <c r="F478" s="6">
        <v>0.32249624136936217</v>
      </c>
      <c r="G478" s="6">
        <v>-0.24296831760963145</v>
      </c>
      <c r="H478" s="6">
        <v>0.52235485842082952</v>
      </c>
      <c r="I478" s="6">
        <v>6.7790365247773279E-2</v>
      </c>
      <c r="J478" s="6">
        <v>0.75178532284383803</v>
      </c>
      <c r="K478" s="6">
        <v>0.31697773188757328</v>
      </c>
      <c r="L478" s="6">
        <v>-0.32117223638801018</v>
      </c>
      <c r="N478" s="8">
        <f>SQRT((C478-Sheet3!$C$525)^2+(D478-Sheet3!$D$525)^2+(E478-Sheet3!$E$525)^2+(F478-Sheet3!$F$525)^2+(G478-Sheet3!$G$525)^2+(H478-Sheet3!$H$525)^2+(I478-Sheet3!$I$525)^2+(J478-Sheet3!$J$525)^2+(K478-Sheet3!$K$525)^2+(L478-Sheet3!$L$525)^2)</f>
        <v>2.0404735357084132</v>
      </c>
      <c r="O478" s="8">
        <f>SQRT((C478-Sheet3!$C$526)^2+(D478-Sheet3!$D$526)^2+(E478-Sheet3!$E$526)^2+(F478-Sheet3!$F$526)^2+(G478-Sheet3!$G$526)^2+(H478-Sheet3!$H$526)^2+(I478-Sheet3!$I$526)^2+(J478-Sheet3!$J$526)^2+(K478-Sheet3!$K$526)^2+(L478-Sheet3!$L$526)^2)</f>
        <v>3.1262260626934806</v>
      </c>
      <c r="P478" s="12">
        <f t="shared" si="7"/>
        <v>0</v>
      </c>
      <c r="Q478" s="11">
        <f>IF(P478=Sheet1!M478, 1, 0)</f>
        <v>0</v>
      </c>
    </row>
    <row r="479" spans="1:17" x14ac:dyDescent="0.35">
      <c r="A479" s="6" t="s">
        <v>516</v>
      </c>
      <c r="B479" s="6" t="s">
        <v>522</v>
      </c>
      <c r="C479" s="6">
        <v>0.84236669410479081</v>
      </c>
      <c r="D479" s="6">
        <v>-0.58101095431460936</v>
      </c>
      <c r="E479" s="6">
        <v>-1.5239595872582061</v>
      </c>
      <c r="F479" s="6">
        <v>-1.1503780714888456</v>
      </c>
      <c r="G479" s="6">
        <v>-0.9485209263253026</v>
      </c>
      <c r="H479" s="6">
        <v>-1.9499770470849229</v>
      </c>
      <c r="I479" s="6">
        <v>-2.151970156935048</v>
      </c>
      <c r="J479" s="6">
        <v>-0.572992785995871</v>
      </c>
      <c r="K479" s="6">
        <v>1.6596629248529713</v>
      </c>
      <c r="L479" s="6">
        <v>-0.43176507527055735</v>
      </c>
      <c r="N479" s="8">
        <f>SQRT((C479-Sheet3!$C$525)^2+(D479-Sheet3!$D$525)^2+(E479-Sheet3!$E$525)^2+(F479-Sheet3!$F$525)^2+(G479-Sheet3!$G$525)^2+(H479-Sheet3!$H$525)^2+(I479-Sheet3!$I$525)^2+(J479-Sheet3!$J$525)^2+(K479-Sheet3!$K$525)^2+(L479-Sheet3!$L$525)^2)</f>
        <v>3.4542394242925449</v>
      </c>
      <c r="O479" s="8">
        <f>SQRT((C479-Sheet3!$C$526)^2+(D479-Sheet3!$D$526)^2+(E479-Sheet3!$E$526)^2+(F479-Sheet3!$F$526)^2+(G479-Sheet3!$G$526)^2+(H479-Sheet3!$H$526)^2+(I479-Sheet3!$I$526)^2+(J479-Sheet3!$J$526)^2+(K479-Sheet3!$K$526)^2+(L479-Sheet3!$L$526)^2)</f>
        <v>6.8199051209911206</v>
      </c>
      <c r="P479" s="12">
        <f t="shared" si="7"/>
        <v>0</v>
      </c>
      <c r="Q479" s="11">
        <f>IF(P479=Sheet1!M479, 1, 0)</f>
        <v>0</v>
      </c>
    </row>
    <row r="480" spans="1:17" x14ac:dyDescent="0.35">
      <c r="A480" s="6" t="s">
        <v>516</v>
      </c>
      <c r="B480" s="6" t="s">
        <v>523</v>
      </c>
      <c r="C480" s="6">
        <v>2.0810527795605238</v>
      </c>
      <c r="D480" s="6">
        <v>-6.5437767791105925E-2</v>
      </c>
      <c r="E480" s="6">
        <v>-1.0958880817702765</v>
      </c>
      <c r="F480" s="6">
        <v>-0.64041845061429925</v>
      </c>
      <c r="G480" s="6">
        <v>-0.99788057384862183</v>
      </c>
      <c r="H480" s="6">
        <v>0.3801553762740934</v>
      </c>
      <c r="I480" s="6">
        <v>4.0407810380426222E-3</v>
      </c>
      <c r="J480" s="6">
        <v>-0.64511537644846251</v>
      </c>
      <c r="K480" s="6">
        <v>-8.989656901103138E-2</v>
      </c>
      <c r="L480" s="6">
        <v>-0.28089598137924437</v>
      </c>
      <c r="N480" s="8">
        <f>SQRT((C480-Sheet3!$C$525)^2+(D480-Sheet3!$D$525)^2+(E480-Sheet3!$E$525)^2+(F480-Sheet3!$F$525)^2+(G480-Sheet3!$G$525)^2+(H480-Sheet3!$H$525)^2+(I480-Sheet3!$I$525)^2+(J480-Sheet3!$J$525)^2+(K480-Sheet3!$K$525)^2+(L480-Sheet3!$L$525)^2)</f>
        <v>2.298780174994361</v>
      </c>
      <c r="O480" s="8">
        <f>SQRT((C480-Sheet3!$C$526)^2+(D480-Sheet3!$D$526)^2+(E480-Sheet3!$E$526)^2+(F480-Sheet3!$F$526)^2+(G480-Sheet3!$G$526)^2+(H480-Sheet3!$H$526)^2+(I480-Sheet3!$I$526)^2+(J480-Sheet3!$J$526)^2+(K480-Sheet3!$K$526)^2+(L480-Sheet3!$L$526)^2)</f>
        <v>5.1627558069087245</v>
      </c>
      <c r="P480" s="12">
        <f t="shared" si="7"/>
        <v>0</v>
      </c>
      <c r="Q480" s="11">
        <f>IF(P480=Sheet1!M480, 1, 0)</f>
        <v>1</v>
      </c>
    </row>
    <row r="481" spans="1:17" x14ac:dyDescent="0.35">
      <c r="A481" s="6" t="s">
        <v>516</v>
      </c>
      <c r="B481" s="6" t="s">
        <v>524</v>
      </c>
      <c r="C481" s="6">
        <v>0.70145440919379176</v>
      </c>
      <c r="D481" s="6">
        <v>-0.2557088247223992</v>
      </c>
      <c r="E481" s="6">
        <v>-0.89990353708905568</v>
      </c>
      <c r="F481" s="6">
        <v>-0.92544119944146208</v>
      </c>
      <c r="G481" s="6">
        <v>-1.4014682800686984</v>
      </c>
      <c r="H481" s="6">
        <v>-1.1899639057627842</v>
      </c>
      <c r="I481" s="6">
        <v>-0.74501683342629255</v>
      </c>
      <c r="J481" s="6">
        <v>-0.47429871485021918</v>
      </c>
      <c r="K481" s="6">
        <v>-0.47486225370740337</v>
      </c>
      <c r="L481" s="6">
        <v>-0.40481309277996602</v>
      </c>
      <c r="N481" s="8">
        <f>SQRT((C481-Sheet3!$C$525)^2+(D481-Sheet3!$D$525)^2+(E481-Sheet3!$E$525)^2+(F481-Sheet3!$F$525)^2+(G481-Sheet3!$G$525)^2+(H481-Sheet3!$H$525)^2+(I481-Sheet3!$I$525)^2+(J481-Sheet3!$J$525)^2+(K481-Sheet3!$K$525)^2+(L481-Sheet3!$L$525)^2)</f>
        <v>1.9580303169318916</v>
      </c>
      <c r="O481" s="8">
        <f>SQRT((C481-Sheet3!$C$526)^2+(D481-Sheet3!$D$526)^2+(E481-Sheet3!$E$526)^2+(F481-Sheet3!$F$526)^2+(G481-Sheet3!$G$526)^2+(H481-Sheet3!$H$526)^2+(I481-Sheet3!$I$526)^2+(J481-Sheet3!$J$526)^2+(K481-Sheet3!$K$526)^2+(L481-Sheet3!$L$526)^2)</f>
        <v>5.286050619057205</v>
      </c>
      <c r="P481" s="12">
        <f t="shared" si="7"/>
        <v>0</v>
      </c>
      <c r="Q481" s="11">
        <f>IF(P481=Sheet1!M481, 1, 0)</f>
        <v>0</v>
      </c>
    </row>
    <row r="482" spans="1:17" x14ac:dyDescent="0.35">
      <c r="A482" s="6" t="s">
        <v>516</v>
      </c>
      <c r="B482" s="6" t="s">
        <v>525</v>
      </c>
      <c r="C482" s="6">
        <v>2.8970020102832601</v>
      </c>
      <c r="D482" s="6">
        <v>-1.8699439206233688</v>
      </c>
      <c r="E482" s="6">
        <v>-1.9973433089036361</v>
      </c>
      <c r="F482" s="6">
        <v>-2.4984586402659716</v>
      </c>
      <c r="G482" s="6">
        <v>-2.7457927979096715</v>
      </c>
      <c r="H482" s="6">
        <v>-0.40140314113088427</v>
      </c>
      <c r="I482" s="6">
        <v>-3.0655016986604888</v>
      </c>
      <c r="J482" s="6">
        <v>-1.3549535035344955</v>
      </c>
      <c r="K482" s="6">
        <v>0.96171700869613352</v>
      </c>
      <c r="L482" s="6">
        <v>-0.45585809689648016</v>
      </c>
      <c r="N482" s="8">
        <f>SQRT((C482-Sheet3!$C$525)^2+(D482-Sheet3!$D$525)^2+(E482-Sheet3!$E$525)^2+(F482-Sheet3!$F$525)^2+(G482-Sheet3!$G$525)^2+(H482-Sheet3!$H$525)^2+(I482-Sheet3!$I$525)^2+(J482-Sheet3!$J$525)^2+(K482-Sheet3!$K$525)^2+(L482-Sheet3!$L$525)^2)</f>
        <v>5.7188284692095097</v>
      </c>
      <c r="O482" s="8">
        <f>SQRT((C482-Sheet3!$C$526)^2+(D482-Sheet3!$D$526)^2+(E482-Sheet3!$E$526)^2+(F482-Sheet3!$F$526)^2+(G482-Sheet3!$G$526)^2+(H482-Sheet3!$H$526)^2+(I482-Sheet3!$I$526)^2+(J482-Sheet3!$J$526)^2+(K482-Sheet3!$K$526)^2+(L482-Sheet3!$L$526)^2)</f>
        <v>9.2236196599464932</v>
      </c>
      <c r="P482" s="12">
        <f t="shared" si="7"/>
        <v>0</v>
      </c>
      <c r="Q482" s="11">
        <f>IF(P482=Sheet1!M482, 1, 0)</f>
        <v>0</v>
      </c>
    </row>
    <row r="483" spans="1:17" x14ac:dyDescent="0.35">
      <c r="A483" s="6" t="s">
        <v>516</v>
      </c>
      <c r="B483" s="6" t="s">
        <v>526</v>
      </c>
      <c r="C483" s="6">
        <v>2.5655226353021487</v>
      </c>
      <c r="D483" s="6">
        <v>-0.90631308390682019</v>
      </c>
      <c r="E483" s="6">
        <v>-1.8713532444657084</v>
      </c>
      <c r="F483" s="6">
        <v>-1.5756011994688301</v>
      </c>
      <c r="G483" s="6">
        <v>-1.2795209155993224</v>
      </c>
      <c r="H483" s="6">
        <v>-0.36154419537763277</v>
      </c>
      <c r="I483" s="6">
        <v>-2.8245282703477068</v>
      </c>
      <c r="J483" s="6">
        <v>-1.203116471002724</v>
      </c>
      <c r="K483" s="6">
        <v>1.8850086915045086</v>
      </c>
      <c r="L483" s="6">
        <v>-0.4491674075950281</v>
      </c>
      <c r="N483" s="8">
        <f>SQRT((C483-Sheet3!$C$525)^2+(D483-Sheet3!$D$525)^2+(E483-Sheet3!$E$525)^2+(F483-Sheet3!$F$525)^2+(G483-Sheet3!$G$525)^2+(H483-Sheet3!$H$525)^2+(I483-Sheet3!$I$525)^2+(J483-Sheet3!$J$525)^2+(K483-Sheet3!$K$525)^2+(L483-Sheet3!$L$525)^2)</f>
        <v>4.5979417447662376</v>
      </c>
      <c r="O483" s="8">
        <f>SQRT((C483-Sheet3!$C$526)^2+(D483-Sheet3!$D$526)^2+(E483-Sheet3!$E$526)^2+(F483-Sheet3!$F$526)^2+(G483-Sheet3!$G$526)^2+(H483-Sheet3!$H$526)^2+(I483-Sheet3!$I$526)^2+(J483-Sheet3!$J$526)^2+(K483-Sheet3!$K$526)^2+(L483-Sheet3!$L$526)^2)</f>
        <v>7.9769365767928733</v>
      </c>
      <c r="P483" s="12">
        <f t="shared" si="7"/>
        <v>0</v>
      </c>
      <c r="Q483" s="11">
        <f>IF(P483=Sheet1!M483, 1, 0)</f>
        <v>0</v>
      </c>
    </row>
    <row r="484" spans="1:17" x14ac:dyDescent="0.35">
      <c r="A484" s="6" t="s">
        <v>516</v>
      </c>
      <c r="B484" s="6" t="s">
        <v>527</v>
      </c>
      <c r="C484" s="6">
        <v>2.285040087241208</v>
      </c>
      <c r="D484" s="6">
        <v>-1.1088596928981966</v>
      </c>
      <c r="E484" s="6">
        <v>-1.7755713241327811</v>
      </c>
      <c r="F484" s="6">
        <v>-1.5524912468612224</v>
      </c>
      <c r="G484" s="6">
        <v>-0.59719637630638889</v>
      </c>
      <c r="H484" s="6">
        <v>0.77228122098175955</v>
      </c>
      <c r="I484" s="6">
        <v>-0.27836987701106458</v>
      </c>
      <c r="J484" s="6">
        <v>-0.81972796386000013</v>
      </c>
      <c r="K484" s="6">
        <v>2.3701280502682298</v>
      </c>
      <c r="L484" s="6">
        <v>-0.44667799602217417</v>
      </c>
      <c r="N484" s="8">
        <f>SQRT((C484-Sheet3!$C$525)^2+(D484-Sheet3!$D$525)^2+(E484-Sheet3!$E$525)^2+(F484-Sheet3!$F$525)^2+(G484-Sheet3!$G$525)^2+(H484-Sheet3!$H$525)^2+(I484-Sheet3!$I$525)^2+(J484-Sheet3!$J$525)^2+(K484-Sheet3!$K$525)^2+(L484-Sheet3!$L$525)^2)</f>
        <v>3.8006618352752044</v>
      </c>
      <c r="O484" s="8">
        <f>SQRT((C484-Sheet3!$C$526)^2+(D484-Sheet3!$D$526)^2+(E484-Sheet3!$E$526)^2+(F484-Sheet3!$F$526)^2+(G484-Sheet3!$G$526)^2+(H484-Sheet3!$H$526)^2+(I484-Sheet3!$I$526)^2+(J484-Sheet3!$J$526)^2+(K484-Sheet3!$K$526)^2+(L484-Sheet3!$L$526)^2)</f>
        <v>6.9163520579211362</v>
      </c>
      <c r="P484" s="12">
        <f t="shared" si="7"/>
        <v>0</v>
      </c>
      <c r="Q484" s="11">
        <f>IF(P484=Sheet1!M484, 1, 0)</f>
        <v>0</v>
      </c>
    </row>
    <row r="485" spans="1:17" x14ac:dyDescent="0.35">
      <c r="A485" s="6" t="s">
        <v>516</v>
      </c>
      <c r="B485" s="6" t="s">
        <v>528</v>
      </c>
      <c r="C485" s="6">
        <v>3.0097318382120597</v>
      </c>
      <c r="D485" s="6">
        <v>-2.0356638734344945</v>
      </c>
      <c r="E485" s="6">
        <v>-1.9582937567679042</v>
      </c>
      <c r="F485" s="6">
        <v>-2.1256180715298973</v>
      </c>
      <c r="G485" s="6">
        <v>-0.69591567135302324</v>
      </c>
      <c r="H485" s="6">
        <v>-1.7232119638130445</v>
      </c>
      <c r="I485" s="6">
        <v>-0.16999558385452232</v>
      </c>
      <c r="J485" s="6">
        <v>-1.6548316427847449</v>
      </c>
      <c r="K485" s="6">
        <v>3.9506782191435814</v>
      </c>
      <c r="L485" s="6">
        <v>-0.45564831091379226</v>
      </c>
      <c r="N485" s="8">
        <f>SQRT((C485-Sheet3!$C$525)^2+(D485-Sheet3!$D$525)^2+(E485-Sheet3!$E$525)^2+(F485-Sheet3!$F$525)^2+(G485-Sheet3!$G$525)^2+(H485-Sheet3!$H$525)^2+(I485-Sheet3!$I$525)^2+(J485-Sheet3!$J$525)^2+(K485-Sheet3!$K$525)^2+(L485-Sheet3!$L$525)^2)</f>
        <v>5.900558317706273</v>
      </c>
      <c r="O485" s="8">
        <f>SQRT((C485-Sheet3!$C$526)^2+(D485-Sheet3!$D$526)^2+(E485-Sheet3!$E$526)^2+(F485-Sheet3!$F$526)^2+(G485-Sheet3!$G$526)^2+(H485-Sheet3!$H$526)^2+(I485-Sheet3!$I$526)^2+(J485-Sheet3!$J$526)^2+(K485-Sheet3!$K$526)^2+(L485-Sheet3!$L$526)^2)</f>
        <v>9.1724489172169115</v>
      </c>
      <c r="P485" s="12">
        <f t="shared" si="7"/>
        <v>0</v>
      </c>
      <c r="Q485" s="11">
        <f>IF(P485=Sheet1!M485, 1, 0)</f>
        <v>1</v>
      </c>
    </row>
    <row r="486" spans="1:17" x14ac:dyDescent="0.35">
      <c r="A486" s="6" t="s">
        <v>516</v>
      </c>
      <c r="B486" s="6" t="s">
        <v>529</v>
      </c>
      <c r="C486" s="6">
        <v>0.41291973056650833</v>
      </c>
      <c r="D486" s="6">
        <v>1.6899661768008225</v>
      </c>
      <c r="E486" s="6">
        <v>1.259610374417178</v>
      </c>
      <c r="F486" s="6">
        <v>1.3193055305108483</v>
      </c>
      <c r="G486" s="6">
        <v>0.36967201341509293</v>
      </c>
      <c r="H486" s="6">
        <v>0.72865183441401093</v>
      </c>
      <c r="I486" s="6">
        <v>0.44901287882196284</v>
      </c>
      <c r="J486" s="6">
        <v>1.8563997345124774</v>
      </c>
      <c r="K486" s="6">
        <v>-1.2620075358304761</v>
      </c>
      <c r="L486" s="6">
        <v>-0.25026139819673437</v>
      </c>
      <c r="N486" s="8">
        <f>SQRT((C486-Sheet3!$C$525)^2+(D486-Sheet3!$D$525)^2+(E486-Sheet3!$E$525)^2+(F486-Sheet3!$F$525)^2+(G486-Sheet3!$G$525)^2+(H486-Sheet3!$H$525)^2+(I486-Sheet3!$I$525)^2+(J486-Sheet3!$J$525)^2+(K486-Sheet3!$K$525)^2+(L486-Sheet3!$L$525)^2)</f>
        <v>4.2796381523927316</v>
      </c>
      <c r="O486" s="8">
        <f>SQRT((C486-Sheet3!$C$526)^2+(D486-Sheet3!$D$526)^2+(E486-Sheet3!$E$526)^2+(F486-Sheet3!$F$526)^2+(G486-Sheet3!$G$526)^2+(H486-Sheet3!$H$526)^2+(I486-Sheet3!$I$526)^2+(J486-Sheet3!$J$526)^2+(K486-Sheet3!$K$526)^2+(L486-Sheet3!$L$526)^2)</f>
        <v>1.9624411799545931</v>
      </c>
      <c r="P486" s="12">
        <f t="shared" si="7"/>
        <v>1</v>
      </c>
      <c r="Q486" s="11">
        <f>IF(P486=Sheet1!M486, 1, 0)</f>
        <v>0</v>
      </c>
    </row>
    <row r="487" spans="1:17" x14ac:dyDescent="0.35">
      <c r="A487" s="6" t="s">
        <v>530</v>
      </c>
      <c r="B487" s="6" t="s">
        <v>531</v>
      </c>
      <c r="C487" s="6">
        <v>-0.28358956342214331</v>
      </c>
      <c r="D487" s="6">
        <v>0.18007327341056265</v>
      </c>
      <c r="E487" s="6">
        <v>-4.5602486119598835E-2</v>
      </c>
      <c r="F487" s="6">
        <v>8.6774724771761666E-2</v>
      </c>
      <c r="G487" s="6">
        <v>-0.75108233623202991</v>
      </c>
      <c r="H487" s="6">
        <v>0.26381034542676335</v>
      </c>
      <c r="I487" s="6">
        <v>-0.87889096026672742</v>
      </c>
      <c r="J487" s="6">
        <v>-1.0892386966038949</v>
      </c>
      <c r="K487" s="6">
        <v>0.19178563930338741</v>
      </c>
      <c r="L487" s="6">
        <v>-0.24111775912918038</v>
      </c>
      <c r="N487" s="8">
        <f>SQRT((C487-Sheet3!$C$525)^2+(D487-Sheet3!$D$525)^2+(E487-Sheet3!$E$525)^2+(F487-Sheet3!$F$525)^2+(G487-Sheet3!$G$525)^2+(H487-Sheet3!$H$525)^2+(I487-Sheet3!$I$525)^2+(J487-Sheet3!$J$525)^2+(K487-Sheet3!$K$525)^2+(L487-Sheet3!$L$525)^2)</f>
        <v>1.5131783972780302</v>
      </c>
      <c r="O487" s="8">
        <f>SQRT((C487-Sheet3!$C$526)^2+(D487-Sheet3!$D$526)^2+(E487-Sheet3!$E$526)^2+(F487-Sheet3!$F$526)^2+(G487-Sheet3!$G$526)^2+(H487-Sheet3!$H$526)^2+(I487-Sheet3!$I$526)^2+(J487-Sheet3!$J$526)^2+(K487-Sheet3!$K$526)^2+(L487-Sheet3!$L$526)^2)</f>
        <v>3.9936892738054688</v>
      </c>
      <c r="P487" s="12">
        <f t="shared" si="7"/>
        <v>0</v>
      </c>
      <c r="Q487" s="11">
        <f>IF(P487=Sheet1!M487, 1, 0)</f>
        <v>0</v>
      </c>
    </row>
    <row r="488" spans="1:17" x14ac:dyDescent="0.35">
      <c r="A488" s="6" t="s">
        <v>530</v>
      </c>
      <c r="B488" s="6" t="s">
        <v>532</v>
      </c>
      <c r="C488" s="6">
        <v>3.3304750391047144</v>
      </c>
      <c r="D488" s="6">
        <v>-1.7410506239924928</v>
      </c>
      <c r="E488" s="6">
        <v>-1.0240516415205809</v>
      </c>
      <c r="F488" s="6">
        <v>-1.7342895407077377</v>
      </c>
      <c r="G488" s="6">
        <v>-2.832898058244941</v>
      </c>
      <c r="H488" s="6">
        <v>-2.8818145626677008</v>
      </c>
      <c r="I488" s="6">
        <v>-2.6555918721919207</v>
      </c>
      <c r="J488" s="6">
        <v>-1.3056064679616697</v>
      </c>
      <c r="K488" s="6">
        <v>2.2965776958750204</v>
      </c>
      <c r="L488" s="6">
        <v>-0.36156945265711266</v>
      </c>
      <c r="N488" s="8">
        <f>SQRT((C488-Sheet3!$C$525)^2+(D488-Sheet3!$D$525)^2+(E488-Sheet3!$E$525)^2+(F488-Sheet3!$F$525)^2+(G488-Sheet3!$G$525)^2+(H488-Sheet3!$H$525)^2+(I488-Sheet3!$I$525)^2+(J488-Sheet3!$J$525)^2+(K488-Sheet3!$K$525)^2+(L488-Sheet3!$L$525)^2)</f>
        <v>6.2503708526736901</v>
      </c>
      <c r="O488" s="8">
        <f>SQRT((C488-Sheet3!$C$526)^2+(D488-Sheet3!$D$526)^2+(E488-Sheet3!$E$526)^2+(F488-Sheet3!$F$526)^2+(G488-Sheet3!$G$526)^2+(H488-Sheet3!$H$526)^2+(I488-Sheet3!$I$526)^2+(J488-Sheet3!$J$526)^2+(K488-Sheet3!$K$526)^2+(L488-Sheet3!$L$526)^2)</f>
        <v>9.5898391037292345</v>
      </c>
      <c r="P488" s="12">
        <f t="shared" si="7"/>
        <v>0</v>
      </c>
      <c r="Q488" s="11">
        <f>IF(P488=Sheet1!M488, 1, 0)</f>
        <v>1</v>
      </c>
    </row>
    <row r="489" spans="1:17" x14ac:dyDescent="0.35">
      <c r="A489" s="6" t="s">
        <v>530</v>
      </c>
      <c r="B489" s="6" t="s">
        <v>533</v>
      </c>
      <c r="C489" s="6">
        <v>-1.9211276493888138E-2</v>
      </c>
      <c r="D489" s="6">
        <v>0.99025970937606844</v>
      </c>
      <c r="E489" s="6">
        <v>-0.12370159039106277</v>
      </c>
      <c r="F489" s="6">
        <v>0.3240369048765368</v>
      </c>
      <c r="G489" s="6">
        <v>-0.72495075813144838</v>
      </c>
      <c r="H489" s="6">
        <v>-0.32114661522231003</v>
      </c>
      <c r="I489" s="6">
        <v>-0.65449242384847495</v>
      </c>
      <c r="J489" s="6">
        <v>1.0668471653472644</v>
      </c>
      <c r="K489" s="6">
        <v>-0.23386747548284592</v>
      </c>
      <c r="L489" s="6">
        <v>-0.24431388200745963</v>
      </c>
      <c r="N489" s="8">
        <f>SQRT((C489-Sheet3!$C$525)^2+(D489-Sheet3!$D$525)^2+(E489-Sheet3!$E$525)^2+(F489-Sheet3!$F$525)^2+(G489-Sheet3!$G$525)^2+(H489-Sheet3!$H$525)^2+(I489-Sheet3!$I$525)^2+(J489-Sheet3!$J$525)^2+(K489-Sheet3!$K$525)^2+(L489-Sheet3!$L$525)^2)</f>
        <v>2.2210137433308201</v>
      </c>
      <c r="O489" s="8">
        <f>SQRT((C489-Sheet3!$C$526)^2+(D489-Sheet3!$D$526)^2+(E489-Sheet3!$E$526)^2+(F489-Sheet3!$F$526)^2+(G489-Sheet3!$G$526)^2+(H489-Sheet3!$H$526)^2+(I489-Sheet3!$I$526)^2+(J489-Sheet3!$J$526)^2+(K489-Sheet3!$K$526)^2+(L489-Sheet3!$L$526)^2)</f>
        <v>3.1259200909827354</v>
      </c>
      <c r="P489" s="12">
        <f t="shared" si="7"/>
        <v>0</v>
      </c>
      <c r="Q489" s="11">
        <f>IF(P489=Sheet1!M489, 1, 0)</f>
        <v>0</v>
      </c>
    </row>
    <row r="490" spans="1:17" x14ac:dyDescent="0.35">
      <c r="A490" s="6" t="s">
        <v>530</v>
      </c>
      <c r="B490" s="6" t="s">
        <v>534</v>
      </c>
      <c r="C490" s="6">
        <v>1.5509541839429564</v>
      </c>
      <c r="D490" s="6">
        <v>0.96570860525590108</v>
      </c>
      <c r="E490" s="6">
        <v>-0.54108972784185816</v>
      </c>
      <c r="F490" s="6">
        <v>-0.11967418518953367</v>
      </c>
      <c r="G490" s="6">
        <v>-0.43750339902506036</v>
      </c>
      <c r="H490" s="6">
        <v>0.45933463337852593</v>
      </c>
      <c r="I490" s="6">
        <v>0.13090245361540628</v>
      </c>
      <c r="J490" s="6">
        <v>-0.76278907666058571</v>
      </c>
      <c r="K490" s="6">
        <v>0.5673619170559473</v>
      </c>
      <c r="L490" s="6">
        <v>-0.29818874022829528</v>
      </c>
      <c r="N490" s="8">
        <f>SQRT((C490-Sheet3!$C$525)^2+(D490-Sheet3!$D$525)^2+(E490-Sheet3!$E$525)^2+(F490-Sheet3!$F$525)^2+(G490-Sheet3!$G$525)^2+(H490-Sheet3!$H$525)^2+(I490-Sheet3!$I$525)^2+(J490-Sheet3!$J$525)^2+(K490-Sheet3!$K$525)^2+(L490-Sheet3!$L$525)^2)</f>
        <v>2.1355679707367621</v>
      </c>
      <c r="O490" s="8">
        <f>SQRT((C490-Sheet3!$C$526)^2+(D490-Sheet3!$D$526)^2+(E490-Sheet3!$E$526)^2+(F490-Sheet3!$F$526)^2+(G490-Sheet3!$G$526)^2+(H490-Sheet3!$H$526)^2+(I490-Sheet3!$I$526)^2+(J490-Sheet3!$J$526)^2+(K490-Sheet3!$K$526)^2+(L490-Sheet3!$L$526)^2)</f>
        <v>4.2565989251935754</v>
      </c>
      <c r="P490" s="12">
        <f t="shared" si="7"/>
        <v>0</v>
      </c>
      <c r="Q490" s="11">
        <f>IF(P490=Sheet1!M490, 1, 0)</f>
        <v>0</v>
      </c>
    </row>
    <row r="491" spans="1:17" x14ac:dyDescent="0.35">
      <c r="A491" s="6" t="s">
        <v>530</v>
      </c>
      <c r="B491" s="6" t="s">
        <v>535</v>
      </c>
      <c r="C491" s="6">
        <v>1.8542511019418684</v>
      </c>
      <c r="D491" s="6">
        <v>0.63426869963364929</v>
      </c>
      <c r="E491" s="6">
        <v>-1.0439448095897275</v>
      </c>
      <c r="F491" s="6">
        <v>-0.33998906671539642</v>
      </c>
      <c r="G491" s="6">
        <v>-0.14134551388514929</v>
      </c>
      <c r="H491" s="6">
        <v>-0.47627332301874908</v>
      </c>
      <c r="I491" s="6">
        <v>-0.27071992690589664</v>
      </c>
      <c r="J491" s="6">
        <v>-0.98295277383165469</v>
      </c>
      <c r="K491" s="6">
        <v>-0.86452264187568473</v>
      </c>
      <c r="L491" s="6">
        <v>-0.39831664356766405</v>
      </c>
      <c r="N491" s="8">
        <f>SQRT((C491-Sheet3!$C$525)^2+(D491-Sheet3!$D$525)^2+(E491-Sheet3!$E$525)^2+(F491-Sheet3!$F$525)^2+(G491-Sheet3!$G$525)^2+(H491-Sheet3!$H$525)^2+(I491-Sheet3!$I$525)^2+(J491-Sheet3!$J$525)^2+(K491-Sheet3!$K$525)^2+(L491-Sheet3!$L$525)^2)</f>
        <v>2.3998240184953294</v>
      </c>
      <c r="O491" s="8">
        <f>SQRT((C491-Sheet3!$C$526)^2+(D491-Sheet3!$D$526)^2+(E491-Sheet3!$E$526)^2+(F491-Sheet3!$F$526)^2+(G491-Sheet3!$G$526)^2+(H491-Sheet3!$H$526)^2+(I491-Sheet3!$I$526)^2+(J491-Sheet3!$J$526)^2+(K491-Sheet3!$K$526)^2+(L491-Sheet3!$L$526)^2)</f>
        <v>4.8539371952407873</v>
      </c>
      <c r="P491" s="12">
        <f t="shared" si="7"/>
        <v>0</v>
      </c>
      <c r="Q491" s="11">
        <f>IF(P491=Sheet1!M491, 1, 0)</f>
        <v>0</v>
      </c>
    </row>
    <row r="492" spans="1:17" x14ac:dyDescent="0.35">
      <c r="A492" s="6" t="s">
        <v>530</v>
      </c>
      <c r="B492" s="6" t="s">
        <v>536</v>
      </c>
      <c r="C492" s="6">
        <v>1.6341595331284986</v>
      </c>
      <c r="D492" s="6">
        <v>1.1682552142472775</v>
      </c>
      <c r="E492" s="6">
        <v>-0.26442733488021003</v>
      </c>
      <c r="F492" s="6">
        <v>0.3702568100917521</v>
      </c>
      <c r="G492" s="6">
        <v>-0.39685427753526831</v>
      </c>
      <c r="H492" s="6">
        <v>0.32952374247942162</v>
      </c>
      <c r="I492" s="6">
        <v>0.79899809613338379</v>
      </c>
      <c r="J492" s="6">
        <v>1.6817871471009402</v>
      </c>
      <c r="K492" s="6">
        <v>8.6769811250344078E-4</v>
      </c>
      <c r="L492" s="6">
        <v>-0.3894164523571117</v>
      </c>
      <c r="N492" s="8">
        <f>SQRT((C492-Sheet3!$C$525)^2+(D492-Sheet3!$D$525)^2+(E492-Sheet3!$E$525)^2+(F492-Sheet3!$F$525)^2+(G492-Sheet3!$G$525)^2+(H492-Sheet3!$H$525)^2+(I492-Sheet3!$I$525)^2+(J492-Sheet3!$J$525)^2+(K492-Sheet3!$K$525)^2+(L492-Sheet3!$L$525)^2)</f>
        <v>3.2197071337640994</v>
      </c>
      <c r="O492" s="8">
        <f>SQRT((C492-Sheet3!$C$526)^2+(D492-Sheet3!$D$526)^2+(E492-Sheet3!$E$526)^2+(F492-Sheet3!$F$526)^2+(G492-Sheet3!$G$526)^2+(H492-Sheet3!$H$526)^2+(I492-Sheet3!$I$526)^2+(J492-Sheet3!$J$526)^2+(K492-Sheet3!$K$526)^2+(L492-Sheet3!$L$526)^2)</f>
        <v>3.4792548868281368</v>
      </c>
      <c r="P492" s="12">
        <f t="shared" si="7"/>
        <v>0</v>
      </c>
      <c r="Q492" s="11">
        <f>IF(P492=Sheet1!M492, 1, 0)</f>
        <v>0</v>
      </c>
    </row>
    <row r="493" spans="1:17" x14ac:dyDescent="0.35">
      <c r="A493" s="6" t="s">
        <v>530</v>
      </c>
      <c r="B493" s="6" t="s">
        <v>537</v>
      </c>
      <c r="C493" s="6">
        <v>3.2633739510518578</v>
      </c>
      <c r="D493" s="6">
        <v>-2.2504860344859545</v>
      </c>
      <c r="E493" s="6">
        <v>-1.4543334990161936</v>
      </c>
      <c r="F493" s="6">
        <v>-2.0378002516209874</v>
      </c>
      <c r="G493" s="6">
        <v>-0.88174022673492913</v>
      </c>
      <c r="H493" s="6">
        <v>-4.1443736011220542</v>
      </c>
      <c r="I493" s="6">
        <v>-0.19422042585421967</v>
      </c>
      <c r="J493" s="6">
        <v>-1.6396479395315677</v>
      </c>
      <c r="K493" s="6">
        <v>3.0978070884138136</v>
      </c>
      <c r="L493" s="6">
        <v>-0.39448198982833305</v>
      </c>
      <c r="N493" s="8">
        <f>SQRT((C493-Sheet3!$C$525)^2+(D493-Sheet3!$D$525)^2+(E493-Sheet3!$E$525)^2+(F493-Sheet3!$F$525)^2+(G493-Sheet3!$G$525)^2+(H493-Sheet3!$H$525)^2+(I493-Sheet3!$I$525)^2+(J493-Sheet3!$J$525)^2+(K493-Sheet3!$K$525)^2+(L493-Sheet3!$L$525)^2)</f>
        <v>6.5593261870338875</v>
      </c>
      <c r="O493" s="8">
        <f>SQRT((C493-Sheet3!$C$526)^2+(D493-Sheet3!$D$526)^2+(E493-Sheet3!$E$526)^2+(F493-Sheet3!$F$526)^2+(G493-Sheet3!$G$526)^2+(H493-Sheet3!$H$526)^2+(I493-Sheet3!$I$526)^2+(J493-Sheet3!$J$526)^2+(K493-Sheet3!$K$526)^2+(L493-Sheet3!$L$526)^2)</f>
        <v>9.7463019172011283</v>
      </c>
      <c r="P493" s="12">
        <f t="shared" si="7"/>
        <v>0</v>
      </c>
      <c r="Q493" s="11">
        <f>IF(P493=Sheet1!M493, 1, 0)</f>
        <v>0</v>
      </c>
    </row>
    <row r="494" spans="1:17" x14ac:dyDescent="0.35">
      <c r="A494" s="6" t="s">
        <v>530</v>
      </c>
      <c r="B494" s="6" t="s">
        <v>538</v>
      </c>
      <c r="C494" s="6">
        <v>3.1841946671494865</v>
      </c>
      <c r="D494" s="6">
        <v>-2.8826769655802504</v>
      </c>
      <c r="E494" s="6">
        <v>-1.8551439964093668</v>
      </c>
      <c r="F494" s="6">
        <v>-3.2256518156520322</v>
      </c>
      <c r="G494" s="6">
        <v>-1.2562928461765845</v>
      </c>
      <c r="H494" s="6">
        <v>-3.3078743747058383</v>
      </c>
      <c r="I494" s="6">
        <v>-0.14449575017062968</v>
      </c>
      <c r="J494" s="6">
        <v>-1.2600553582021381</v>
      </c>
      <c r="K494" s="6">
        <v>3.431131034919209</v>
      </c>
      <c r="L494" s="6">
        <v>-0.4383993898129166</v>
      </c>
      <c r="N494" s="8">
        <f>SQRT((C494-Sheet3!$C$525)^2+(D494-Sheet3!$D$525)^2+(E494-Sheet3!$E$525)^2+(F494-Sheet3!$F$525)^2+(G494-Sheet3!$G$525)^2+(H494-Sheet3!$H$525)^2+(I494-Sheet3!$I$525)^2+(J494-Sheet3!$J$525)^2+(K494-Sheet3!$K$525)^2+(L494-Sheet3!$L$525)^2)</f>
        <v>6.9072080102960642</v>
      </c>
      <c r="O494" s="8">
        <f>SQRT((C494-Sheet3!$C$526)^2+(D494-Sheet3!$D$526)^2+(E494-Sheet3!$E$526)^2+(F494-Sheet3!$F$526)^2+(G494-Sheet3!$G$526)^2+(H494-Sheet3!$H$526)^2+(I494-Sheet3!$I$526)^2+(J494-Sheet3!$J$526)^2+(K494-Sheet3!$K$526)^2+(L494-Sheet3!$L$526)^2)</f>
        <v>10.259174011754219</v>
      </c>
      <c r="P494" s="12">
        <f t="shared" si="7"/>
        <v>0</v>
      </c>
      <c r="Q494" s="11">
        <f>IF(P494=Sheet1!M494, 1, 0)</f>
        <v>0</v>
      </c>
    </row>
    <row r="495" spans="1:17" x14ac:dyDescent="0.35">
      <c r="A495" s="6" t="s">
        <v>530</v>
      </c>
      <c r="B495" s="6" t="s">
        <v>539</v>
      </c>
      <c r="C495" s="6">
        <v>0.25456116276176671</v>
      </c>
      <c r="D495" s="6">
        <v>1.0700507977666101</v>
      </c>
      <c r="E495" s="6">
        <v>0.39609952341570898</v>
      </c>
      <c r="F495" s="6">
        <v>0.70149946413413244</v>
      </c>
      <c r="G495" s="6">
        <v>0.78487375434653639</v>
      </c>
      <c r="H495" s="6">
        <v>0.3462214089436218</v>
      </c>
      <c r="I495" s="6">
        <v>0.3903632613490105</v>
      </c>
      <c r="J495" s="6">
        <v>0.11786571202369081</v>
      </c>
      <c r="K495" s="6">
        <v>-0.73463584581959163</v>
      </c>
      <c r="L495" s="6">
        <v>0.99575701327331334</v>
      </c>
      <c r="N495" s="8">
        <f>SQRT((C495-Sheet3!$C$525)^2+(D495-Sheet3!$D$525)^2+(E495-Sheet3!$E$525)^2+(F495-Sheet3!$F$525)^2+(G495-Sheet3!$G$525)^2+(H495-Sheet3!$H$525)^2+(I495-Sheet3!$I$525)^2+(J495-Sheet3!$J$525)^2+(K495-Sheet3!$K$525)^2+(L495-Sheet3!$L$525)^2)</f>
        <v>2.8394708984290187</v>
      </c>
      <c r="O495" s="8">
        <f>SQRT((C495-Sheet3!$C$526)^2+(D495-Sheet3!$D$526)^2+(E495-Sheet3!$E$526)^2+(F495-Sheet3!$F$526)^2+(G495-Sheet3!$G$526)^2+(H495-Sheet3!$H$526)^2+(I495-Sheet3!$I$526)^2+(J495-Sheet3!$J$526)^2+(K495-Sheet3!$K$526)^2+(L495-Sheet3!$L$526)^2)</f>
        <v>1.7859473430026498</v>
      </c>
      <c r="P495" s="12">
        <f t="shared" si="7"/>
        <v>1</v>
      </c>
      <c r="Q495" s="11">
        <f>IF(P495=Sheet1!M495, 1, 0)</f>
        <v>0</v>
      </c>
    </row>
    <row r="496" spans="1:17" x14ac:dyDescent="0.35">
      <c r="A496" s="6" t="s">
        <v>530</v>
      </c>
      <c r="B496" s="6" t="s">
        <v>540</v>
      </c>
      <c r="C496" s="6">
        <v>1.0235396318475034</v>
      </c>
      <c r="D496" s="6">
        <v>0.21689992959081214</v>
      </c>
      <c r="E496" s="6">
        <v>-0.90653459311210449</v>
      </c>
      <c r="F496" s="6">
        <v>-1.2797938060914502</v>
      </c>
      <c r="G496" s="6">
        <v>-2.710950693775565</v>
      </c>
      <c r="H496" s="6">
        <v>-0.83446520039594407</v>
      </c>
      <c r="I496" s="6">
        <v>-1.3155756121033821</v>
      </c>
      <c r="J496" s="6">
        <v>0.63411162263171506</v>
      </c>
      <c r="K496" s="6">
        <v>1.6048913843473906</v>
      </c>
      <c r="L496" s="6">
        <v>-0.39158928350927796</v>
      </c>
      <c r="N496" s="8">
        <f>SQRT((C496-Sheet3!$C$525)^2+(D496-Sheet3!$D$525)^2+(E496-Sheet3!$E$525)^2+(F496-Sheet3!$F$525)^2+(G496-Sheet3!$G$525)^2+(H496-Sheet3!$H$525)^2+(I496-Sheet3!$I$525)^2+(J496-Sheet3!$J$525)^2+(K496-Sheet3!$K$525)^2+(L496-Sheet3!$L$525)^2)</f>
        <v>3.5576912953627171</v>
      </c>
      <c r="O496" s="8">
        <f>SQRT((C496-Sheet3!$C$526)^2+(D496-Sheet3!$D$526)^2+(E496-Sheet3!$E$526)^2+(F496-Sheet3!$F$526)^2+(G496-Sheet3!$G$526)^2+(H496-Sheet3!$H$526)^2+(I496-Sheet3!$I$526)^2+(J496-Sheet3!$J$526)^2+(K496-Sheet3!$K$526)^2+(L496-Sheet3!$L$526)^2)</f>
        <v>6.3642120060436964</v>
      </c>
      <c r="P496" s="12">
        <f t="shared" si="7"/>
        <v>0</v>
      </c>
      <c r="Q496" s="11">
        <f>IF(P496=Sheet1!M496, 1, 0)</f>
        <v>1</v>
      </c>
    </row>
    <row r="497" spans="1:17" x14ac:dyDescent="0.35">
      <c r="A497" s="6" t="s">
        <v>530</v>
      </c>
      <c r="B497" s="6" t="s">
        <v>541</v>
      </c>
      <c r="C497" s="6">
        <v>1.8488830148976401</v>
      </c>
      <c r="D497" s="6">
        <v>-1.1825130052586972</v>
      </c>
      <c r="E497" s="6">
        <v>-1.472753099080218</v>
      </c>
      <c r="F497" s="6">
        <v>-1.729667550186216</v>
      </c>
      <c r="G497" s="6">
        <v>-1.262099863532268</v>
      </c>
      <c r="H497" s="6">
        <v>-2.2575372906674467</v>
      </c>
      <c r="I497" s="6">
        <v>-2.3253690259855158</v>
      </c>
      <c r="J497" s="6">
        <v>-0.36042094045139028</v>
      </c>
      <c r="K497" s="6">
        <v>-1.2307095126844292</v>
      </c>
      <c r="L497" s="6">
        <v>-0.41957828575293704</v>
      </c>
      <c r="N497" s="8">
        <f>SQRT((C497-Sheet3!$C$525)^2+(D497-Sheet3!$D$525)^2+(E497-Sheet3!$E$525)^2+(F497-Sheet3!$F$525)^2+(G497-Sheet3!$G$525)^2+(H497-Sheet3!$H$525)^2+(I497-Sheet3!$I$525)^2+(J497-Sheet3!$J$525)^2+(K497-Sheet3!$K$525)^2+(L497-Sheet3!$L$525)^2)</f>
        <v>4.2537805717642074</v>
      </c>
      <c r="O497" s="8">
        <f>SQRT((C497-Sheet3!$C$526)^2+(D497-Sheet3!$D$526)^2+(E497-Sheet3!$E$526)^2+(F497-Sheet3!$F$526)^2+(G497-Sheet3!$G$526)^2+(H497-Sheet3!$H$526)^2+(I497-Sheet3!$I$526)^2+(J497-Sheet3!$J$526)^2+(K497-Sheet3!$K$526)^2+(L497-Sheet3!$L$526)^2)</f>
        <v>7.3864625599290203</v>
      </c>
      <c r="P497" s="12">
        <f t="shared" si="7"/>
        <v>0</v>
      </c>
      <c r="Q497" s="11">
        <f>IF(P497=Sheet1!M497, 1, 0)</f>
        <v>0</v>
      </c>
    </row>
    <row r="498" spans="1:17" x14ac:dyDescent="0.35">
      <c r="A498" s="6" t="s">
        <v>530</v>
      </c>
      <c r="B498" s="6" t="s">
        <v>542</v>
      </c>
      <c r="C498" s="6">
        <v>1.6851563600486694</v>
      </c>
      <c r="D498" s="6">
        <v>-2.0602149775546614</v>
      </c>
      <c r="E498" s="6">
        <v>-1.6904727718369876</v>
      </c>
      <c r="F498" s="6">
        <v>-2.8712992090020455</v>
      </c>
      <c r="G498" s="6">
        <v>-3.213257695042278</v>
      </c>
      <c r="H498" s="6">
        <v>-2.4702978794854795</v>
      </c>
      <c r="I498" s="6">
        <v>0.86274768034311444</v>
      </c>
      <c r="J498" s="6">
        <v>-1.7497297881171021</v>
      </c>
      <c r="K498" s="6">
        <v>1.8302371509989257</v>
      </c>
      <c r="L498" s="6">
        <v>-0.42626847357395242</v>
      </c>
      <c r="N498" s="8">
        <f>SQRT((C498-Sheet3!$C$525)^2+(D498-Sheet3!$D$525)^2+(E498-Sheet3!$E$525)^2+(F498-Sheet3!$F$525)^2+(G498-Sheet3!$G$525)^2+(H498-Sheet3!$H$525)^2+(I498-Sheet3!$I$525)^2+(J498-Sheet3!$J$525)^2+(K498-Sheet3!$K$525)^2+(L498-Sheet3!$L$525)^2)</f>
        <v>5.7282056307554114</v>
      </c>
      <c r="O498" s="8">
        <f>SQRT((C498-Sheet3!$C$526)^2+(D498-Sheet3!$D$526)^2+(E498-Sheet3!$E$526)^2+(F498-Sheet3!$F$526)^2+(G498-Sheet3!$G$526)^2+(H498-Sheet3!$H$526)^2+(I498-Sheet3!$I$526)^2+(J498-Sheet3!$J$526)^2+(K498-Sheet3!$K$526)^2+(L498-Sheet3!$L$526)^2)</f>
        <v>9.1486621227644829</v>
      </c>
      <c r="P498" s="12">
        <f t="shared" si="7"/>
        <v>0</v>
      </c>
      <c r="Q498" s="11">
        <f>IF(P498=Sheet1!M498, 1, 0)</f>
        <v>0</v>
      </c>
    </row>
    <row r="499" spans="1:17" x14ac:dyDescent="0.35">
      <c r="A499" s="6" t="s">
        <v>530</v>
      </c>
      <c r="B499" s="6" t="s">
        <v>543</v>
      </c>
      <c r="C499" s="6">
        <v>3.4042862359628563</v>
      </c>
      <c r="D499" s="6">
        <v>-2.5573748359880404</v>
      </c>
      <c r="E499" s="6">
        <v>-2.0002904449138801</v>
      </c>
      <c r="F499" s="6">
        <v>-3.150159303800514</v>
      </c>
      <c r="G499" s="6">
        <v>-1.0472402213719409</v>
      </c>
      <c r="H499" s="6">
        <v>-3.4533056632649997</v>
      </c>
      <c r="I499" s="6">
        <v>-2.656866863876115</v>
      </c>
      <c r="J499" s="6">
        <v>-1.0664631417241293</v>
      </c>
      <c r="K499" s="6">
        <v>2.50470954979623</v>
      </c>
      <c r="L499" s="6">
        <v>-0.42642232359292964</v>
      </c>
      <c r="N499" s="8">
        <f>SQRT((C499-Sheet3!$C$525)^2+(D499-Sheet3!$D$525)^2+(E499-Sheet3!$E$525)^2+(F499-Sheet3!$F$525)^2+(G499-Sheet3!$G$525)^2+(H499-Sheet3!$H$525)^2+(I499-Sheet3!$I$525)^2+(J499-Sheet3!$J$525)^2+(K499-Sheet3!$K$525)^2+(L499-Sheet3!$L$525)^2)</f>
        <v>6.9683555253462126</v>
      </c>
      <c r="O499" s="8">
        <f>SQRT((C499-Sheet3!$C$526)^2+(D499-Sheet3!$D$526)^2+(E499-Sheet3!$E$526)^2+(F499-Sheet3!$F$526)^2+(G499-Sheet3!$G$526)^2+(H499-Sheet3!$H$526)^2+(I499-Sheet3!$I$526)^2+(J499-Sheet3!$J$526)^2+(K499-Sheet3!$K$526)^2+(L499-Sheet3!$L$526)^2)</f>
        <v>10.402707997792664</v>
      </c>
      <c r="P499" s="12">
        <f t="shared" si="7"/>
        <v>0</v>
      </c>
      <c r="Q499" s="11">
        <f>IF(P499=Sheet1!M499, 1, 0)</f>
        <v>0</v>
      </c>
    </row>
    <row r="500" spans="1:17" x14ac:dyDescent="0.35">
      <c r="A500" s="6" t="s">
        <v>530</v>
      </c>
      <c r="B500" s="6" t="s">
        <v>544</v>
      </c>
      <c r="C500" s="6">
        <v>2.4407146115238354</v>
      </c>
      <c r="D500" s="6">
        <v>-3.31232128768317</v>
      </c>
      <c r="E500" s="6">
        <v>-1.8035691162300982</v>
      </c>
      <c r="F500" s="6">
        <v>-3.643171626096148</v>
      </c>
      <c r="G500" s="6">
        <v>-1.4856700317261222</v>
      </c>
      <c r="H500" s="6">
        <v>-2.4735296858979057</v>
      </c>
      <c r="I500" s="6">
        <v>-0.27135742274799424</v>
      </c>
      <c r="J500" s="6">
        <v>-0.23895131442597306</v>
      </c>
      <c r="K500" s="6">
        <v>2.8818507287060906</v>
      </c>
      <c r="L500" s="6">
        <v>-0.42874998682992832</v>
      </c>
      <c r="N500" s="8">
        <f>SQRT((C500-Sheet3!$C$525)^2+(D500-Sheet3!$D$525)^2+(E500-Sheet3!$E$525)^2+(F500-Sheet3!$F$525)^2+(G500-Sheet3!$G$525)^2+(H500-Sheet3!$H$525)^2+(I500-Sheet3!$I$525)^2+(J500-Sheet3!$J$525)^2+(K500-Sheet3!$K$525)^2+(L500-Sheet3!$L$525)^2)</f>
        <v>6.365247975586148</v>
      </c>
      <c r="O500" s="8">
        <f>SQRT((C500-Sheet3!$C$526)^2+(D500-Sheet3!$D$526)^2+(E500-Sheet3!$E$526)^2+(F500-Sheet3!$F$526)^2+(G500-Sheet3!$G$526)^2+(H500-Sheet3!$H$526)^2+(I500-Sheet3!$I$526)^2+(J500-Sheet3!$J$526)^2+(K500-Sheet3!$K$526)^2+(L500-Sheet3!$L$526)^2)</f>
        <v>9.7271046561538554</v>
      </c>
      <c r="P500" s="12">
        <f t="shared" si="7"/>
        <v>0</v>
      </c>
      <c r="Q500" s="11">
        <f>IF(P500=Sheet1!M500, 1, 0)</f>
        <v>0</v>
      </c>
    </row>
    <row r="501" spans="1:17" x14ac:dyDescent="0.35">
      <c r="A501" s="6" t="s">
        <v>530</v>
      </c>
      <c r="B501" s="6" t="s">
        <v>545</v>
      </c>
      <c r="C501" s="6">
        <v>2.7279072683900618</v>
      </c>
      <c r="D501" s="6">
        <v>-2.9379169498506257</v>
      </c>
      <c r="E501" s="6">
        <v>-2.0201836129830264</v>
      </c>
      <c r="F501" s="6">
        <v>-3.1316713417144273</v>
      </c>
      <c r="G501" s="6">
        <v>-1.1111174122844707</v>
      </c>
      <c r="H501" s="6">
        <v>-3.9838605493049055</v>
      </c>
      <c r="I501" s="6">
        <v>-5.0066765378467872</v>
      </c>
      <c r="J501" s="6">
        <v>-1.4954027586263845</v>
      </c>
      <c r="K501" s="6">
        <v>3.3090687446496272</v>
      </c>
      <c r="L501" s="6">
        <v>-0.43661217622155762</v>
      </c>
      <c r="N501" s="8">
        <f>SQRT((C501-Sheet3!$C$525)^2+(D501-Sheet3!$D$525)^2+(E501-Sheet3!$E$525)^2+(F501-Sheet3!$F$525)^2+(G501-Sheet3!$G$525)^2+(H501-Sheet3!$H$525)^2+(I501-Sheet3!$I$525)^2+(J501-Sheet3!$J$525)^2+(K501-Sheet3!$K$525)^2+(L501-Sheet3!$L$525)^2)</f>
        <v>8.5146764693811683</v>
      </c>
      <c r="O501" s="8">
        <f>SQRT((C501-Sheet3!$C$526)^2+(D501-Sheet3!$D$526)^2+(E501-Sheet3!$E$526)^2+(F501-Sheet3!$F$526)^2+(G501-Sheet3!$G$526)^2+(H501-Sheet3!$H$526)^2+(I501-Sheet3!$I$526)^2+(J501-Sheet3!$J$526)^2+(K501-Sheet3!$K$526)^2+(L501-Sheet3!$L$526)^2)</f>
        <v>11.836844673744389</v>
      </c>
      <c r="P501" s="12">
        <f t="shared" si="7"/>
        <v>0</v>
      </c>
      <c r="Q501" s="11">
        <f>IF(P501=Sheet1!M501, 1, 0)</f>
        <v>0</v>
      </c>
    </row>
    <row r="502" spans="1:17" x14ac:dyDescent="0.35">
      <c r="A502" s="6" t="s">
        <v>530</v>
      </c>
      <c r="B502" s="6" t="s">
        <v>546</v>
      </c>
      <c r="C502" s="6">
        <v>0.21027444464688136</v>
      </c>
      <c r="D502" s="6">
        <v>0.24145103371097953</v>
      </c>
      <c r="E502" s="6">
        <v>-1.3659194187088759</v>
      </c>
      <c r="F502" s="6">
        <v>-0.92235987242711504</v>
      </c>
      <c r="G502" s="6">
        <v>-0.92819636558040863</v>
      </c>
      <c r="H502" s="6">
        <v>-0.47627332301874908</v>
      </c>
      <c r="I502" s="6">
        <v>0.29856386008699759</v>
      </c>
      <c r="J502" s="6">
        <v>-0.59197241506234233</v>
      </c>
      <c r="K502" s="6">
        <v>-0.13997340604470707</v>
      </c>
      <c r="L502" s="6">
        <v>-0.42002082134331026</v>
      </c>
      <c r="N502" s="8">
        <f>SQRT((C502-Sheet3!$C$525)^2+(D502-Sheet3!$D$525)^2+(E502-Sheet3!$E$525)^2+(F502-Sheet3!$F$525)^2+(G502-Sheet3!$G$525)^2+(H502-Sheet3!$H$525)^2+(I502-Sheet3!$I$525)^2+(J502-Sheet3!$J$525)^2+(K502-Sheet3!$K$525)^2+(L502-Sheet3!$L$525)^2)</f>
        <v>1.6200075397547673</v>
      </c>
      <c r="O502" s="8">
        <f>SQRT((C502-Sheet3!$C$526)^2+(D502-Sheet3!$D$526)^2+(E502-Sheet3!$E$526)^2+(F502-Sheet3!$F$526)^2+(G502-Sheet3!$G$526)^2+(H502-Sheet3!$H$526)^2+(I502-Sheet3!$I$526)^2+(J502-Sheet3!$J$526)^2+(K502-Sheet3!$K$526)^2+(L502-Sheet3!$L$526)^2)</f>
        <v>4.7248079077156584</v>
      </c>
      <c r="P502" s="12">
        <f t="shared" si="7"/>
        <v>0</v>
      </c>
      <c r="Q502" s="11">
        <f>IF(P502=Sheet1!M502, 1, 0)</f>
        <v>1</v>
      </c>
    </row>
    <row r="503" spans="1:17" x14ac:dyDescent="0.35">
      <c r="A503" s="6" t="s">
        <v>530</v>
      </c>
      <c r="B503" s="6" t="s">
        <v>547</v>
      </c>
      <c r="C503" s="6">
        <v>0.50015114503522196</v>
      </c>
      <c r="D503" s="6">
        <v>-0.2557088247223992</v>
      </c>
      <c r="E503" s="6">
        <v>-0.51530228775222386</v>
      </c>
      <c r="F503" s="6">
        <v>-0.52949067809778161</v>
      </c>
      <c r="G503" s="6">
        <v>-0.83528408788945363</v>
      </c>
      <c r="H503" s="6">
        <v>-0.89533088782996373</v>
      </c>
      <c r="I503" s="6">
        <v>-0.60540524400698259</v>
      </c>
      <c r="J503" s="6">
        <v>-1.3853209100408499</v>
      </c>
      <c r="K503" s="6">
        <v>1.165154159145436</v>
      </c>
      <c r="L503" s="6">
        <v>-0.4161280585583762</v>
      </c>
      <c r="N503" s="8">
        <f>SQRT((C503-Sheet3!$C$525)^2+(D503-Sheet3!$D$525)^2+(E503-Sheet3!$E$525)^2+(F503-Sheet3!$F$525)^2+(G503-Sheet3!$G$525)^2+(H503-Sheet3!$H$525)^2+(I503-Sheet3!$I$525)^2+(J503-Sheet3!$J$525)^2+(K503-Sheet3!$K$525)^2+(L503-Sheet3!$L$525)^2)</f>
        <v>1.7864974762238053</v>
      </c>
      <c r="O503" s="8">
        <f>SQRT((C503-Sheet3!$C$526)^2+(D503-Sheet3!$D$526)^2+(E503-Sheet3!$E$526)^2+(F503-Sheet3!$F$526)^2+(G503-Sheet3!$G$526)^2+(H503-Sheet3!$H$526)^2+(I503-Sheet3!$I$526)^2+(J503-Sheet3!$J$526)^2+(K503-Sheet3!$K$526)^2+(L503-Sheet3!$L$526)^2)</f>
        <v>5.2440201662049084</v>
      </c>
      <c r="P503" s="12">
        <f t="shared" si="7"/>
        <v>0</v>
      </c>
      <c r="Q503" s="11">
        <f>IF(P503=Sheet1!M503, 1, 0)</f>
        <v>1</v>
      </c>
    </row>
    <row r="504" spans="1:17" x14ac:dyDescent="0.35">
      <c r="A504" s="6" t="s">
        <v>530</v>
      </c>
      <c r="B504" s="6" t="s">
        <v>548</v>
      </c>
      <c r="C504" s="6">
        <v>2.3588512840993503</v>
      </c>
      <c r="D504" s="6">
        <v>0.47468652285256496</v>
      </c>
      <c r="E504" s="6">
        <v>-1.302924386489912</v>
      </c>
      <c r="F504" s="6">
        <v>-0.74364290559494794</v>
      </c>
      <c r="G504" s="6">
        <v>-0.93981040029177543</v>
      </c>
      <c r="H504" s="6">
        <v>0.40277802116107425</v>
      </c>
      <c r="I504" s="6">
        <v>-0.78071660058374182</v>
      </c>
      <c r="J504" s="6">
        <v>1.328766046464571</v>
      </c>
      <c r="K504" s="6">
        <v>-2.0460230156389425</v>
      </c>
      <c r="L504" s="6">
        <v>-0.42789772082774963</v>
      </c>
      <c r="N504" s="8">
        <f>SQRT((C504-Sheet3!$C$525)^2+(D504-Sheet3!$D$525)^2+(E504-Sheet3!$E$525)^2+(F504-Sheet3!$F$525)^2+(G504-Sheet3!$G$525)^2+(H504-Sheet3!$H$525)^2+(I504-Sheet3!$I$525)^2+(J504-Sheet3!$J$525)^2+(K504-Sheet3!$K$525)^2+(L504-Sheet3!$L$525)^2)</f>
        <v>3.9006971632649745</v>
      </c>
      <c r="O504" s="8">
        <f>SQRT((C504-Sheet3!$C$526)^2+(D504-Sheet3!$D$526)^2+(E504-Sheet3!$E$526)^2+(F504-Sheet3!$F$526)^2+(G504-Sheet3!$G$526)^2+(H504-Sheet3!$H$526)^2+(I504-Sheet3!$I$526)^2+(J504-Sheet3!$J$526)^2+(K504-Sheet3!$K$526)^2+(L504-Sheet3!$L$526)^2)</f>
        <v>5.4113486394528705</v>
      </c>
      <c r="P504" s="12">
        <f t="shared" si="7"/>
        <v>0</v>
      </c>
      <c r="Q504" s="11">
        <f>IF(P504=Sheet1!M504, 1, 0)</f>
        <v>0</v>
      </c>
    </row>
    <row r="505" spans="1:17" x14ac:dyDescent="0.35">
      <c r="A505" s="6" t="s">
        <v>530</v>
      </c>
      <c r="B505" s="6" t="s">
        <v>549</v>
      </c>
      <c r="C505" s="6">
        <v>3.4405208235113984</v>
      </c>
      <c r="D505" s="6">
        <v>0.26600213783114585</v>
      </c>
      <c r="E505" s="6">
        <v>-1.7007877478728415</v>
      </c>
      <c r="F505" s="6">
        <v>-1.1103208203023256</v>
      </c>
      <c r="G505" s="6">
        <v>-1.0443367126940972</v>
      </c>
      <c r="H505" s="6">
        <v>0.16793342185813062</v>
      </c>
      <c r="I505" s="6">
        <v>-2.5229927370356804</v>
      </c>
      <c r="J505" s="6">
        <v>-0.91083018337906307</v>
      </c>
      <c r="K505" s="6">
        <v>-0.14153830720200797</v>
      </c>
      <c r="L505" s="6">
        <v>-0.44261702834076222</v>
      </c>
      <c r="N505" s="8">
        <f>SQRT((C505-Sheet3!$C$525)^2+(D505-Sheet3!$D$525)^2+(E505-Sheet3!$E$525)^2+(F505-Sheet3!$F$525)^2+(G505-Sheet3!$G$525)^2+(H505-Sheet3!$H$525)^2+(I505-Sheet3!$I$525)^2+(J505-Sheet3!$J$525)^2+(K505-Sheet3!$K$525)^2+(L505-Sheet3!$L$525)^2)</f>
        <v>4.4371701053759729</v>
      </c>
      <c r="O505" s="8">
        <f>SQRT((C505-Sheet3!$C$526)^2+(D505-Sheet3!$D$526)^2+(E505-Sheet3!$E$526)^2+(F505-Sheet3!$F$526)^2+(G505-Sheet3!$G$526)^2+(H505-Sheet3!$H$526)^2+(I505-Sheet3!$I$526)^2+(J505-Sheet3!$J$526)^2+(K505-Sheet3!$K$526)^2+(L505-Sheet3!$L$526)^2)</f>
        <v>7.2219871808594744</v>
      </c>
      <c r="P505" s="12">
        <f t="shared" si="7"/>
        <v>0</v>
      </c>
      <c r="Q505" s="11">
        <f>IF(P505=Sheet1!M505, 1, 0)</f>
        <v>0</v>
      </c>
    </row>
    <row r="506" spans="1:17" x14ac:dyDescent="0.35">
      <c r="A506" s="6" t="s">
        <v>530</v>
      </c>
      <c r="B506" s="6" t="s">
        <v>550</v>
      </c>
      <c r="C506" s="6">
        <v>2.2152549556662371</v>
      </c>
      <c r="D506" s="6">
        <v>-1.5753306711813664</v>
      </c>
      <c r="E506" s="6">
        <v>-2.1078609092877834</v>
      </c>
      <c r="F506" s="6">
        <v>-2.7341801568635717</v>
      </c>
      <c r="G506" s="6">
        <v>-3.3845647070349729</v>
      </c>
      <c r="H506" s="6">
        <v>-0.64702042847524666</v>
      </c>
      <c r="I506" s="6">
        <v>-1.2135762773678134</v>
      </c>
      <c r="J506" s="6">
        <v>-1.1955246193761351</v>
      </c>
      <c r="K506" s="6">
        <v>-0.41070130625800838</v>
      </c>
      <c r="L506" s="6">
        <v>-0.43740301087024008</v>
      </c>
      <c r="N506" s="8">
        <f>SQRT((C506-Sheet3!$C$525)^2+(D506-Sheet3!$D$525)^2+(E506-Sheet3!$E$525)^2+(F506-Sheet3!$F$525)^2+(G506-Sheet3!$G$525)^2+(H506-Sheet3!$H$525)^2+(I506-Sheet3!$I$525)^2+(J506-Sheet3!$J$525)^2+(K506-Sheet3!$K$525)^2+(L506-Sheet3!$L$525)^2)</f>
        <v>5.1135706639557403</v>
      </c>
      <c r="O506" s="8">
        <f>SQRT((C506-Sheet3!$C$526)^2+(D506-Sheet3!$D$526)^2+(E506-Sheet3!$E$526)^2+(F506-Sheet3!$F$526)^2+(G506-Sheet3!$G$526)^2+(H506-Sheet3!$H$526)^2+(I506-Sheet3!$I$526)^2+(J506-Sheet3!$J$526)^2+(K506-Sheet3!$K$526)^2+(L506-Sheet3!$L$526)^2)</f>
        <v>8.5668455379230153</v>
      </c>
      <c r="P506" s="12">
        <f t="shared" si="7"/>
        <v>0</v>
      </c>
      <c r="Q506" s="11">
        <f>IF(P506=Sheet1!M506, 1, 0)</f>
        <v>0</v>
      </c>
    </row>
    <row r="507" spans="1:17" x14ac:dyDescent="0.35">
      <c r="A507" s="6" t="s">
        <v>530</v>
      </c>
      <c r="B507" s="6" t="s">
        <v>551</v>
      </c>
      <c r="C507" s="6">
        <v>3.3425532349542282</v>
      </c>
      <c r="D507" s="6">
        <v>-4.3066410045499275</v>
      </c>
      <c r="E507" s="6">
        <v>-2.3388426940906504</v>
      </c>
      <c r="F507" s="6">
        <v>-5.7138233797378133</v>
      </c>
      <c r="G507" s="6">
        <v>-4.130766437240438</v>
      </c>
      <c r="H507" s="6">
        <v>-3.9240721306750279</v>
      </c>
      <c r="I507" s="6">
        <v>-4.5763668444311056</v>
      </c>
      <c r="J507" s="6">
        <v>-1.9205464497153455</v>
      </c>
      <c r="K507" s="6">
        <v>4.4545763917949328</v>
      </c>
      <c r="L507" s="6">
        <v>-0.44190511417580608</v>
      </c>
      <c r="N507" s="8">
        <f>SQRT((C507-Sheet3!$C$525)^2+(D507-Sheet3!$D$525)^2+(E507-Sheet3!$E$525)^2+(F507-Sheet3!$F$525)^2+(G507-Sheet3!$G$525)^2+(H507-Sheet3!$H$525)^2+(I507-Sheet3!$I$525)^2+(J507-Sheet3!$J$525)^2+(K507-Sheet3!$K$525)^2+(L507-Sheet3!$L$525)^2)</f>
        <v>11.246159741328315</v>
      </c>
      <c r="O507" s="8">
        <f>SQRT((C507-Sheet3!$C$526)^2+(D507-Sheet3!$D$526)^2+(E507-Sheet3!$E$526)^2+(F507-Sheet3!$F$526)^2+(G507-Sheet3!$G$526)^2+(H507-Sheet3!$H$526)^2+(I507-Sheet3!$I$526)^2+(J507-Sheet3!$J$526)^2+(K507-Sheet3!$K$526)^2+(L507-Sheet3!$L$526)^2)</f>
        <v>14.756957284413032</v>
      </c>
      <c r="P507" s="12">
        <f t="shared" si="7"/>
        <v>0</v>
      </c>
      <c r="Q507" s="11">
        <f>IF(P507=Sheet1!M507, 1, 0)</f>
        <v>0</v>
      </c>
    </row>
    <row r="508" spans="1:17" x14ac:dyDescent="0.35">
      <c r="A508" s="6" t="s">
        <v>530</v>
      </c>
      <c r="B508" s="6" t="s">
        <v>552</v>
      </c>
      <c r="C508" s="6">
        <v>3.5505666079180833</v>
      </c>
      <c r="D508" s="6">
        <v>-3.0729480225115435</v>
      </c>
      <c r="E508" s="6">
        <v>-2.1852232295566862</v>
      </c>
      <c r="F508" s="6">
        <v>-3.2734123843744225</v>
      </c>
      <c r="G508" s="6">
        <v>-1.0298191693048866</v>
      </c>
      <c r="H508" s="6">
        <v>-4.0231808606560859</v>
      </c>
      <c r="I508" s="6">
        <v>-5.3719616553685432</v>
      </c>
      <c r="J508" s="6">
        <v>-1.9205464497153455</v>
      </c>
      <c r="K508" s="6">
        <v>4.099343829087303</v>
      </c>
      <c r="L508" s="6">
        <v>-0.4338209779008988</v>
      </c>
      <c r="N508" s="8">
        <f>SQRT((C508-Sheet3!$C$525)^2+(D508-Sheet3!$D$525)^2+(E508-Sheet3!$E$525)^2+(F508-Sheet3!$F$525)^2+(G508-Sheet3!$G$525)^2+(H508-Sheet3!$H$525)^2+(I508-Sheet3!$I$525)^2+(J508-Sheet3!$J$525)^2+(K508-Sheet3!$K$525)^2+(L508-Sheet3!$L$525)^2)</f>
        <v>9.4845608674543751</v>
      </c>
      <c r="O508" s="8">
        <f>SQRT((C508-Sheet3!$C$526)^2+(D508-Sheet3!$D$526)^2+(E508-Sheet3!$E$526)^2+(F508-Sheet3!$F$526)^2+(G508-Sheet3!$G$526)^2+(H508-Sheet3!$H$526)^2+(I508-Sheet3!$I$526)^2+(J508-Sheet3!$J$526)^2+(K508-Sheet3!$K$526)^2+(L508-Sheet3!$L$526)^2)</f>
        <v>12.784104881442612</v>
      </c>
      <c r="P508" s="12">
        <f t="shared" si="7"/>
        <v>0</v>
      </c>
      <c r="Q508" s="11">
        <f>IF(P508=Sheet1!M508, 1, 0)</f>
        <v>0</v>
      </c>
    </row>
    <row r="509" spans="1:17" x14ac:dyDescent="0.35">
      <c r="A509" s="6" t="s">
        <v>530</v>
      </c>
      <c r="B509" s="6" t="s">
        <v>553</v>
      </c>
      <c r="C509" s="6">
        <v>3.2861883209898282</v>
      </c>
      <c r="D509" s="6">
        <v>-3.1343257828119606</v>
      </c>
      <c r="E509" s="6">
        <v>-2.1505943814363202</v>
      </c>
      <c r="F509" s="6">
        <v>-3.3288762706326813</v>
      </c>
      <c r="G509" s="6">
        <v>-1.7150472172756639</v>
      </c>
      <c r="H509" s="6">
        <v>-4.0215649574498729</v>
      </c>
      <c r="I509" s="6">
        <v>-5.427423793631009</v>
      </c>
      <c r="J509" s="6">
        <v>-1.578913126518859</v>
      </c>
      <c r="K509" s="6">
        <v>4.1275120499187459</v>
      </c>
      <c r="L509" s="6">
        <v>-0.44286384029569342</v>
      </c>
      <c r="N509" s="8">
        <f>SQRT((C509-Sheet3!$C$525)^2+(D509-Sheet3!$D$525)^2+(E509-Sheet3!$E$525)^2+(F509-Sheet3!$F$525)^2+(G509-Sheet3!$G$525)^2+(H509-Sheet3!$H$525)^2+(I509-Sheet3!$I$525)^2+(J509-Sheet3!$J$525)^2+(K509-Sheet3!$K$525)^2+(L509-Sheet3!$L$525)^2)</f>
        <v>9.4935402965135705</v>
      </c>
      <c r="O509" s="8">
        <f>SQRT((C509-Sheet3!$C$526)^2+(D509-Sheet3!$D$526)^2+(E509-Sheet3!$E$526)^2+(F509-Sheet3!$F$526)^2+(G509-Sheet3!$G$526)^2+(H509-Sheet3!$H$526)^2+(I509-Sheet3!$I$526)^2+(J509-Sheet3!$J$526)^2+(K509-Sheet3!$K$526)^2+(L509-Sheet3!$L$526)^2)</f>
        <v>12.812712634992117</v>
      </c>
      <c r="P509" s="12">
        <f t="shared" si="7"/>
        <v>0</v>
      </c>
      <c r="Q509" s="11">
        <f>IF(P509=Sheet1!M509, 1, 0)</f>
        <v>0</v>
      </c>
    </row>
    <row r="510" spans="1:17" x14ac:dyDescent="0.35">
      <c r="A510" s="6" t="s">
        <v>530</v>
      </c>
      <c r="B510" s="6" t="s">
        <v>554</v>
      </c>
      <c r="C510" s="6">
        <v>2.815138682858775</v>
      </c>
      <c r="D510" s="6">
        <v>-3.3307346157732955</v>
      </c>
      <c r="E510" s="6">
        <v>-2.0853889972096731</v>
      </c>
      <c r="F510" s="6">
        <v>-3.2225704886376851</v>
      </c>
      <c r="G510" s="6">
        <v>-1.2098367073311092</v>
      </c>
      <c r="H510" s="6">
        <v>-4.1325236442764925</v>
      </c>
      <c r="I510" s="6">
        <v>-1.6049987244155592</v>
      </c>
      <c r="J510" s="6">
        <v>-1.7649134913702793</v>
      </c>
      <c r="K510" s="6">
        <v>3.7894933999414433</v>
      </c>
      <c r="L510" s="6">
        <v>-0.44258696040957818</v>
      </c>
      <c r="N510" s="8">
        <f>SQRT((C510-Sheet3!$C$525)^2+(D510-Sheet3!$D$525)^2+(E510-Sheet3!$E$525)^2+(F510-Sheet3!$F$525)^2+(G510-Sheet3!$G$525)^2+(H510-Sheet3!$H$525)^2+(I510-Sheet3!$I$525)^2+(J510-Sheet3!$J$525)^2+(K510-Sheet3!$K$525)^2+(L510-Sheet3!$L$525)^2)</f>
        <v>7.7531442909548014</v>
      </c>
      <c r="O510" s="8">
        <f>SQRT((C510-Sheet3!$C$526)^2+(D510-Sheet3!$D$526)^2+(E510-Sheet3!$E$526)^2+(F510-Sheet3!$F$526)^2+(G510-Sheet3!$G$526)^2+(H510-Sheet3!$H$526)^2+(I510-Sheet3!$I$526)^2+(J510-Sheet3!$J$526)^2+(K510-Sheet3!$K$526)^2+(L510-Sheet3!$L$526)^2)</f>
        <v>11.189845645754293</v>
      </c>
      <c r="P510" s="12">
        <f t="shared" si="7"/>
        <v>0</v>
      </c>
      <c r="Q510" s="11">
        <f>IF(P510=Sheet1!M510, 1, 0)</f>
        <v>0</v>
      </c>
    </row>
    <row r="511" spans="1:17" x14ac:dyDescent="0.35">
      <c r="A511" s="6" t="s">
        <v>530</v>
      </c>
      <c r="B511" s="6" t="s">
        <v>555</v>
      </c>
      <c r="C511" s="6">
        <v>3.2190872329369715</v>
      </c>
      <c r="D511" s="6">
        <v>-3.8524455783268405</v>
      </c>
      <c r="E511" s="6">
        <v>-1.8098317802518666</v>
      </c>
      <c r="F511" s="6">
        <v>-4.122317976827218</v>
      </c>
      <c r="G511" s="6">
        <v>-1.1024068862509435</v>
      </c>
      <c r="H511" s="6">
        <v>-3.5427189740087814</v>
      </c>
      <c r="I511" s="6">
        <v>-6.7966482776116973E-3</v>
      </c>
      <c r="J511" s="6">
        <v>-1.5637294232656818</v>
      </c>
      <c r="K511" s="6">
        <v>3.1244104080879533</v>
      </c>
      <c r="L511" s="6">
        <v>-0.4415745758829635</v>
      </c>
      <c r="N511" s="8">
        <f>SQRT((C511-Sheet3!$C$525)^2+(D511-Sheet3!$D$525)^2+(E511-Sheet3!$E$525)^2+(F511-Sheet3!$F$525)^2+(G511-Sheet3!$G$525)^2+(H511-Sheet3!$H$525)^2+(I511-Sheet3!$I$525)^2+(J511-Sheet3!$J$525)^2+(K511-Sheet3!$K$525)^2+(L511-Sheet3!$L$525)^2)</f>
        <v>7.719404041204398</v>
      </c>
      <c r="O511" s="8">
        <f>SQRT((C511-Sheet3!$C$526)^2+(D511-Sheet3!$D$526)^2+(E511-Sheet3!$E$526)^2+(F511-Sheet3!$F$526)^2+(G511-Sheet3!$G$526)^2+(H511-Sheet3!$H$526)^2+(I511-Sheet3!$I$526)^2+(J511-Sheet3!$J$526)^2+(K511-Sheet3!$K$526)^2+(L511-Sheet3!$L$526)^2)</f>
        <v>11.093173357515072</v>
      </c>
      <c r="P511" s="12">
        <f t="shared" si="7"/>
        <v>0</v>
      </c>
      <c r="Q511" s="11">
        <f>IF(P511=Sheet1!M511, 1, 0)</f>
        <v>0</v>
      </c>
    </row>
    <row r="512" spans="1:17" x14ac:dyDescent="0.35">
      <c r="A512" s="6" t="s">
        <v>530</v>
      </c>
      <c r="B512" s="6" t="s">
        <v>556</v>
      </c>
      <c r="C512" s="6">
        <v>2.219281020949408</v>
      </c>
      <c r="D512" s="6">
        <v>-2.146143841975245</v>
      </c>
      <c r="E512" s="6">
        <v>-1.808726604248025</v>
      </c>
      <c r="F512" s="6">
        <v>-2.2997130478405441</v>
      </c>
      <c r="G512" s="6">
        <v>-1.1053103949287875</v>
      </c>
      <c r="H512" s="6">
        <v>-3.5060918346679553</v>
      </c>
      <c r="I512" s="6">
        <v>-0.88590341452979782</v>
      </c>
      <c r="J512" s="6">
        <v>0.23553941223581379</v>
      </c>
      <c r="K512" s="6">
        <v>1.3670264084374373</v>
      </c>
      <c r="L512" s="6">
        <v>-0.43999002307308754</v>
      </c>
      <c r="N512" s="8">
        <f>SQRT((C512-Sheet3!$C$525)^2+(D512-Sheet3!$D$525)^2+(E512-Sheet3!$E$525)^2+(F512-Sheet3!$F$525)^2+(G512-Sheet3!$G$525)^2+(H512-Sheet3!$H$525)^2+(I512-Sheet3!$I$525)^2+(J512-Sheet3!$J$525)^2+(K512-Sheet3!$K$525)^2+(L512-Sheet3!$L$525)^2)</f>
        <v>5.1841815020754645</v>
      </c>
      <c r="O512" s="8">
        <f>SQRT((C512-Sheet3!$C$526)^2+(D512-Sheet3!$D$526)^2+(E512-Sheet3!$E$526)^2+(F512-Sheet3!$F$526)^2+(G512-Sheet3!$G$526)^2+(H512-Sheet3!$H$526)^2+(I512-Sheet3!$I$526)^2+(J512-Sheet3!$J$526)^2+(K512-Sheet3!$K$526)^2+(L512-Sheet3!$L$526)^2)</f>
        <v>8.4413341151995489</v>
      </c>
      <c r="P512" s="12">
        <f t="shared" si="7"/>
        <v>0</v>
      </c>
      <c r="Q512" s="11">
        <f>IF(P512=Sheet1!M512, 1, 0)</f>
        <v>0</v>
      </c>
    </row>
    <row r="513" spans="1:17" x14ac:dyDescent="0.35">
      <c r="A513" s="6" t="s">
        <v>530</v>
      </c>
      <c r="B513" s="6" t="s">
        <v>557</v>
      </c>
      <c r="C513" s="6">
        <v>3.9437789839078228</v>
      </c>
      <c r="D513" s="6">
        <v>-3.2816324075329617</v>
      </c>
      <c r="E513" s="6">
        <v>-1.8407767083594277</v>
      </c>
      <c r="F513" s="6">
        <v>-3.3257949436183329</v>
      </c>
      <c r="G513" s="6">
        <v>-1.1517665337742629</v>
      </c>
      <c r="H513" s="6">
        <v>-4.1389872571013449</v>
      </c>
      <c r="I513" s="6">
        <v>-3.1955508504483392</v>
      </c>
      <c r="J513" s="6">
        <v>-1.3777290584142614</v>
      </c>
      <c r="K513" s="6">
        <v>0.98362562489836625</v>
      </c>
      <c r="L513" s="6">
        <v>-0.44291120930194378</v>
      </c>
      <c r="N513" s="8">
        <f>SQRT((C513-Sheet3!$C$525)^2+(D513-Sheet3!$D$525)^2+(E513-Sheet3!$E$525)^2+(F513-Sheet3!$F$525)^2+(G513-Sheet3!$G$525)^2+(H513-Sheet3!$H$525)^2+(I513-Sheet3!$I$525)^2+(J513-Sheet3!$J$525)^2+(K513-Sheet3!$K$525)^2+(L513-Sheet3!$L$525)^2)</f>
        <v>7.7672296947357431</v>
      </c>
      <c r="O513" s="8">
        <f>SQRT((C513-Sheet3!$C$526)^2+(D513-Sheet3!$D$526)^2+(E513-Sheet3!$E$526)^2+(F513-Sheet3!$F$526)^2+(G513-Sheet3!$G$526)^2+(H513-Sheet3!$H$526)^2+(I513-Sheet3!$I$526)^2+(J513-Sheet3!$J$526)^2+(K513-Sheet3!$K$526)^2+(L513-Sheet3!$L$526)^2)</f>
        <v>11.149993674487838</v>
      </c>
      <c r="P513" s="12">
        <f t="shared" si="7"/>
        <v>0</v>
      </c>
      <c r="Q513" s="11">
        <f>IF(P513=Sheet1!M513, 1, 0)</f>
        <v>0</v>
      </c>
    </row>
    <row r="514" spans="1:17" x14ac:dyDescent="0.35">
      <c r="A514" s="6" t="s">
        <v>530</v>
      </c>
      <c r="B514" s="6" t="s">
        <v>558</v>
      </c>
      <c r="C514" s="6">
        <v>3.8001826554747109</v>
      </c>
      <c r="D514" s="6">
        <v>-3.1834279910522945</v>
      </c>
      <c r="E514" s="6">
        <v>-2.0820734691981486</v>
      </c>
      <c r="F514" s="6">
        <v>-3.0762074554561685</v>
      </c>
      <c r="G514" s="6">
        <v>-1.2475823201430574</v>
      </c>
      <c r="H514" s="6">
        <v>-4.1583780955759</v>
      </c>
      <c r="I514" s="6">
        <v>5.953268564334614E-3</v>
      </c>
      <c r="J514" s="6">
        <v>-1.6206683104650963</v>
      </c>
      <c r="K514" s="6">
        <v>2.4327240965603236</v>
      </c>
      <c r="L514" s="6">
        <v>-0.4413609034268911</v>
      </c>
      <c r="N514" s="8">
        <f>SQRT((C514-Sheet3!$C$525)^2+(D514-Sheet3!$D$525)^2+(E514-Sheet3!$E$525)^2+(F514-Sheet3!$F$525)^2+(G514-Sheet3!$G$525)^2+(H514-Sheet3!$H$525)^2+(I514-Sheet3!$I$525)^2+(J514-Sheet3!$J$525)^2+(K514-Sheet3!$K$525)^2+(L514-Sheet3!$L$525)^2)</f>
        <v>7.3877767306062356</v>
      </c>
      <c r="O514" s="8">
        <f>SQRT((C514-Sheet3!$C$526)^2+(D514-Sheet3!$D$526)^2+(E514-Sheet3!$E$526)^2+(F514-Sheet3!$F$526)^2+(G514-Sheet3!$G$526)^2+(H514-Sheet3!$H$526)^2+(I514-Sheet3!$I$526)^2+(J514-Sheet3!$J$526)^2+(K514-Sheet3!$K$526)^2+(L514-Sheet3!$L$526)^2)</f>
        <v>10.731114598080238</v>
      </c>
      <c r="P514" s="12">
        <f t="shared" si="7"/>
        <v>0</v>
      </c>
      <c r="Q514" s="11">
        <f>IF(P514=Sheet1!M514, 1, 0)</f>
        <v>0</v>
      </c>
    </row>
    <row r="515" spans="1:17" x14ac:dyDescent="0.35">
      <c r="A515" s="6" t="s">
        <v>530</v>
      </c>
      <c r="B515" s="6" t="s">
        <v>559</v>
      </c>
      <c r="C515" s="6">
        <v>-0.11852088681211596</v>
      </c>
      <c r="D515" s="6">
        <v>1.923201665942408</v>
      </c>
      <c r="E515" s="6">
        <v>1.6991020319448029</v>
      </c>
      <c r="F515" s="6">
        <v>1.5688930186730139</v>
      </c>
      <c r="G515" s="6">
        <v>0.25062815762355645</v>
      </c>
      <c r="H515" s="6">
        <v>0.43671198849154513</v>
      </c>
      <c r="I515" s="6">
        <v>0.76266083313383681</v>
      </c>
      <c r="J515" s="6">
        <v>2.5092989743990963</v>
      </c>
      <c r="K515" s="6">
        <v>-0.89425576386442862</v>
      </c>
      <c r="L515" s="6">
        <v>1.855737795368476E-2</v>
      </c>
      <c r="N515" s="8">
        <f>SQRT((C515-Sheet3!$C$525)^2+(D515-Sheet3!$D$525)^2+(E515-Sheet3!$E$525)^2+(F515-Sheet3!$F$525)^2+(G515-Sheet3!$G$525)^2+(H515-Sheet3!$H$525)^2+(I515-Sheet3!$I$525)^2+(J515-Sheet3!$J$525)^2+(K515-Sheet3!$K$525)^2+(L515-Sheet3!$L$525)^2)</f>
        <v>4.9247097093768826</v>
      </c>
      <c r="O515" s="8">
        <f>SQRT((C515-Sheet3!$C$526)^2+(D515-Sheet3!$D$526)^2+(E515-Sheet3!$E$526)^2+(F515-Sheet3!$F$526)^2+(G515-Sheet3!$G$526)^2+(H515-Sheet3!$H$526)^2+(I515-Sheet3!$I$526)^2+(J515-Sheet3!$J$526)^2+(K515-Sheet3!$K$526)^2+(L515-Sheet3!$L$526)^2)</f>
        <v>2.0755067636507003</v>
      </c>
      <c r="P515" s="12">
        <f t="shared" ref="P515" si="8">IF(N515&lt;=O515, 0, 1)</f>
        <v>1</v>
      </c>
      <c r="Q515" s="11">
        <f>IF(P515=Sheet1!M515, 1, 0)</f>
        <v>0</v>
      </c>
    </row>
    <row r="516" spans="1:17" x14ac:dyDescent="0.35">
      <c r="P516" s="15" t="s">
        <v>570</v>
      </c>
      <c r="Q516" s="15">
        <f>(SUM(Q2:Q515)/514)*100</f>
        <v>61.478599221789885</v>
      </c>
    </row>
    <row r="519" spans="1:17" x14ac:dyDescent="0.35">
      <c r="C519" s="1" t="s">
        <v>564</v>
      </c>
    </row>
    <row r="520" spans="1:17" x14ac:dyDescent="0.35">
      <c r="C520" s="9">
        <v>0.20846356465031574</v>
      </c>
      <c r="D520" s="9">
        <v>-0.34964010599227802</v>
      </c>
      <c r="E520" s="9">
        <v>-0.36674518216243795</v>
      </c>
      <c r="F520" s="9">
        <v>-0.36825146614066651</v>
      </c>
      <c r="G520" s="9">
        <v>-0.27358379518738402</v>
      </c>
      <c r="H520" s="9">
        <v>-0.21017020118752047</v>
      </c>
      <c r="I520" s="9">
        <v>-0.21714929529390711</v>
      </c>
      <c r="J520" s="9">
        <v>-0.33714566875569735</v>
      </c>
      <c r="K520" s="9">
        <v>0.1764773403873974</v>
      </c>
      <c r="L520" s="9">
        <v>-0.22182687517873539</v>
      </c>
    </row>
    <row r="521" spans="1:17" x14ac:dyDescent="0.35">
      <c r="C521" s="9">
        <v>-0.69195889106617536</v>
      </c>
      <c r="D521" s="9">
        <v>1.1605700997222674</v>
      </c>
      <c r="E521" s="9">
        <v>1.2173474533963273</v>
      </c>
      <c r="F521" s="9">
        <v>1.2223473035761849</v>
      </c>
      <c r="G521" s="9">
        <v>0.9081142781430187</v>
      </c>
      <c r="H521" s="9">
        <v>0.69762377705101486</v>
      </c>
      <c r="I521" s="9">
        <v>0.72078967765625257</v>
      </c>
      <c r="J521" s="9">
        <v>1.1190969677184914</v>
      </c>
      <c r="K521" s="9">
        <v>-0.58578612985736378</v>
      </c>
      <c r="L521" s="9">
        <v>0.73631609828235722</v>
      </c>
    </row>
    <row r="524" spans="1:17" x14ac:dyDescent="0.35">
      <c r="C524" s="1" t="s">
        <v>565</v>
      </c>
    </row>
    <row r="525" spans="1:17" x14ac:dyDescent="0.35">
      <c r="C525" s="9">
        <f t="shared" ref="C525:L525" si="9">AVERAGEIF($P$2:$P$515, 0, C$2:C$515)</f>
        <v>0.23302845910882625</v>
      </c>
      <c r="D525" s="9">
        <f t="shared" si="9"/>
        <v>-0.36977728136537019</v>
      </c>
      <c r="E525" s="9">
        <f t="shared" si="9"/>
        <v>-0.39744316105684441</v>
      </c>
      <c r="F525" s="9">
        <f t="shared" si="9"/>
        <v>-0.40120394823456063</v>
      </c>
      <c r="G525" s="9">
        <f t="shared" si="9"/>
        <v>-0.31399674285832663</v>
      </c>
      <c r="H525" s="9">
        <f t="shared" si="9"/>
        <v>-0.24026738234626152</v>
      </c>
      <c r="I525" s="9">
        <f t="shared" si="9"/>
        <v>-0.25279583746195455</v>
      </c>
      <c r="J525" s="9">
        <f t="shared" si="9"/>
        <v>-0.38060562533160636</v>
      </c>
      <c r="K525" s="9">
        <f t="shared" si="9"/>
        <v>0.20709931491413203</v>
      </c>
      <c r="L525" s="9">
        <f t="shared" si="9"/>
        <v>-0.23051322706499272</v>
      </c>
    </row>
    <row r="526" spans="1:17" x14ac:dyDescent="0.35">
      <c r="C526" s="9">
        <f t="shared" ref="C526:L526" si="10">AVERAGEIF($P$2:$P$515, 1, C$2:C$515)</f>
        <v>-0.64768204075835656</v>
      </c>
      <c r="D526" s="9">
        <f t="shared" si="10"/>
        <v>1.0277633261478669</v>
      </c>
      <c r="E526" s="9">
        <f t="shared" si="10"/>
        <v>1.1046581976432874</v>
      </c>
      <c r="F526" s="9">
        <f t="shared" si="10"/>
        <v>1.1151109737696074</v>
      </c>
      <c r="G526" s="9">
        <f t="shared" si="10"/>
        <v>0.87272624117977926</v>
      </c>
      <c r="H526" s="9">
        <f t="shared" si="10"/>
        <v>0.66780198916828726</v>
      </c>
      <c r="I526" s="9">
        <f t="shared" si="10"/>
        <v>0.70262372471043744</v>
      </c>
      <c r="J526" s="9">
        <f t="shared" si="10"/>
        <v>1.0578597527599065</v>
      </c>
      <c r="K526" s="9">
        <f t="shared" si="10"/>
        <v>-0.57561427233489859</v>
      </c>
      <c r="L526" s="9">
        <f t="shared" si="10"/>
        <v>0.64069117522475938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C2B4-A992-49F7-95E1-4282FAC4A832}">
  <dimension ref="A1:Q526"/>
  <sheetViews>
    <sheetView topLeftCell="A513" zoomScale="96" workbookViewId="0">
      <selection activeCell="C526" sqref="C526"/>
    </sheetView>
  </sheetViews>
  <sheetFormatPr defaultRowHeight="14.5" x14ac:dyDescent="0.35"/>
  <sheetData>
    <row r="1" spans="1:17" x14ac:dyDescent="0.35">
      <c r="A1" s="5" t="s">
        <v>560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N1" s="13" t="s">
        <v>571</v>
      </c>
      <c r="O1" s="13" t="s">
        <v>567</v>
      </c>
      <c r="P1" s="14" t="s">
        <v>569</v>
      </c>
      <c r="Q1" s="15" t="s">
        <v>572</v>
      </c>
    </row>
    <row r="2" spans="1:17" x14ac:dyDescent="0.35">
      <c r="A2" s="6" t="s">
        <v>12</v>
      </c>
      <c r="B2" s="6" t="s">
        <v>13</v>
      </c>
      <c r="C2" s="6">
        <v>0.90007362983024741</v>
      </c>
      <c r="D2" s="6">
        <v>0.6404064756636908</v>
      </c>
      <c r="E2" s="6">
        <v>-1.1703032660289354</v>
      </c>
      <c r="F2" s="6">
        <v>-0.54181598615517224</v>
      </c>
      <c r="G2" s="6">
        <v>-1.2708103895657952</v>
      </c>
      <c r="H2" s="6">
        <v>-0.30391031435603855</v>
      </c>
      <c r="I2" s="6">
        <v>0.14747734550993657</v>
      </c>
      <c r="J2" s="6">
        <v>0.24692718967569677</v>
      </c>
      <c r="K2" s="6">
        <v>0.26377109253929582</v>
      </c>
      <c r="L2" s="6">
        <v>-0.42450280274635355</v>
      </c>
      <c r="N2" s="8">
        <f>SQRT((C2-Sheet4!$C$525)^2+(D2-Sheet4!$D$525)^2+(E2-Sheet4!$E$525)^2+(F2-Sheet4!$F$525)^2+(G2-Sheet4!$G$525)^2+(H2-Sheet4!$H$525)^2+(I2-Sheet4!$I$525)^2+(J2-Sheet4!$J$525)^2+(K2-Sheet4!$K$525)^2+(L2-Sheet4!$L$525)^2)</f>
        <v>1.896551461970883</v>
      </c>
      <c r="O2" s="8">
        <f>SQRT((C2-Sheet4!$C$526)^2+(D2-Sheet4!$D$526)^2+(E2-Sheet4!$E$526)^2+(F2-Sheet4!$F$526)^2+(G2-Sheet4!$G$526)^2+(H2-Sheet4!$H$526)^2+(I2-Sheet4!$I$526)^2+(J2-Sheet4!$J$526)^2+(K2-Sheet4!$K$526)^2+(L2-Sheet4!$L$526)^2)</f>
        <v>4.3370991193451802</v>
      </c>
      <c r="P2" s="12">
        <f>IF(N2&lt;=O2, 0, 1)</f>
        <v>0</v>
      </c>
      <c r="Q2" s="11">
        <f>IF(P2=Sheet1!$M2, 1, 0)</f>
        <v>1</v>
      </c>
    </row>
    <row r="3" spans="1:17" x14ac:dyDescent="0.35">
      <c r="A3" s="6" t="s">
        <v>12</v>
      </c>
      <c r="B3" s="6" t="s">
        <v>14</v>
      </c>
      <c r="C3" s="6">
        <v>1.0852726328561315</v>
      </c>
      <c r="D3" s="6">
        <v>0.14938439326035369</v>
      </c>
      <c r="E3" s="6">
        <v>-0.57056108794429738</v>
      </c>
      <c r="F3" s="6">
        <v>-0.1088895406393177</v>
      </c>
      <c r="G3" s="6">
        <v>-0.64655602382970401</v>
      </c>
      <c r="H3" s="6">
        <v>-0.41163719477023253</v>
      </c>
      <c r="I3" s="6">
        <v>-0.41798146643037459</v>
      </c>
      <c r="J3" s="6">
        <v>1.2528475301986848</v>
      </c>
      <c r="K3" s="6">
        <v>-1.0350968680216379</v>
      </c>
      <c r="L3" s="6">
        <v>-0.42173791125360344</v>
      </c>
      <c r="N3" s="8">
        <f>SQRT((C3-Sheet4!$C$525)^2+(D3-Sheet4!$D$525)^2+(E3-Sheet4!$E$525)^2+(F3-Sheet4!$F$525)^2+(G3-Sheet4!$G$525)^2+(H3-Sheet4!$H$525)^2+(I3-Sheet4!$I$525)^2+(J3-Sheet4!$J$525)^2+(K3-Sheet4!$K$525)^2+(L3-Sheet4!$L$525)^2)</f>
        <v>2.350809123180186</v>
      </c>
      <c r="O3" s="8">
        <f>SQRT((C3-Sheet4!$C$526)^2+(D3-Sheet4!$D$526)^2+(E3-Sheet4!$E$526)^2+(F3-Sheet4!$F$526)^2+(G3-Sheet4!$G$526)^2+(H3-Sheet4!$H$526)^2+(I3-Sheet4!$I$526)^2+(J3-Sheet4!$J$526)^2+(K3-Sheet4!$K$526)^2+(L3-Sheet4!$L$526)^2)</f>
        <v>3.7664681021497479</v>
      </c>
      <c r="P3" s="12">
        <f t="shared" ref="P3:P66" si="0">IF(N3&lt;=O3, 0, 1)</f>
        <v>0</v>
      </c>
      <c r="Q3" s="11">
        <f>IF(P3=Sheet1!$M3, 1, 0)</f>
        <v>0</v>
      </c>
    </row>
    <row r="4" spans="1:17" x14ac:dyDescent="0.35">
      <c r="A4" s="6" t="s">
        <v>12</v>
      </c>
      <c r="B4" s="6" t="s">
        <v>15</v>
      </c>
      <c r="C4" s="6">
        <v>0.12170100841711061</v>
      </c>
      <c r="D4" s="6">
        <v>0.27213991386118852</v>
      </c>
      <c r="E4" s="6">
        <v>-0.79012272070746958</v>
      </c>
      <c r="F4" s="6">
        <v>-0.38312764491626466</v>
      </c>
      <c r="G4" s="6">
        <v>-1.5263191532159142</v>
      </c>
      <c r="H4" s="6">
        <v>-0.78921991062198271</v>
      </c>
      <c r="I4" s="6">
        <v>-0.34976941132596229</v>
      </c>
      <c r="J4" s="6">
        <v>0.53162162567276894</v>
      </c>
      <c r="K4" s="6">
        <v>-1.3480770994821039</v>
      </c>
      <c r="L4" s="6">
        <v>-0.36813456289920671</v>
      </c>
      <c r="N4" s="8">
        <f>SQRT((C4-Sheet4!$C$525)^2+(D4-Sheet4!$D$525)^2+(E4-Sheet4!$E$525)^2+(F4-Sheet4!$F$525)^2+(G4-Sheet4!$G$525)^2+(H4-Sheet4!$H$525)^2+(I4-Sheet4!$I$525)^2+(J4-Sheet4!$J$525)^2+(K4-Sheet4!$K$525)^2+(L4-Sheet4!$L$525)^2)</f>
        <v>2.3725778648010127</v>
      </c>
      <c r="O4" s="8">
        <f>SQRT((C4-Sheet4!$C$526)^2+(D4-Sheet4!$D$526)^2+(E4-Sheet4!$E$526)^2+(F4-Sheet4!$F$526)^2+(G4-Sheet4!$G$526)^2+(H4-Sheet4!$H$526)^2+(I4-Sheet4!$I$526)^2+(J4-Sheet4!$J$526)^2+(K4-Sheet4!$K$526)^2+(L4-Sheet4!$L$526)^2)</f>
        <v>4.22788935449642</v>
      </c>
      <c r="P4" s="12">
        <f t="shared" si="0"/>
        <v>0</v>
      </c>
      <c r="Q4" s="11">
        <f>IF(P4=Sheet1!$M4, 1, 0)</f>
        <v>1</v>
      </c>
    </row>
    <row r="5" spans="1:17" x14ac:dyDescent="0.35">
      <c r="A5" s="6" t="s">
        <v>12</v>
      </c>
      <c r="B5" s="6" t="s">
        <v>16</v>
      </c>
      <c r="C5" s="6">
        <v>0.1525675089214247</v>
      </c>
      <c r="D5" s="6">
        <v>0.75702422023448301</v>
      </c>
      <c r="E5" s="6">
        <v>-0.8453815208995431</v>
      </c>
      <c r="F5" s="6">
        <v>-7.4994943481493007E-2</v>
      </c>
      <c r="G5" s="6">
        <v>-0.41717883828016644</v>
      </c>
      <c r="H5" s="6">
        <v>-0.78060176018884708</v>
      </c>
      <c r="I5" s="6">
        <v>0.10030265319473533</v>
      </c>
      <c r="J5" s="6">
        <v>0.52023384823288588</v>
      </c>
      <c r="K5" s="6">
        <v>2.4341215472039265E-2</v>
      </c>
      <c r="L5" s="6">
        <v>-0.38607558968778871</v>
      </c>
      <c r="N5" s="8">
        <f>SQRT((C5-Sheet4!$C$525)^2+(D5-Sheet4!$D$525)^2+(E5-Sheet4!$E$525)^2+(F5-Sheet4!$F$525)^2+(G5-Sheet4!$G$525)^2+(H5-Sheet4!$H$525)^2+(I5-Sheet4!$I$525)^2+(J5-Sheet4!$J$525)^2+(K5-Sheet4!$K$525)^2+(L5-Sheet4!$L$525)^2)</f>
        <v>1.696942820197525</v>
      </c>
      <c r="O5" s="8">
        <f>SQRT((C5-Sheet4!$C$526)^2+(D5-Sheet4!$D$526)^2+(E5-Sheet4!$E$526)^2+(F5-Sheet4!$F$526)^2+(G5-Sheet4!$G$526)^2+(H5-Sheet4!$H$526)^2+(I5-Sheet4!$I$526)^2+(J5-Sheet4!$J$526)^2+(K5-Sheet4!$K$526)^2+(L5-Sheet4!$L$526)^2)</f>
        <v>3.4293532045943436</v>
      </c>
      <c r="P5" s="12">
        <f t="shared" si="0"/>
        <v>0</v>
      </c>
      <c r="Q5" s="11">
        <f>IF(P5=Sheet1!$M5, 1, 0)</f>
        <v>1</v>
      </c>
    </row>
    <row r="6" spans="1:17" x14ac:dyDescent="0.35">
      <c r="A6" s="6" t="s">
        <v>12</v>
      </c>
      <c r="B6" s="6" t="s">
        <v>17</v>
      </c>
      <c r="C6" s="6">
        <v>0.29213777207136638</v>
      </c>
      <c r="D6" s="6">
        <v>-0.13909108015160596</v>
      </c>
      <c r="E6" s="6">
        <v>-0.64387109619911498</v>
      </c>
      <c r="F6" s="6">
        <v>-0.32304176813648411</v>
      </c>
      <c r="G6" s="6">
        <v>-0.2661963870323692</v>
      </c>
      <c r="H6" s="6">
        <v>-0.56299346175217524</v>
      </c>
      <c r="I6" s="6">
        <v>-0.12600837074980831</v>
      </c>
      <c r="J6" s="6">
        <v>0.78594865516348666</v>
      </c>
      <c r="K6" s="6">
        <v>-1.5624685580325237</v>
      </c>
      <c r="L6" s="6">
        <v>-0.2827211194286291</v>
      </c>
      <c r="N6" s="8">
        <f>SQRT((C6-Sheet4!$C$525)^2+(D6-Sheet4!$D$525)^2+(E6-Sheet4!$E$525)^2+(F6-Sheet4!$F$525)^2+(G6-Sheet4!$G$525)^2+(H6-Sheet4!$H$525)^2+(I6-Sheet4!$I$525)^2+(J6-Sheet4!$J$525)^2+(K6-Sheet4!$K$525)^2+(L6-Sheet4!$L$525)^2)</f>
        <v>2.1773844759982151</v>
      </c>
      <c r="O6" s="8">
        <f>SQRT((C6-Sheet4!$C$526)^2+(D6-Sheet4!$D$526)^2+(E6-Sheet4!$E$526)^2+(F6-Sheet4!$F$526)^2+(G6-Sheet4!$G$526)^2+(H6-Sheet4!$H$526)^2+(I6-Sheet4!$I$526)^2+(J6-Sheet4!$J$526)^2+(K6-Sheet4!$K$526)^2+(L6-Sheet4!$L$526)^2)</f>
        <v>3.5734561874136239</v>
      </c>
      <c r="P6" s="12">
        <f t="shared" si="0"/>
        <v>0</v>
      </c>
      <c r="Q6" s="11">
        <f>IF(P6=Sheet1!$M6, 1, 0)</f>
        <v>1</v>
      </c>
    </row>
    <row r="7" spans="1:17" x14ac:dyDescent="0.35">
      <c r="A7" s="6" t="s">
        <v>12</v>
      </c>
      <c r="B7" s="6" t="s">
        <v>18</v>
      </c>
      <c r="C7" s="6">
        <v>0.40084153471699413</v>
      </c>
      <c r="D7" s="6">
        <v>0.87364196480527523</v>
      </c>
      <c r="E7" s="6">
        <v>0.167696482621805</v>
      </c>
      <c r="F7" s="6">
        <v>0.5304858148378343</v>
      </c>
      <c r="G7" s="6">
        <v>-0.23135428289826052</v>
      </c>
      <c r="H7" s="6">
        <v>0.72057231838294611</v>
      </c>
      <c r="I7" s="6">
        <v>0.31641374366572228</v>
      </c>
      <c r="J7" s="6">
        <v>-0.92980981244553462</v>
      </c>
      <c r="K7" s="6">
        <v>1.0696951885499939</v>
      </c>
      <c r="L7" s="6">
        <v>-0.33454928972214776</v>
      </c>
      <c r="N7" s="8">
        <f>SQRT((C7-Sheet4!$C$525)^2+(D7-Sheet4!$D$525)^2+(E7-Sheet4!$E$525)^2+(F7-Sheet4!$F$525)^2+(G7-Sheet4!$G$525)^2+(H7-Sheet4!$H$525)^2+(I7-Sheet4!$I$525)^2+(J7-Sheet4!$J$525)^2+(K7-Sheet4!$K$525)^2+(L7-Sheet4!$L$525)^2)</f>
        <v>2.2521642742453882</v>
      </c>
      <c r="O7" s="8">
        <f>SQRT((C7-Sheet4!$C$526)^2+(D7-Sheet4!$D$526)^2+(E7-Sheet4!$E$526)^2+(F7-Sheet4!$F$526)^2+(G7-Sheet4!$G$526)^2+(H7-Sheet4!$H$526)^2+(I7-Sheet4!$I$526)^2+(J7-Sheet4!$J$526)^2+(K7-Sheet4!$K$526)^2+(L7-Sheet4!$L$526)^2)</f>
        <v>3.3649283888316717</v>
      </c>
      <c r="P7" s="12">
        <f t="shared" si="0"/>
        <v>0</v>
      </c>
      <c r="Q7" s="11">
        <f>IF(P7=Sheet1!$M7, 1, 0)</f>
        <v>1</v>
      </c>
    </row>
    <row r="8" spans="1:17" x14ac:dyDescent="0.35">
      <c r="A8" s="6" t="s">
        <v>12</v>
      </c>
      <c r="B8" s="6" t="s">
        <v>19</v>
      </c>
      <c r="C8" s="6">
        <v>0.87725925989227593</v>
      </c>
      <c r="D8" s="6">
        <v>0.68337090787398302</v>
      </c>
      <c r="E8" s="6">
        <v>-0.2695848228981369</v>
      </c>
      <c r="F8" s="6">
        <v>0.26857301861827798</v>
      </c>
      <c r="G8" s="6">
        <v>-0.48395953787053997</v>
      </c>
      <c r="H8" s="6">
        <v>0.66778614697999084</v>
      </c>
      <c r="I8" s="6">
        <v>0.57906203060981287</v>
      </c>
      <c r="J8" s="6">
        <v>0.77076495191030947</v>
      </c>
      <c r="K8" s="6">
        <v>-1.4732691920662908</v>
      </c>
      <c r="L8" s="6">
        <v>-0.30252259684734706</v>
      </c>
      <c r="N8" s="8">
        <f>SQRT((C8-Sheet4!$C$525)^2+(D8-Sheet4!$D$525)^2+(E8-Sheet4!$E$525)^2+(F8-Sheet4!$F$525)^2+(G8-Sheet4!$G$525)^2+(H8-Sheet4!$H$525)^2+(I8-Sheet4!$I$525)^2+(J8-Sheet4!$J$525)^2+(K8-Sheet4!$K$525)^2+(L8-Sheet4!$L$525)^2)</f>
        <v>2.7729077381602676</v>
      </c>
      <c r="O8" s="8">
        <f>SQRT((C8-Sheet4!$C$526)^2+(D8-Sheet4!$D$526)^2+(E8-Sheet4!$E$526)^2+(F8-Sheet4!$F$526)^2+(G8-Sheet4!$G$526)^2+(H8-Sheet4!$H$526)^2+(I8-Sheet4!$I$526)^2+(J8-Sheet4!$J$526)^2+(K8-Sheet4!$K$526)^2+(L8-Sheet4!$L$526)^2)</f>
        <v>2.9466839484766409</v>
      </c>
      <c r="P8" s="12">
        <f t="shared" si="0"/>
        <v>0</v>
      </c>
      <c r="Q8" s="11">
        <f>IF(P8=Sheet1!$M8, 1, 0)</f>
        <v>1</v>
      </c>
    </row>
    <row r="9" spans="1:17" x14ac:dyDescent="0.35">
      <c r="A9" s="6" t="s">
        <v>12</v>
      </c>
      <c r="B9" s="6" t="s">
        <v>20</v>
      </c>
      <c r="C9" s="6">
        <v>0.23845690162908126</v>
      </c>
      <c r="D9" s="6">
        <v>1.1621174382172359</v>
      </c>
      <c r="E9" s="6">
        <v>-0.25079683083283189</v>
      </c>
      <c r="F9" s="6">
        <v>0.56283974848848439</v>
      </c>
      <c r="G9" s="6">
        <v>3.8672024141073208E-2</v>
      </c>
      <c r="H9" s="6">
        <v>0.54928657852437801</v>
      </c>
      <c r="I9" s="6">
        <v>-0.17700803811759264</v>
      </c>
      <c r="J9" s="6">
        <v>1.0023164265212616</v>
      </c>
      <c r="K9" s="6">
        <v>-1.2197552045833129</v>
      </c>
      <c r="L9" s="6">
        <v>-0.2445237933602567</v>
      </c>
      <c r="N9" s="8">
        <f>SQRT((C9-Sheet4!$C$525)^2+(D9-Sheet4!$D$525)^2+(E9-Sheet4!$E$525)^2+(F9-Sheet4!$F$525)^2+(G9-Sheet4!$G$525)^2+(H9-Sheet4!$H$525)^2+(I9-Sheet4!$I$525)^2+(J9-Sheet4!$J$525)^2+(K9-Sheet4!$K$525)^2+(L9-Sheet4!$L$525)^2)</f>
        <v>2.8283766226202744</v>
      </c>
      <c r="O9" s="8">
        <f>SQRT((C9-Sheet4!$C$526)^2+(D9-Sheet4!$D$526)^2+(E9-Sheet4!$E$526)^2+(F9-Sheet4!$F$526)^2+(G9-Sheet4!$G$526)^2+(H9-Sheet4!$H$526)^2+(I9-Sheet4!$I$526)^2+(J9-Sheet4!$J$526)^2+(K9-Sheet4!$K$526)^2+(L9-Sheet4!$L$526)^2)</f>
        <v>2.3728901392881125</v>
      </c>
      <c r="P9" s="12">
        <f t="shared" si="0"/>
        <v>1</v>
      </c>
      <c r="Q9" s="11">
        <f>IF(P9=Sheet1!$M9, 1, 0)</f>
        <v>0</v>
      </c>
    </row>
    <row r="10" spans="1:17" x14ac:dyDescent="0.35">
      <c r="A10" s="6" t="s">
        <v>12</v>
      </c>
      <c r="B10" s="6" t="s">
        <v>21</v>
      </c>
      <c r="C10" s="6">
        <v>0.9819369572547324</v>
      </c>
      <c r="D10" s="6">
        <v>0.34579322622168857</v>
      </c>
      <c r="E10" s="6">
        <v>-0.17122415855624601</v>
      </c>
      <c r="F10" s="6">
        <v>0.11912865842241392</v>
      </c>
      <c r="G10" s="6">
        <v>-0.7859244403661344</v>
      </c>
      <c r="H10" s="6">
        <v>-1.2443659803719522</v>
      </c>
      <c r="I10" s="6">
        <v>0.26158910124535395</v>
      </c>
      <c r="J10" s="6">
        <v>0.8428875423629012</v>
      </c>
      <c r="K10" s="6">
        <v>-1.4357115642910345</v>
      </c>
      <c r="L10" s="6">
        <v>-0.2922999599351695</v>
      </c>
      <c r="N10" s="8">
        <f>SQRT((C10-Sheet4!$C$525)^2+(D10-Sheet4!$D$525)^2+(E10-Sheet4!$E$525)^2+(F10-Sheet4!$F$525)^2+(G10-Sheet4!$G$525)^2+(H10-Sheet4!$H$525)^2+(I10-Sheet4!$I$525)^2+(J10-Sheet4!$J$525)^2+(K10-Sheet4!$K$525)^2+(L10-Sheet4!$L$525)^2)</f>
        <v>2.6626919605084303</v>
      </c>
      <c r="O10" s="8">
        <f>SQRT((C10-Sheet4!$C$526)^2+(D10-Sheet4!$D$526)^2+(E10-Sheet4!$E$526)^2+(F10-Sheet4!$F$526)^2+(G10-Sheet4!$G$526)^2+(H10-Sheet4!$H$526)^2+(I10-Sheet4!$I$526)^2+(J10-Sheet4!$J$526)^2+(K10-Sheet4!$K$526)^2+(L10-Sheet4!$L$526)^2)</f>
        <v>3.7415331994528334</v>
      </c>
      <c r="P10" s="12">
        <f t="shared" si="0"/>
        <v>0</v>
      </c>
      <c r="Q10" s="11">
        <f>IF(P10=Sheet1!$M10, 1, 0)</f>
        <v>1</v>
      </c>
    </row>
    <row r="11" spans="1:17" x14ac:dyDescent="0.35">
      <c r="A11" s="6" t="s">
        <v>12</v>
      </c>
      <c r="B11" s="6" t="s">
        <v>22</v>
      </c>
      <c r="C11" s="6">
        <v>0.13109516074451058</v>
      </c>
      <c r="D11" s="6">
        <v>0.52378873109289759</v>
      </c>
      <c r="E11" s="6">
        <v>-0.53703741582777276</v>
      </c>
      <c r="F11" s="6">
        <v>0.3702568100917521</v>
      </c>
      <c r="G11" s="6">
        <v>0.4654877997838876</v>
      </c>
      <c r="H11" s="6">
        <v>0.25249902298327331</v>
      </c>
      <c r="I11" s="6">
        <v>0.53507481750509889</v>
      </c>
      <c r="J11" s="6">
        <v>-0.28070649837221007</v>
      </c>
      <c r="K11" s="6">
        <v>-0.55623711388712604</v>
      </c>
      <c r="L11" s="6">
        <v>-0.24216485028101861</v>
      </c>
      <c r="N11" s="8">
        <f>SQRT((C11-Sheet4!$C$525)^2+(D11-Sheet4!$D$525)^2+(E11-Sheet4!$E$525)^2+(F11-Sheet4!$F$525)^2+(G11-Sheet4!$G$525)^2+(H11-Sheet4!$H$525)^2+(I11-Sheet4!$I$525)^2+(J11-Sheet4!$J$525)^2+(K11-Sheet4!$K$525)^2+(L11-Sheet4!$L$525)^2)</f>
        <v>1.8674694172494717</v>
      </c>
      <c r="O11" s="8">
        <f>SQRT((C11-Sheet4!$C$526)^2+(D11-Sheet4!$D$526)^2+(E11-Sheet4!$E$526)^2+(F11-Sheet4!$F$526)^2+(G11-Sheet4!$G$526)^2+(H11-Sheet4!$H$526)^2+(I11-Sheet4!$I$526)^2+(J11-Sheet4!$J$526)^2+(K11-Sheet4!$K$526)^2+(L11-Sheet4!$L$526)^2)</f>
        <v>2.6548858200249219</v>
      </c>
      <c r="P11" s="12">
        <f t="shared" si="0"/>
        <v>0</v>
      </c>
      <c r="Q11" s="11">
        <f>IF(P11=Sheet1!$M11, 1, 0)</f>
        <v>1</v>
      </c>
    </row>
    <row r="12" spans="1:17" x14ac:dyDescent="0.35">
      <c r="A12" s="6" t="s">
        <v>12</v>
      </c>
      <c r="B12" s="6" t="s">
        <v>23</v>
      </c>
      <c r="C12" s="6">
        <v>0.69206025686639183</v>
      </c>
      <c r="D12" s="6">
        <v>0.12483328914018736</v>
      </c>
      <c r="E12" s="6">
        <v>-0.78238648868057925</v>
      </c>
      <c r="F12" s="6">
        <v>-7.1913616467145905E-2</v>
      </c>
      <c r="G12" s="6">
        <v>-0.24587182628747109</v>
      </c>
      <c r="H12" s="6">
        <v>0.14908121778564698</v>
      </c>
      <c r="I12" s="6">
        <v>0.37952583203335621</v>
      </c>
      <c r="J12" s="6">
        <v>1.2338679011322136</v>
      </c>
      <c r="K12" s="6">
        <v>-1.7205235749200585</v>
      </c>
      <c r="L12" s="6">
        <v>-0.10531035851903973</v>
      </c>
      <c r="N12" s="8">
        <f>SQRT((C12-Sheet4!$C$525)^2+(D12-Sheet4!$D$525)^2+(E12-Sheet4!$E$525)^2+(F12-Sheet4!$F$525)^2+(G12-Sheet4!$G$525)^2+(H12-Sheet4!$H$525)^2+(I12-Sheet4!$I$525)^2+(J12-Sheet4!$J$525)^2+(K12-Sheet4!$K$525)^2+(L12-Sheet4!$L$525)^2)</f>
        <v>2.7578901097830344</v>
      </c>
      <c r="O12" s="8">
        <f>SQRT((C12-Sheet4!$C$526)^2+(D12-Sheet4!$D$526)^2+(E12-Sheet4!$E$526)^2+(F12-Sheet4!$F$526)^2+(G12-Sheet4!$G$526)^2+(H12-Sheet4!$H$526)^2+(I12-Sheet4!$I$526)^2+(J12-Sheet4!$J$526)^2+(K12-Sheet4!$K$526)^2+(L12-Sheet4!$L$526)^2)</f>
        <v>3.3321459591426406</v>
      </c>
      <c r="P12" s="12">
        <f t="shared" si="0"/>
        <v>0</v>
      </c>
      <c r="Q12" s="11">
        <f>IF(P12=Sheet1!$M12, 1, 0)</f>
        <v>1</v>
      </c>
    </row>
    <row r="13" spans="1:17" x14ac:dyDescent="0.35">
      <c r="A13" s="6" t="s">
        <v>12</v>
      </c>
      <c r="B13" s="6" t="s">
        <v>24</v>
      </c>
      <c r="C13" s="6">
        <v>0.54577988491116447</v>
      </c>
      <c r="D13" s="6">
        <v>0.1432466172303121</v>
      </c>
      <c r="E13" s="6">
        <v>-0.69876150438990803</v>
      </c>
      <c r="F13" s="6">
        <v>-0.45245750273908869</v>
      </c>
      <c r="G13" s="6">
        <v>-1.3346875804783249</v>
      </c>
      <c r="H13" s="6">
        <v>-0.61901143956755644</v>
      </c>
      <c r="I13" s="6">
        <v>0.65046156492471141</v>
      </c>
      <c r="J13" s="6">
        <v>-0.38699242114445043</v>
      </c>
      <c r="K13" s="6">
        <v>-1.8081580397289894</v>
      </c>
      <c r="L13" s="6">
        <v>-0.39479616732192818</v>
      </c>
      <c r="N13" s="8">
        <f>SQRT((C13-Sheet4!$C$525)^2+(D13-Sheet4!$D$525)^2+(E13-Sheet4!$E$525)^2+(F13-Sheet4!$F$525)^2+(G13-Sheet4!$G$525)^2+(H13-Sheet4!$H$525)^2+(I13-Sheet4!$I$525)^2+(J13-Sheet4!$J$525)^2+(K13-Sheet4!$K$525)^2+(L13-Sheet4!$L$525)^2)</f>
        <v>2.5580948591992474</v>
      </c>
      <c r="O13" s="8">
        <f>SQRT((C13-Sheet4!$C$526)^2+(D13-Sheet4!$D$526)^2+(E13-Sheet4!$E$526)^2+(F13-Sheet4!$F$526)^2+(G13-Sheet4!$G$526)^2+(H13-Sheet4!$H$526)^2+(I13-Sheet4!$I$526)^2+(J13-Sheet4!$J$526)^2+(K13-Sheet4!$K$526)^2+(L13-Sheet4!$L$526)^2)</f>
        <v>4.3733964121138902</v>
      </c>
      <c r="P13" s="12">
        <f t="shared" si="0"/>
        <v>0</v>
      </c>
      <c r="Q13" s="11">
        <f>IF(P13=Sheet1!$M13, 1, 0)</f>
        <v>1</v>
      </c>
    </row>
    <row r="14" spans="1:17" x14ac:dyDescent="0.35">
      <c r="A14" s="6" t="s">
        <v>12</v>
      </c>
      <c r="B14" s="6" t="s">
        <v>25</v>
      </c>
      <c r="C14" s="6">
        <v>0.98864706606001818</v>
      </c>
      <c r="D14" s="6">
        <v>-2.247333558081379E-2</v>
      </c>
      <c r="E14" s="6">
        <v>-0.54108972784185816</v>
      </c>
      <c r="F14" s="6">
        <v>-0.36463968283017767</v>
      </c>
      <c r="G14" s="6">
        <v>-1.1982226726197382</v>
      </c>
      <c r="H14" s="6">
        <v>-1.5928624385118697</v>
      </c>
      <c r="I14" s="6">
        <v>-2.9109002751017063E-2</v>
      </c>
      <c r="J14" s="6">
        <v>-1.2220961000691954</v>
      </c>
      <c r="K14" s="6">
        <v>1.49065359986432</v>
      </c>
      <c r="L14" s="6">
        <v>-0.4175284008878361</v>
      </c>
      <c r="N14" s="8">
        <f>SQRT((C14-Sheet4!$C$525)^2+(D14-Sheet4!$D$525)^2+(E14-Sheet4!$E$525)^2+(F14-Sheet4!$F$525)^2+(G14-Sheet4!$G$525)^2+(H14-Sheet4!$H$525)^2+(I14-Sheet4!$I$525)^2+(J14-Sheet4!$J$525)^2+(K14-Sheet4!$K$525)^2+(L14-Sheet4!$L$525)^2)</f>
        <v>2.401155548722159</v>
      </c>
      <c r="O14" s="8">
        <f>SQRT((C14-Sheet4!$C$526)^2+(D14-Sheet4!$D$526)^2+(E14-Sheet4!$E$526)^2+(F14-Sheet4!$F$526)^2+(G14-Sheet4!$G$526)^2+(H14-Sheet4!$H$526)^2+(I14-Sheet4!$I$526)^2+(J14-Sheet4!$J$526)^2+(K14-Sheet4!$K$526)^2+(L14-Sheet4!$L$526)^2)</f>
        <v>5.4038018427576056</v>
      </c>
      <c r="P14" s="12">
        <f t="shared" si="0"/>
        <v>0</v>
      </c>
      <c r="Q14" s="11">
        <f>IF(P14=Sheet1!$M14, 1, 0)</f>
        <v>1</v>
      </c>
    </row>
    <row r="15" spans="1:17" x14ac:dyDescent="0.35">
      <c r="A15" s="6" t="s">
        <v>12</v>
      </c>
      <c r="B15" s="6" t="s">
        <v>26</v>
      </c>
      <c r="C15" s="6">
        <v>0.14317335659402475</v>
      </c>
      <c r="D15" s="6">
        <v>0.29055324195131327</v>
      </c>
      <c r="E15" s="6">
        <v>-0.72123341646801797</v>
      </c>
      <c r="F15" s="6">
        <v>-6.8832289452796611E-2</v>
      </c>
      <c r="G15" s="6">
        <v>-7.7841147044063561E-3</v>
      </c>
      <c r="H15" s="6">
        <v>0.55197975053473269</v>
      </c>
      <c r="I15" s="6">
        <v>-0.12855835411819702</v>
      </c>
      <c r="J15" s="6">
        <v>0.30766200268840554</v>
      </c>
      <c r="K15" s="6">
        <v>-0.47486225370740337</v>
      </c>
      <c r="L15" s="6">
        <v>-0.33226333294146831</v>
      </c>
      <c r="N15" s="8">
        <f>SQRT((C15-Sheet4!$C$525)^2+(D15-Sheet4!$D$525)^2+(E15-Sheet4!$E$525)^2+(F15-Sheet4!$F$525)^2+(G15-Sheet4!$G$525)^2+(H15-Sheet4!$H$525)^2+(I15-Sheet4!$I$525)^2+(J15-Sheet4!$J$525)^2+(K15-Sheet4!$K$525)^2+(L15-Sheet4!$L$525)^2)</f>
        <v>1.5314747882031212</v>
      </c>
      <c r="O15" s="8">
        <f>SQRT((C15-Sheet4!$C$526)^2+(D15-Sheet4!$D$526)^2+(E15-Sheet4!$E$526)^2+(F15-Sheet4!$F$526)^2+(G15-Sheet4!$G$526)^2+(H15-Sheet4!$H$526)^2+(I15-Sheet4!$I$526)^2+(J15-Sheet4!$J$526)^2+(K15-Sheet4!$K$526)^2+(L15-Sheet4!$L$526)^2)</f>
        <v>2.983906472923088</v>
      </c>
      <c r="P15" s="12">
        <f t="shared" si="0"/>
        <v>0</v>
      </c>
      <c r="Q15" s="11">
        <f>IF(P15=Sheet1!$M15, 1, 0)</f>
        <v>1</v>
      </c>
    </row>
    <row r="16" spans="1:17" x14ac:dyDescent="0.35">
      <c r="A16" s="6" t="s">
        <v>12</v>
      </c>
      <c r="B16" s="6" t="s">
        <v>27</v>
      </c>
      <c r="C16" s="6">
        <v>0.79942199775096245</v>
      </c>
      <c r="D16" s="6">
        <v>0.15552216929039525</v>
      </c>
      <c r="E16" s="6">
        <v>-0.74886281656405473</v>
      </c>
      <c r="F16" s="6">
        <v>-9.5023569074752456E-2</v>
      </c>
      <c r="G16" s="6">
        <v>-0.12102095314025532</v>
      </c>
      <c r="H16" s="6">
        <v>-0.12616096167261864</v>
      </c>
      <c r="I16" s="6">
        <v>0.31832623119201425</v>
      </c>
      <c r="J16" s="6">
        <v>-2.6379468881492351E-2</v>
      </c>
      <c r="K16" s="6">
        <v>-0.70020802035894059</v>
      </c>
      <c r="L16" s="6">
        <v>-0.31036742247885551</v>
      </c>
      <c r="N16" s="8">
        <f>SQRT((C16-Sheet4!$C$525)^2+(D16-Sheet4!$D$525)^2+(E16-Sheet4!$E$525)^2+(F16-Sheet4!$F$525)^2+(G16-Sheet4!$G$525)^2+(H16-Sheet4!$H$525)^2+(I16-Sheet4!$I$525)^2+(J16-Sheet4!$J$525)^2+(K16-Sheet4!$K$525)^2+(L16-Sheet4!$L$525)^2)</f>
        <v>1.4647467915557459</v>
      </c>
      <c r="O16" s="8">
        <f>SQRT((C16-Sheet4!$C$526)^2+(D16-Sheet4!$D$526)^2+(E16-Sheet4!$E$526)^2+(F16-Sheet4!$F$526)^2+(G16-Sheet4!$G$526)^2+(H16-Sheet4!$H$526)^2+(I16-Sheet4!$I$526)^2+(J16-Sheet4!$J$526)^2+(K16-Sheet4!$K$526)^2+(L16-Sheet4!$L$526)^2)</f>
        <v>3.4082380288044813</v>
      </c>
      <c r="P16" s="12">
        <f t="shared" si="0"/>
        <v>0</v>
      </c>
      <c r="Q16" s="11">
        <f>IF(P16=Sheet1!$M16, 1, 0)</f>
        <v>1</v>
      </c>
    </row>
    <row r="17" spans="1:17" x14ac:dyDescent="0.35">
      <c r="A17" s="6" t="s">
        <v>12</v>
      </c>
      <c r="B17" s="6" t="s">
        <v>28</v>
      </c>
      <c r="C17" s="6">
        <v>0.12841111722239637</v>
      </c>
      <c r="D17" s="6">
        <v>0.16779772135047949</v>
      </c>
      <c r="E17" s="6">
        <v>-0.24269220680466111</v>
      </c>
      <c r="F17" s="6">
        <v>-1.33684031945378E-2</v>
      </c>
      <c r="G17" s="6">
        <v>-0.71624023209792131</v>
      </c>
      <c r="H17" s="6">
        <v>0.23687862532321483</v>
      </c>
      <c r="I17" s="6">
        <v>7.7990298721329954E-2</v>
      </c>
      <c r="J17" s="6">
        <v>-0.60336019250222517</v>
      </c>
      <c r="K17" s="6">
        <v>0.48911685919083081</v>
      </c>
      <c r="L17" s="6">
        <v>-0.41644259126728067</v>
      </c>
      <c r="N17" s="8">
        <f>SQRT((C17-Sheet4!$C$525)^2+(D17-Sheet4!$D$525)^2+(E17-Sheet4!$E$525)^2+(F17-Sheet4!$F$525)^2+(G17-Sheet4!$G$525)^2+(H17-Sheet4!$H$525)^2+(I17-Sheet4!$I$525)^2+(J17-Sheet4!$J$525)^2+(K17-Sheet4!$K$525)^2+(L17-Sheet4!$L$525)^2)</f>
        <v>1.0662583015931493</v>
      </c>
      <c r="O17" s="8">
        <f>SQRT((C17-Sheet4!$C$526)^2+(D17-Sheet4!$D$526)^2+(E17-Sheet4!$E$526)^2+(F17-Sheet4!$F$526)^2+(G17-Sheet4!$G$526)^2+(H17-Sheet4!$H$526)^2+(I17-Sheet4!$I$526)^2+(J17-Sheet4!$J$526)^2+(K17-Sheet4!$K$526)^2+(L17-Sheet4!$L$526)^2)</f>
        <v>3.5414957931224418</v>
      </c>
      <c r="P17" s="12">
        <f t="shared" si="0"/>
        <v>0</v>
      </c>
      <c r="Q17" s="11">
        <f>IF(P17=Sheet1!$M17, 1, 0)</f>
        <v>1</v>
      </c>
    </row>
    <row r="18" spans="1:17" x14ac:dyDescent="0.35">
      <c r="A18" s="6" t="s">
        <v>12</v>
      </c>
      <c r="B18" s="6" t="s">
        <v>29</v>
      </c>
      <c r="C18" s="6">
        <v>0.9242300215292758</v>
      </c>
      <c r="D18" s="6">
        <v>0.95957082922585946</v>
      </c>
      <c r="E18" s="6">
        <v>0.29221297905461069</v>
      </c>
      <c r="F18" s="6">
        <v>0.51507917976609441</v>
      </c>
      <c r="G18" s="6">
        <v>-0.1152139357845678</v>
      </c>
      <c r="H18" s="6">
        <v>0.51104353597733876</v>
      </c>
      <c r="I18" s="6">
        <v>0.2915514058239273</v>
      </c>
      <c r="J18" s="6">
        <v>-1.4498516488668529</v>
      </c>
      <c r="K18" s="6">
        <v>1.2621780308981809</v>
      </c>
      <c r="L18" s="6">
        <v>-0.38070686550254335</v>
      </c>
      <c r="N18" s="8">
        <f>SQRT((C18-Sheet4!$C$525)^2+(D18-Sheet4!$D$525)^2+(E18-Sheet4!$E$525)^2+(F18-Sheet4!$F$525)^2+(G18-Sheet4!$G$525)^2+(H18-Sheet4!$H$525)^2+(I18-Sheet4!$I$525)^2+(J18-Sheet4!$J$525)^2+(K18-Sheet4!$K$525)^2+(L18-Sheet4!$L$525)^2)</f>
        <v>2.5960468539157664</v>
      </c>
      <c r="O18" s="8">
        <f>SQRT((C18-Sheet4!$C$526)^2+(D18-Sheet4!$D$526)^2+(E18-Sheet4!$E$526)^2+(F18-Sheet4!$F$526)^2+(G18-Sheet4!$G$526)^2+(H18-Sheet4!$H$526)^2+(I18-Sheet4!$I$526)^2+(J18-Sheet4!$J$526)^2+(K18-Sheet4!$K$526)^2+(L18-Sheet4!$L$526)^2)</f>
        <v>3.9210449594157368</v>
      </c>
      <c r="P18" s="12">
        <f t="shared" si="0"/>
        <v>0</v>
      </c>
      <c r="Q18" s="11">
        <f>IF(P18=Sheet1!$M18, 1, 0)</f>
        <v>1</v>
      </c>
    </row>
    <row r="19" spans="1:17" x14ac:dyDescent="0.35">
      <c r="A19" s="6" t="s">
        <v>12</v>
      </c>
      <c r="B19" s="6" t="s">
        <v>30</v>
      </c>
      <c r="C19" s="6">
        <v>0.97656887021050398</v>
      </c>
      <c r="D19" s="6">
        <v>0.55447761124310657</v>
      </c>
      <c r="E19" s="6">
        <v>-1.2815598005635205E-2</v>
      </c>
      <c r="F19" s="6">
        <v>0.56592107550283144</v>
      </c>
      <c r="G19" s="6">
        <v>0.15190886257692218</v>
      </c>
      <c r="H19" s="6">
        <v>-0.15632448818859307</v>
      </c>
      <c r="I19" s="6">
        <v>0.53061234661041723</v>
      </c>
      <c r="J19" s="6">
        <v>-0.5654009343692824</v>
      </c>
      <c r="K19" s="6">
        <v>-1.8300666559312209</v>
      </c>
      <c r="L19" s="6">
        <v>-0.40387062298423521</v>
      </c>
      <c r="N19" s="8">
        <f>SQRT((C19-Sheet4!$C$525)^2+(D19-Sheet4!$D$525)^2+(E19-Sheet4!$E$525)^2+(F19-Sheet4!$F$525)^2+(G19-Sheet4!$G$525)^2+(H19-Sheet4!$H$525)^2+(I19-Sheet4!$I$525)^2+(J19-Sheet4!$J$525)^2+(K19-Sheet4!$K$525)^2+(L19-Sheet4!$L$525)^2)</f>
        <v>2.7463537162043359</v>
      </c>
      <c r="O19" s="8">
        <f>SQRT((C19-Sheet4!$C$526)^2+(D19-Sheet4!$D$526)^2+(E19-Sheet4!$E$526)^2+(F19-Sheet4!$F$526)^2+(G19-Sheet4!$G$526)^2+(H19-Sheet4!$H$526)^2+(I19-Sheet4!$I$526)^2+(J19-Sheet4!$J$526)^2+(K19-Sheet4!$K$526)^2+(L19-Sheet4!$L$526)^2)</f>
        <v>3.3076627802084082</v>
      </c>
      <c r="P19" s="12">
        <f t="shared" si="0"/>
        <v>0</v>
      </c>
      <c r="Q19" s="11">
        <f>IF(P19=Sheet1!$M19, 1, 0)</f>
        <v>1</v>
      </c>
    </row>
    <row r="20" spans="1:17" x14ac:dyDescent="0.35">
      <c r="A20" s="6" t="s">
        <v>12</v>
      </c>
      <c r="B20" s="6" t="s">
        <v>31</v>
      </c>
      <c r="C20" s="6">
        <v>-0.625805112491712</v>
      </c>
      <c r="D20" s="6">
        <v>2.6965614457276632</v>
      </c>
      <c r="E20" s="6">
        <v>2.418940002446881</v>
      </c>
      <c r="F20" s="6">
        <v>2.4316645826903738</v>
      </c>
      <c r="G20" s="6">
        <v>0.5409790254077842</v>
      </c>
      <c r="H20" s="6">
        <v>1.2215023123089479</v>
      </c>
      <c r="I20" s="6">
        <v>0.90737238928992603</v>
      </c>
      <c r="J20" s="6">
        <v>1.4730112273697538</v>
      </c>
      <c r="K20" s="6">
        <v>-1.0116233506621033</v>
      </c>
      <c r="L20" s="6">
        <v>-0.13602043540229192</v>
      </c>
      <c r="N20" s="8">
        <f>SQRT((C20-Sheet4!$C$525)^2+(D20-Sheet4!$D$525)^2+(E20-Sheet4!$E$525)^2+(F20-Sheet4!$F$525)^2+(G20-Sheet4!$G$525)^2+(H20-Sheet4!$H$525)^2+(I20-Sheet4!$I$525)^2+(J20-Sheet4!$J$525)^2+(K20-Sheet4!$K$525)^2+(L20-Sheet4!$L$525)^2)</f>
        <v>5.9364164534619599</v>
      </c>
      <c r="O20" s="8">
        <f>SQRT((C20-Sheet4!$C$526)^2+(D20-Sheet4!$D$526)^2+(E20-Sheet4!$E$526)^2+(F20-Sheet4!$F$526)^2+(G20-Sheet4!$G$526)^2+(H20-Sheet4!$H$526)^2+(I20-Sheet4!$I$526)^2+(J20-Sheet4!$J$526)^2+(K20-Sheet4!$K$526)^2+(L20-Sheet4!$L$526)^2)</f>
        <v>2.7695331194095685</v>
      </c>
      <c r="P20" s="12">
        <f t="shared" si="0"/>
        <v>1</v>
      </c>
      <c r="Q20" s="11">
        <f>IF(P20=Sheet1!$M20, 1, 0)</f>
        <v>0</v>
      </c>
    </row>
    <row r="21" spans="1:17" x14ac:dyDescent="0.35">
      <c r="A21" s="6" t="s">
        <v>12</v>
      </c>
      <c r="B21" s="6" t="s">
        <v>32</v>
      </c>
      <c r="C21" s="6">
        <v>0.40889366528333698</v>
      </c>
      <c r="D21" s="6">
        <v>1.6838284007707809</v>
      </c>
      <c r="E21" s="6">
        <v>0.38799489938753817</v>
      </c>
      <c r="F21" s="6">
        <v>0.95262761580347066</v>
      </c>
      <c r="G21" s="6">
        <v>0.2622421923349274</v>
      </c>
      <c r="H21" s="6">
        <v>0.81052426352879814</v>
      </c>
      <c r="I21" s="6">
        <v>0.70401121566088543</v>
      </c>
      <c r="J21" s="6">
        <v>-0.56919686018257654</v>
      </c>
      <c r="K21" s="6">
        <v>-0.90051536849363778</v>
      </c>
      <c r="L21" s="6">
        <v>-0.43485045455239779</v>
      </c>
      <c r="N21" s="8">
        <f>SQRT((C21-Sheet4!$C$525)^2+(D21-Sheet4!$D$525)^2+(E21-Sheet4!$E$525)^2+(F21-Sheet4!$F$525)^2+(G21-Sheet4!$G$525)^2+(H21-Sheet4!$H$525)^2+(I21-Sheet4!$I$525)^2+(J21-Sheet4!$J$525)^2+(K21-Sheet4!$K$525)^2+(L21-Sheet4!$L$525)^2)</f>
        <v>3.2177356157248873</v>
      </c>
      <c r="O21" s="8">
        <f>SQRT((C21-Sheet4!$C$526)^2+(D21-Sheet4!$D$526)^2+(E21-Sheet4!$E$526)^2+(F21-Sheet4!$F$526)^2+(G21-Sheet4!$G$526)^2+(H21-Sheet4!$H$526)^2+(I21-Sheet4!$I$526)^2+(J21-Sheet4!$J$526)^2+(K21-Sheet4!$K$526)^2+(L21-Sheet4!$L$526)^2)</f>
        <v>2.5277473800664358</v>
      </c>
      <c r="P21" s="12">
        <f t="shared" si="0"/>
        <v>1</v>
      </c>
      <c r="Q21" s="11">
        <f>IF(P21=Sheet1!$M21, 1, 0)</f>
        <v>0</v>
      </c>
    </row>
    <row r="22" spans="1:17" x14ac:dyDescent="0.35">
      <c r="A22" s="6" t="s">
        <v>12</v>
      </c>
      <c r="B22" s="6" t="s">
        <v>33</v>
      </c>
      <c r="C22" s="6">
        <v>-0.1762278225375726</v>
      </c>
      <c r="D22" s="6">
        <v>1.6470017445905305</v>
      </c>
      <c r="E22" s="6">
        <v>0.64181698826979594</v>
      </c>
      <c r="F22" s="6">
        <v>1.1575358622575935</v>
      </c>
      <c r="G22" s="6">
        <v>-6.5854288261248589E-2</v>
      </c>
      <c r="H22" s="6">
        <v>0.78682434983767557</v>
      </c>
      <c r="I22" s="6">
        <v>0.76521081650222644</v>
      </c>
      <c r="J22" s="6">
        <v>0.81631606166984105</v>
      </c>
      <c r="K22" s="6">
        <v>-0.37940328311196136</v>
      </c>
      <c r="L22" s="6">
        <v>-0.37589016680301823</v>
      </c>
      <c r="N22" s="8">
        <f>SQRT((C22-Sheet4!$C$525)^2+(D22-Sheet4!$D$525)^2+(E22-Sheet4!$E$525)^2+(F22-Sheet4!$F$525)^2+(G22-Sheet4!$G$525)^2+(H22-Sheet4!$H$525)^2+(I22-Sheet4!$I$525)^2+(J22-Sheet4!$J$525)^2+(K22-Sheet4!$K$525)^2+(L22-Sheet4!$L$525)^2)</f>
        <v>3.4198232011197551</v>
      </c>
      <c r="O22" s="8">
        <f>SQRT((C22-Sheet4!$C$526)^2+(D22-Sheet4!$D$526)^2+(E22-Sheet4!$E$526)^2+(F22-Sheet4!$F$526)^2+(G22-Sheet4!$G$526)^2+(H22-Sheet4!$H$526)^2+(I22-Sheet4!$I$526)^2+(J22-Sheet4!$J$526)^2+(K22-Sheet4!$K$526)^2+(L22-Sheet4!$L$526)^2)</f>
        <v>1.6885034094165752</v>
      </c>
      <c r="P22" s="12">
        <f t="shared" si="0"/>
        <v>1</v>
      </c>
      <c r="Q22" s="11">
        <f>IF(P22=Sheet1!$M22, 1, 0)</f>
        <v>0</v>
      </c>
    </row>
    <row r="23" spans="1:17" x14ac:dyDescent="0.35">
      <c r="A23" s="6" t="s">
        <v>12</v>
      </c>
      <c r="B23" s="6" t="s">
        <v>34</v>
      </c>
      <c r="C23" s="6">
        <v>-0.14938738731643006</v>
      </c>
      <c r="D23" s="6">
        <v>1.6408639685604889</v>
      </c>
      <c r="E23" s="6">
        <v>0.39241560340290405</v>
      </c>
      <c r="F23" s="6">
        <v>1.1775644878508531</v>
      </c>
      <c r="G23" s="6">
        <v>0.5758211295418928</v>
      </c>
      <c r="H23" s="6">
        <v>0.8563081877048303</v>
      </c>
      <c r="I23" s="6">
        <v>0.59308693913595356</v>
      </c>
      <c r="J23" s="6">
        <v>2.3157067579210877</v>
      </c>
      <c r="K23" s="6">
        <v>-0.86921734534759187</v>
      </c>
      <c r="L23" s="6">
        <v>-0.3073902167062158</v>
      </c>
      <c r="N23" s="8">
        <f>SQRT((C23-Sheet4!$C$525)^2+(D23-Sheet4!$D$525)^2+(E23-Sheet4!$E$525)^2+(F23-Sheet4!$F$525)^2+(G23-Sheet4!$G$525)^2+(H23-Sheet4!$H$525)^2+(I23-Sheet4!$I$525)^2+(J23-Sheet4!$J$525)^2+(K23-Sheet4!$K$525)^2+(L23-Sheet4!$L$525)^2)</f>
        <v>4.2952935114459656</v>
      </c>
      <c r="O23" s="8">
        <f>SQRT((C23-Sheet4!$C$526)^2+(D23-Sheet4!$D$526)^2+(E23-Sheet4!$E$526)^2+(F23-Sheet4!$F$526)^2+(G23-Sheet4!$G$526)^2+(H23-Sheet4!$H$526)^2+(I23-Sheet4!$I$526)^2+(J23-Sheet4!$J$526)^2+(K23-Sheet4!$K$526)^2+(L23-Sheet4!$L$526)^2)</f>
        <v>1.9591594197628652</v>
      </c>
      <c r="P23" s="12">
        <f t="shared" si="0"/>
        <v>1</v>
      </c>
      <c r="Q23" s="11">
        <f>IF(P23=Sheet1!$M23, 1, 0)</f>
        <v>0</v>
      </c>
    </row>
    <row r="24" spans="1:17" x14ac:dyDescent="0.35">
      <c r="A24" s="6" t="s">
        <v>12</v>
      </c>
      <c r="B24" s="6" t="s">
        <v>35</v>
      </c>
      <c r="C24" s="6">
        <v>0.72158473560964864</v>
      </c>
      <c r="D24" s="6">
        <v>-0.24957104869235763</v>
      </c>
      <c r="E24" s="6">
        <v>-1.0829943617254594</v>
      </c>
      <c r="F24" s="6">
        <v>-0.71745162597299217</v>
      </c>
      <c r="G24" s="6">
        <v>-1.6221349395847131</v>
      </c>
      <c r="H24" s="6">
        <v>-0.40355767873916848</v>
      </c>
      <c r="I24" s="6">
        <v>-1.5469866027847046</v>
      </c>
      <c r="J24" s="6">
        <v>0.45570310940688291</v>
      </c>
      <c r="K24" s="6">
        <v>-0.88956106039252147</v>
      </c>
      <c r="L24" s="6">
        <v>-0.42887193015612018</v>
      </c>
      <c r="N24" s="8">
        <f>SQRT((C24-Sheet4!$C$525)^2+(D24-Sheet4!$D$525)^2+(E24-Sheet4!$E$525)^2+(F24-Sheet4!$F$525)^2+(G24-Sheet4!$G$525)^2+(H24-Sheet4!$H$525)^2+(I24-Sheet4!$I$525)^2+(J24-Sheet4!$J$525)^2+(K24-Sheet4!$K$525)^2+(L24-Sheet4!$L$525)^2)</f>
        <v>2.4854318074394768</v>
      </c>
      <c r="O24" s="8">
        <f>SQRT((C24-Sheet4!$C$526)^2+(D24-Sheet4!$D$526)^2+(E24-Sheet4!$E$526)^2+(F24-Sheet4!$F$526)^2+(G24-Sheet4!$G$526)^2+(H24-Sheet4!$H$526)^2+(I24-Sheet4!$I$526)^2+(J24-Sheet4!$J$526)^2+(K24-Sheet4!$K$526)^2+(L24-Sheet4!$L$526)^2)</f>
        <v>5.0683917501152891</v>
      </c>
      <c r="P24" s="12">
        <f t="shared" si="0"/>
        <v>0</v>
      </c>
      <c r="Q24" s="11">
        <f>IF(P24=Sheet1!$M24, 1, 0)</f>
        <v>1</v>
      </c>
    </row>
    <row r="25" spans="1:17" x14ac:dyDescent="0.35">
      <c r="A25" s="6" t="s">
        <v>36</v>
      </c>
      <c r="B25" s="6" t="s">
        <v>37</v>
      </c>
      <c r="C25" s="6">
        <v>0.61019692944190684</v>
      </c>
      <c r="D25" s="6">
        <v>-1.7164995198723259</v>
      </c>
      <c r="E25" s="6">
        <v>-1.2266672422248506</v>
      </c>
      <c r="F25" s="6">
        <v>-1.1072394932879774</v>
      </c>
      <c r="G25" s="6">
        <v>3.5768515463229449E-2</v>
      </c>
      <c r="H25" s="6">
        <v>-3.0848797322484565</v>
      </c>
      <c r="I25" s="6">
        <v>-2.3808311642479811</v>
      </c>
      <c r="J25" s="6">
        <v>-0.73621759596752556</v>
      </c>
      <c r="K25" s="6">
        <v>1.928825923908974</v>
      </c>
      <c r="L25" s="6">
        <v>-0.40321581490400876</v>
      </c>
      <c r="N25" s="8">
        <f>SQRT((C25-Sheet4!$C$525)^2+(D25-Sheet4!$D$525)^2+(E25-Sheet4!$E$525)^2+(F25-Sheet4!$F$525)^2+(G25-Sheet4!$G$525)^2+(H25-Sheet4!$H$525)^2+(I25-Sheet4!$I$525)^2+(J25-Sheet4!$J$525)^2+(K25-Sheet4!$K$525)^2+(L25-Sheet4!$L$525)^2)</f>
        <v>4.3595107171781624</v>
      </c>
      <c r="O25" s="8">
        <f>SQRT((C25-Sheet4!$C$526)^2+(D25-Sheet4!$D$526)^2+(E25-Sheet4!$E$526)^2+(F25-Sheet4!$F$526)^2+(G25-Sheet4!$G$526)^2+(H25-Sheet4!$H$526)^2+(I25-Sheet4!$I$526)^2+(J25-Sheet4!$J$526)^2+(K25-Sheet4!$K$526)^2+(L25-Sheet4!$L$526)^2)</f>
        <v>7.3728316405353027</v>
      </c>
      <c r="P25" s="12">
        <f t="shared" si="0"/>
        <v>0</v>
      </c>
      <c r="Q25" s="11">
        <f>IF(P25=Sheet1!$M25, 1, 0)</f>
        <v>1</v>
      </c>
    </row>
    <row r="26" spans="1:17" x14ac:dyDescent="0.35">
      <c r="A26" s="6" t="s">
        <v>36</v>
      </c>
      <c r="B26" s="6" t="s">
        <v>38</v>
      </c>
      <c r="C26" s="6">
        <v>-0.37350502141297115</v>
      </c>
      <c r="D26" s="6">
        <v>0.11869551311014578</v>
      </c>
      <c r="E26" s="6">
        <v>-0.20401104667020964</v>
      </c>
      <c r="F26" s="6">
        <v>-0.42164423259561112</v>
      </c>
      <c r="G26" s="6">
        <v>-2.0344331718383146</v>
      </c>
      <c r="H26" s="6">
        <v>-2.2338373769763242</v>
      </c>
      <c r="I26" s="6">
        <v>-0.72397947063708157</v>
      </c>
      <c r="J26" s="6">
        <v>0.4025601480207629</v>
      </c>
      <c r="K26" s="6">
        <v>5.094453514617913E-2</v>
      </c>
      <c r="L26" s="6">
        <v>-0.25864226462504314</v>
      </c>
      <c r="N26" s="8">
        <f>SQRT((C26-Sheet4!$C$525)^2+(D26-Sheet4!$D$525)^2+(E26-Sheet4!$E$525)^2+(F26-Sheet4!$F$525)^2+(G26-Sheet4!$G$525)^2+(H26-Sheet4!$H$525)^2+(I26-Sheet4!$I$525)^2+(J26-Sheet4!$J$525)^2+(K26-Sheet4!$K$525)^2+(L26-Sheet4!$L$525)^2)</f>
        <v>2.905010043770818</v>
      </c>
      <c r="O26" s="8">
        <f>SQRT((C26-Sheet4!$C$526)^2+(D26-Sheet4!$D$526)^2+(E26-Sheet4!$E$526)^2+(F26-Sheet4!$F$526)^2+(G26-Sheet4!$G$526)^2+(H26-Sheet4!$H$526)^2+(I26-Sheet4!$I$526)^2+(J26-Sheet4!$J$526)^2+(K26-Sheet4!$K$526)^2+(L26-Sheet4!$L$526)^2)</f>
        <v>5.0510282883797037</v>
      </c>
      <c r="P26" s="12">
        <f t="shared" si="0"/>
        <v>0</v>
      </c>
      <c r="Q26" s="11">
        <f>IF(P26=Sheet1!$M26, 1, 0)</f>
        <v>1</v>
      </c>
    </row>
    <row r="27" spans="1:17" x14ac:dyDescent="0.35">
      <c r="A27" s="6" t="s">
        <v>36</v>
      </c>
      <c r="B27" s="6" t="s">
        <v>39</v>
      </c>
      <c r="C27" s="6">
        <v>-0.4661045229259132</v>
      </c>
      <c r="D27" s="6">
        <v>0.52378873109289759</v>
      </c>
      <c r="E27" s="6">
        <v>0.36073389129278188</v>
      </c>
      <c r="F27" s="6">
        <v>6.212410865698046E-2</v>
      </c>
      <c r="G27" s="6">
        <v>-1.3608191585789065</v>
      </c>
      <c r="H27" s="6">
        <v>-1.6585758355645284</v>
      </c>
      <c r="I27" s="6">
        <v>-1.1313393137372605</v>
      </c>
      <c r="J27" s="6">
        <v>-0.40217612439762762</v>
      </c>
      <c r="K27" s="6">
        <v>0.7692341663479465</v>
      </c>
      <c r="L27" s="6">
        <v>-0.24922251878704715</v>
      </c>
      <c r="N27" s="8">
        <f>SQRT((C27-Sheet4!$C$525)^2+(D27-Sheet4!$D$525)^2+(E27-Sheet4!$E$525)^2+(F27-Sheet4!$F$525)^2+(G27-Sheet4!$G$525)^2+(H27-Sheet4!$H$525)^2+(I27-Sheet4!$I$525)^2+(J27-Sheet4!$J$525)^2+(K27-Sheet4!$K$525)^2+(L27-Sheet4!$L$525)^2)</f>
        <v>2.504563448918073</v>
      </c>
      <c r="O27" s="8">
        <f>SQRT((C27-Sheet4!$C$526)^2+(D27-Sheet4!$D$526)^2+(E27-Sheet4!$E$526)^2+(F27-Sheet4!$F$526)^2+(G27-Sheet4!$G$526)^2+(H27-Sheet4!$H$526)^2+(I27-Sheet4!$I$526)^2+(J27-Sheet4!$J$526)^2+(K27-Sheet4!$K$526)^2+(L27-Sheet4!$L$526)^2)</f>
        <v>4.5216825662700488</v>
      </c>
      <c r="P27" s="12">
        <f t="shared" si="0"/>
        <v>0</v>
      </c>
      <c r="Q27" s="11">
        <f>IF(P27=Sheet1!$M27, 1, 0)</f>
        <v>1</v>
      </c>
    </row>
    <row r="28" spans="1:17" x14ac:dyDescent="0.35">
      <c r="A28" s="6" t="s">
        <v>36</v>
      </c>
      <c r="B28" s="6" t="s">
        <v>40</v>
      </c>
      <c r="C28" s="6">
        <v>5.3257898603196893E-2</v>
      </c>
      <c r="D28" s="6">
        <v>0.2475888097410211</v>
      </c>
      <c r="E28" s="6">
        <v>-6.8811182200269716E-2</v>
      </c>
      <c r="F28" s="6">
        <v>-4.8803663859537154E-2</v>
      </c>
      <c r="G28" s="6">
        <v>-0.70172268870871068</v>
      </c>
      <c r="H28" s="6">
        <v>-1.0579984772553965</v>
      </c>
      <c r="I28" s="6">
        <v>-1.0408149041594428</v>
      </c>
      <c r="J28" s="6">
        <v>0.827703839109724</v>
      </c>
      <c r="K28" s="6">
        <v>0.87408254388720275</v>
      </c>
      <c r="L28" s="6">
        <v>-0.30955535849168592</v>
      </c>
      <c r="N28" s="8">
        <f>SQRT((C28-Sheet4!$C$525)^2+(D28-Sheet4!$D$525)^2+(E28-Sheet4!$E$525)^2+(F28-Sheet4!$F$525)^2+(G28-Sheet4!$G$525)^2+(H28-Sheet4!$H$525)^2+(I28-Sheet4!$I$525)^2+(J28-Sheet4!$J$525)^2+(K28-Sheet4!$K$525)^2+(L28-Sheet4!$L$525)^2)</f>
        <v>1.9991895690762393</v>
      </c>
      <c r="O28" s="8">
        <f>SQRT((C28-Sheet4!$C$526)^2+(D28-Sheet4!$D$526)^2+(E28-Sheet4!$E$526)^2+(F28-Sheet4!$F$526)^2+(G28-Sheet4!$G$526)^2+(H28-Sheet4!$H$526)^2+(I28-Sheet4!$I$526)^2+(J28-Sheet4!$J$526)^2+(K28-Sheet4!$K$526)^2+(L28-Sheet4!$L$526)^2)</f>
        <v>3.9225161258463053</v>
      </c>
      <c r="P28" s="12">
        <f t="shared" si="0"/>
        <v>0</v>
      </c>
      <c r="Q28" s="11">
        <f>IF(P28=Sheet1!$M28, 1, 0)</f>
        <v>1</v>
      </c>
    </row>
    <row r="29" spans="1:17" x14ac:dyDescent="0.35">
      <c r="A29" s="6" t="s">
        <v>36</v>
      </c>
      <c r="B29" s="6" t="s">
        <v>41</v>
      </c>
      <c r="C29" s="6">
        <v>-0.34263852090865704</v>
      </c>
      <c r="D29" s="6">
        <v>0.95343305319581784</v>
      </c>
      <c r="E29" s="6">
        <v>0.51030104381266095</v>
      </c>
      <c r="F29" s="6">
        <v>0.59057169161761491</v>
      </c>
      <c r="G29" s="6">
        <v>-0.26038936967668164</v>
      </c>
      <c r="H29" s="6">
        <v>0.35483955937675787</v>
      </c>
      <c r="I29" s="6">
        <v>0.25011417608760289</v>
      </c>
      <c r="J29" s="6">
        <v>-1.3359738744680241</v>
      </c>
      <c r="K29" s="6">
        <v>2.0602776211223679</v>
      </c>
      <c r="L29" s="6">
        <v>-0.33235046516734568</v>
      </c>
      <c r="N29" s="8">
        <f>SQRT((C29-Sheet4!$C$525)^2+(D29-Sheet4!$D$525)^2+(E29-Sheet4!$E$525)^2+(F29-Sheet4!$F$525)^2+(G29-Sheet4!$G$525)^2+(H29-Sheet4!$H$525)^2+(I29-Sheet4!$I$525)^2+(J29-Sheet4!$J$525)^2+(K29-Sheet4!$K$525)^2+(L29-Sheet4!$L$525)^2)</f>
        <v>2.9761065464879186</v>
      </c>
      <c r="O29" s="8">
        <f>SQRT((C29-Sheet4!$C$526)^2+(D29-Sheet4!$D$526)^2+(E29-Sheet4!$E$526)^2+(F29-Sheet4!$F$526)^2+(G29-Sheet4!$G$526)^2+(H29-Sheet4!$H$526)^2+(I29-Sheet4!$I$526)^2+(J29-Sheet4!$J$526)^2+(K29-Sheet4!$K$526)^2+(L29-Sheet4!$L$526)^2)</f>
        <v>3.9923445903015415</v>
      </c>
      <c r="P29" s="12">
        <f t="shared" si="0"/>
        <v>0</v>
      </c>
      <c r="Q29" s="11">
        <f>IF(P29=Sheet1!$M29, 1, 0)</f>
        <v>1</v>
      </c>
    </row>
    <row r="30" spans="1:17" x14ac:dyDescent="0.35">
      <c r="A30" s="6" t="s">
        <v>36</v>
      </c>
      <c r="B30" s="6" t="s">
        <v>42</v>
      </c>
      <c r="C30" s="6">
        <v>-0.44060610946582773</v>
      </c>
      <c r="D30" s="6">
        <v>1.309424062938237</v>
      </c>
      <c r="E30" s="6">
        <v>0.69965453247083287</v>
      </c>
      <c r="F30" s="6">
        <v>0.84169984328695302</v>
      </c>
      <c r="G30" s="6">
        <v>0.18384745803318706</v>
      </c>
      <c r="H30" s="6">
        <v>0.66455434056756557</v>
      </c>
      <c r="I30" s="6">
        <v>0.63133668966179246</v>
      </c>
      <c r="J30" s="6">
        <v>-1.6054846072119191</v>
      </c>
      <c r="K30" s="6">
        <v>1.7081748607293439</v>
      </c>
      <c r="L30" s="6">
        <v>-0.3409016886790065</v>
      </c>
      <c r="N30" s="8">
        <f>SQRT((C30-Sheet4!$C$525)^2+(D30-Sheet4!$D$525)^2+(E30-Sheet4!$E$525)^2+(F30-Sheet4!$F$525)^2+(G30-Sheet4!$G$525)^2+(H30-Sheet4!$H$525)^2+(I30-Sheet4!$I$525)^2+(J30-Sheet4!$J$525)^2+(K30-Sheet4!$K$525)^2+(L30-Sheet4!$L$525)^2)</f>
        <v>3.4111460423005173</v>
      </c>
      <c r="O30" s="8">
        <f>SQRT((C30-Sheet4!$C$526)^2+(D30-Sheet4!$D$526)^2+(E30-Sheet4!$E$526)^2+(F30-Sheet4!$F$526)^2+(G30-Sheet4!$G$526)^2+(H30-Sheet4!$H$526)^2+(I30-Sheet4!$I$526)^2+(J30-Sheet4!$J$526)^2+(K30-Sheet4!$K$526)^2+(L30-Sheet4!$L$526)^2)</f>
        <v>3.7567621335486137</v>
      </c>
      <c r="P30" s="12">
        <f t="shared" si="0"/>
        <v>0</v>
      </c>
      <c r="Q30" s="11">
        <f>IF(P30=Sheet1!$M30, 1, 0)</f>
        <v>1</v>
      </c>
    </row>
    <row r="31" spans="1:17" x14ac:dyDescent="0.35">
      <c r="A31" s="6" t="s">
        <v>36</v>
      </c>
      <c r="B31" s="6" t="s">
        <v>43</v>
      </c>
      <c r="C31" s="6">
        <v>-0.47415665349225605</v>
      </c>
      <c r="D31" s="6">
        <v>0.49923762697273127</v>
      </c>
      <c r="E31" s="6">
        <v>0.32684182717497678</v>
      </c>
      <c r="F31" s="6">
        <v>0.33328088591958027</v>
      </c>
      <c r="G31" s="6">
        <v>8.5128162986548656E-2</v>
      </c>
      <c r="H31" s="6">
        <v>0.23149228130250543</v>
      </c>
      <c r="I31" s="6">
        <v>0.58671198071498076</v>
      </c>
      <c r="J31" s="6">
        <v>0.22794756060922539</v>
      </c>
      <c r="K31" s="6">
        <v>-1.1931518849091729</v>
      </c>
      <c r="L31" s="6">
        <v>4.5623906934026598E-2</v>
      </c>
      <c r="N31" s="8">
        <f>SQRT((C31-Sheet4!$C$525)^2+(D31-Sheet4!$D$525)^2+(E31-Sheet4!$E$525)^2+(F31-Sheet4!$F$525)^2+(G31-Sheet4!$G$525)^2+(H31-Sheet4!$H$525)^2+(I31-Sheet4!$I$525)^2+(J31-Sheet4!$J$525)^2+(K31-Sheet4!$K$525)^2+(L31-Sheet4!$L$525)^2)</f>
        <v>2.4110739883233157</v>
      </c>
      <c r="O31" s="8">
        <f>SQRT((C31-Sheet4!$C$526)^2+(D31-Sheet4!$D$526)^2+(E31-Sheet4!$E$526)^2+(F31-Sheet4!$F$526)^2+(G31-Sheet4!$G$526)^2+(H31-Sheet4!$H$526)^2+(I31-Sheet4!$I$526)^2+(J31-Sheet4!$J$526)^2+(K31-Sheet4!$K$526)^2+(L31-Sheet4!$L$526)^2)</f>
        <v>1.9426866697729295</v>
      </c>
      <c r="P31" s="12">
        <f t="shared" si="0"/>
        <v>1</v>
      </c>
      <c r="Q31" s="11">
        <f>IF(P31=Sheet1!$M31, 1, 0)</f>
        <v>0</v>
      </c>
    </row>
    <row r="32" spans="1:17" x14ac:dyDescent="0.35">
      <c r="A32" s="6" t="s">
        <v>36</v>
      </c>
      <c r="B32" s="6" t="s">
        <v>44</v>
      </c>
      <c r="C32" s="6">
        <v>-0.39229332606777106</v>
      </c>
      <c r="D32" s="6">
        <v>0.22303770562085479</v>
      </c>
      <c r="E32" s="6">
        <v>0.25979448294192758</v>
      </c>
      <c r="F32" s="6">
        <v>8.6774724771761666E-2</v>
      </c>
      <c r="G32" s="6">
        <v>-0.37362620811253061</v>
      </c>
      <c r="H32" s="6">
        <v>0.64031579247437176</v>
      </c>
      <c r="I32" s="6">
        <v>0.67851138197699279</v>
      </c>
      <c r="J32" s="6">
        <v>0.50505014497970868</v>
      </c>
      <c r="K32" s="6">
        <v>-1.0084935483474982</v>
      </c>
      <c r="L32" s="6">
        <v>0.11106764719439023</v>
      </c>
      <c r="N32" s="8">
        <f>SQRT((C32-Sheet4!$C$525)^2+(D32-Sheet4!$D$525)^2+(E32-Sheet4!$E$525)^2+(F32-Sheet4!$F$525)^2+(G32-Sheet4!$G$525)^2+(H32-Sheet4!$H$525)^2+(I32-Sheet4!$I$525)^2+(J32-Sheet4!$J$525)^2+(K32-Sheet4!$K$525)^2+(L32-Sheet4!$L$525)^2)</f>
        <v>2.3318633394886001</v>
      </c>
      <c r="O32" s="8">
        <f>SQRT((C32-Sheet4!$C$526)^2+(D32-Sheet4!$D$526)^2+(E32-Sheet4!$E$526)^2+(F32-Sheet4!$F$526)^2+(G32-Sheet4!$G$526)^2+(H32-Sheet4!$H$526)^2+(I32-Sheet4!$I$526)^2+(J32-Sheet4!$J$526)^2+(K32-Sheet4!$K$526)^2+(L32-Sheet4!$L$526)^2)</f>
        <v>2.1936937326760519</v>
      </c>
      <c r="P32" s="12">
        <f t="shared" si="0"/>
        <v>1</v>
      </c>
      <c r="Q32" s="11">
        <f>IF(P32=Sheet1!$M32, 1, 0)</f>
        <v>0</v>
      </c>
    </row>
    <row r="33" spans="1:17" x14ac:dyDescent="0.35">
      <c r="A33" s="6" t="s">
        <v>36</v>
      </c>
      <c r="B33" s="6" t="s">
        <v>45</v>
      </c>
      <c r="C33" s="6">
        <v>-0.46476250116485612</v>
      </c>
      <c r="D33" s="6">
        <v>0.72019756405423241</v>
      </c>
      <c r="E33" s="6">
        <v>0.38725811538497718</v>
      </c>
      <c r="F33" s="6">
        <v>0.53510780535935609</v>
      </c>
      <c r="G33" s="6">
        <v>0.49742639524015247</v>
      </c>
      <c r="H33" s="6">
        <v>0.78359254342524964</v>
      </c>
      <c r="I33" s="6">
        <v>0.93095973544752575</v>
      </c>
      <c r="J33" s="6">
        <v>-0.33764538557162466</v>
      </c>
      <c r="K33" s="6">
        <v>0.48285725456162054</v>
      </c>
      <c r="L33" s="6">
        <v>0.13967700163327057</v>
      </c>
      <c r="N33" s="8">
        <f>SQRT((C33-Sheet4!$C$525)^2+(D33-Sheet4!$D$525)^2+(E33-Sheet4!$E$525)^2+(F33-Sheet4!$F$525)^2+(G33-Sheet4!$G$525)^2+(H33-Sheet4!$H$525)^2+(I33-Sheet4!$I$525)^2+(J33-Sheet4!$J$525)^2+(K33-Sheet4!$K$525)^2+(L33-Sheet4!$L$525)^2)</f>
        <v>2.5476059198773089</v>
      </c>
      <c r="O33" s="8">
        <f>SQRT((C33-Sheet4!$C$526)^2+(D33-Sheet4!$D$526)^2+(E33-Sheet4!$E$526)^2+(F33-Sheet4!$F$526)^2+(G33-Sheet4!$G$526)^2+(H33-Sheet4!$H$526)^2+(I33-Sheet4!$I$526)^2+(J33-Sheet4!$J$526)^2+(K33-Sheet4!$K$526)^2+(L33-Sheet4!$L$526)^2)</f>
        <v>2.1223405326394218</v>
      </c>
      <c r="P33" s="12">
        <f t="shared" si="0"/>
        <v>1</v>
      </c>
      <c r="Q33" s="11">
        <f>IF(P33=Sheet1!$M33, 1, 0)</f>
        <v>0</v>
      </c>
    </row>
    <row r="34" spans="1:17" x14ac:dyDescent="0.35">
      <c r="A34" s="6" t="s">
        <v>36</v>
      </c>
      <c r="B34" s="6" t="s">
        <v>46</v>
      </c>
      <c r="C34" s="6">
        <v>-0.53186358921771271</v>
      </c>
      <c r="D34" s="6">
        <v>0.70792201199414928</v>
      </c>
      <c r="E34" s="6">
        <v>6.6020290268389709E-2</v>
      </c>
      <c r="F34" s="6">
        <v>0.29476429824023381</v>
      </c>
      <c r="G34" s="6">
        <v>-0.1355384965294659</v>
      </c>
      <c r="H34" s="6">
        <v>0.8159106075495075</v>
      </c>
      <c r="I34" s="6">
        <v>0.43116299524323815</v>
      </c>
      <c r="J34" s="6">
        <v>-1.3549535035344955</v>
      </c>
      <c r="K34" s="6">
        <v>2.5453969798860911</v>
      </c>
      <c r="L34" s="6">
        <v>-0.3201618995731787</v>
      </c>
      <c r="N34" s="8">
        <f>SQRT((C34-Sheet4!$C$525)^2+(D34-Sheet4!$D$525)^2+(E34-Sheet4!$E$525)^2+(F34-Sheet4!$F$525)^2+(G34-Sheet4!$G$525)^2+(H34-Sheet4!$H$525)^2+(I34-Sheet4!$I$525)^2+(J34-Sheet4!$J$525)^2+(K34-Sheet4!$K$525)^2+(L34-Sheet4!$L$525)^2)</f>
        <v>3.2381864372560503</v>
      </c>
      <c r="O34" s="8">
        <f>SQRT((C34-Sheet4!$C$526)^2+(D34-Sheet4!$D$526)^2+(E34-Sheet4!$E$526)^2+(F34-Sheet4!$F$526)^2+(G34-Sheet4!$G$526)^2+(H34-Sheet4!$H$526)^2+(I34-Sheet4!$I$526)^2+(J34-Sheet4!$J$526)^2+(K34-Sheet4!$K$526)^2+(L34-Sheet4!$L$526)^2)</f>
        <v>4.4119488097691342</v>
      </c>
      <c r="P34" s="12">
        <f t="shared" si="0"/>
        <v>0</v>
      </c>
      <c r="Q34" s="11">
        <f>IF(P34=Sheet1!$M34, 1, 0)</f>
        <v>1</v>
      </c>
    </row>
    <row r="35" spans="1:17" x14ac:dyDescent="0.35">
      <c r="A35" s="6" t="s">
        <v>36</v>
      </c>
      <c r="B35" s="6" t="s">
        <v>47</v>
      </c>
      <c r="C35" s="6">
        <v>-0.46744654468697056</v>
      </c>
      <c r="D35" s="6">
        <v>0.95957082922585946</v>
      </c>
      <c r="E35" s="6">
        <v>0.76891222871156506</v>
      </c>
      <c r="F35" s="6">
        <v>0.75542268688521663</v>
      </c>
      <c r="G35" s="6">
        <v>0.55840007747483844</v>
      </c>
      <c r="H35" s="6">
        <v>0.38392581708858986</v>
      </c>
      <c r="I35" s="6">
        <v>0.40120069066466485</v>
      </c>
      <c r="J35" s="6">
        <v>-1.1803409161229579</v>
      </c>
      <c r="K35" s="6">
        <v>2.3623035444817186</v>
      </c>
      <c r="L35" s="6">
        <v>-0.15424168527990051</v>
      </c>
      <c r="N35" s="8">
        <f>SQRT((C35-Sheet4!$C$525)^2+(D35-Sheet4!$D$525)^2+(E35-Sheet4!$E$525)^2+(F35-Sheet4!$F$525)^2+(G35-Sheet4!$G$525)^2+(H35-Sheet4!$H$525)^2+(I35-Sheet4!$I$525)^2+(J35-Sheet4!$J$525)^2+(K35-Sheet4!$K$525)^2+(L35-Sheet4!$L$525)^2)</f>
        <v>3.4387069770634326</v>
      </c>
      <c r="O35" s="8">
        <f>SQRT((C35-Sheet4!$C$526)^2+(D35-Sheet4!$D$526)^2+(E35-Sheet4!$E$526)^2+(F35-Sheet4!$F$526)^2+(G35-Sheet4!$G$526)^2+(H35-Sheet4!$H$526)^2+(I35-Sheet4!$I$526)^2+(J35-Sheet4!$J$526)^2+(K35-Sheet4!$K$526)^2+(L35-Sheet4!$L$526)^2)</f>
        <v>3.8499740413462629</v>
      </c>
      <c r="P35" s="12">
        <f t="shared" si="0"/>
        <v>0</v>
      </c>
      <c r="Q35" s="11">
        <f>IF(P35=Sheet1!$M35, 1, 0)</f>
        <v>1</v>
      </c>
    </row>
    <row r="36" spans="1:17" x14ac:dyDescent="0.35">
      <c r="A36" s="6" t="s">
        <v>36</v>
      </c>
      <c r="B36" s="6" t="s">
        <v>48</v>
      </c>
      <c r="C36" s="6">
        <v>-1.1089329464722797</v>
      </c>
      <c r="D36" s="6">
        <v>1.0209485895262764</v>
      </c>
      <c r="E36" s="6">
        <v>0.72433679655662575</v>
      </c>
      <c r="F36" s="6">
        <v>0.86326913238738712</v>
      </c>
      <c r="G36" s="6">
        <v>0.61356674235384112</v>
      </c>
      <c r="H36" s="6">
        <v>1.032441637182038</v>
      </c>
      <c r="I36" s="6">
        <v>0.83151038408034672</v>
      </c>
      <c r="J36" s="6">
        <v>1.5451338178223459</v>
      </c>
      <c r="K36" s="6">
        <v>-0.42009071320182273</v>
      </c>
      <c r="L36" s="6">
        <v>1.0491293672015534</v>
      </c>
      <c r="N36" s="8">
        <f>SQRT((C36-Sheet4!$C$525)^2+(D36-Sheet4!$D$525)^2+(E36-Sheet4!$E$525)^2+(F36-Sheet4!$F$525)^2+(G36-Sheet4!$G$525)^2+(H36-Sheet4!$H$525)^2+(I36-Sheet4!$I$525)^2+(J36-Sheet4!$J$525)^2+(K36-Sheet4!$K$525)^2+(L36-Sheet4!$L$525)^2)</f>
        <v>3.9984332506456268</v>
      </c>
      <c r="O36" s="8">
        <f>SQRT((C36-Sheet4!$C$526)^2+(D36-Sheet4!$D$526)^2+(E36-Sheet4!$E$526)^2+(F36-Sheet4!$F$526)^2+(G36-Sheet4!$G$526)^2+(H36-Sheet4!$H$526)^2+(I36-Sheet4!$I$526)^2+(J36-Sheet4!$J$526)^2+(K36-Sheet4!$K$526)^2+(L36-Sheet4!$L$526)^2)</f>
        <v>1.0324971467972439</v>
      </c>
      <c r="P36" s="12">
        <f t="shared" si="0"/>
        <v>1</v>
      </c>
      <c r="Q36" s="11">
        <f>IF(P36=Sheet1!$M36, 1, 0)</f>
        <v>0</v>
      </c>
    </row>
    <row r="37" spans="1:17" x14ac:dyDescent="0.35">
      <c r="A37" s="6" t="s">
        <v>36</v>
      </c>
      <c r="B37" s="6" t="s">
        <v>49</v>
      </c>
      <c r="C37" s="6">
        <v>-0.28895765046637195</v>
      </c>
      <c r="D37" s="6">
        <v>0.13710884120027053</v>
      </c>
      <c r="E37" s="6">
        <v>0.30105438708534249</v>
      </c>
      <c r="F37" s="6">
        <v>0.21927178638871339</v>
      </c>
      <c r="G37" s="6">
        <v>-0.19941568744199564</v>
      </c>
      <c r="H37" s="6">
        <v>0.19163333554925394</v>
      </c>
      <c r="I37" s="6">
        <v>0.47005024161117381</v>
      </c>
      <c r="J37" s="6">
        <v>2.296756669133344E-2</v>
      </c>
      <c r="K37" s="6">
        <v>-5.3903842393077189E-2</v>
      </c>
      <c r="L37" s="6">
        <v>0.17307994488155118</v>
      </c>
      <c r="N37" s="8">
        <f>SQRT((C37-Sheet4!$C$525)^2+(D37-Sheet4!$D$525)^2+(E37-Sheet4!$E$525)^2+(F37-Sheet4!$F$525)^2+(G37-Sheet4!$G$525)^2+(H37-Sheet4!$H$525)^2+(I37-Sheet4!$I$525)^2+(J37-Sheet4!$J$525)^2+(K37-Sheet4!$K$525)^2+(L37-Sheet4!$L$525)^2)</f>
        <v>1.5869300306416112</v>
      </c>
      <c r="O37" s="8">
        <f>SQRT((C37-Sheet4!$C$526)^2+(D37-Sheet4!$D$526)^2+(E37-Sheet4!$E$526)^2+(F37-Sheet4!$F$526)^2+(G37-Sheet4!$G$526)^2+(H37-Sheet4!$H$526)^2+(I37-Sheet4!$I$526)^2+(J37-Sheet4!$J$526)^2+(K37-Sheet4!$K$526)^2+(L37-Sheet4!$L$526)^2)</f>
        <v>2.3156888246947598</v>
      </c>
      <c r="P37" s="12">
        <f t="shared" si="0"/>
        <v>0</v>
      </c>
      <c r="Q37" s="11">
        <f>IF(P37=Sheet1!$M37, 1, 0)</f>
        <v>1</v>
      </c>
    </row>
    <row r="38" spans="1:17" x14ac:dyDescent="0.35">
      <c r="A38" s="6" t="s">
        <v>36</v>
      </c>
      <c r="B38" s="6" t="s">
        <v>50</v>
      </c>
      <c r="C38" s="6">
        <v>0.62361714705247839</v>
      </c>
      <c r="D38" s="6">
        <v>-1.4587129266105743</v>
      </c>
      <c r="E38" s="6">
        <v>-1.209721210165948</v>
      </c>
      <c r="F38" s="6">
        <v>-1.1673253700677579</v>
      </c>
      <c r="G38" s="6">
        <v>-0.23135428289826052</v>
      </c>
      <c r="H38" s="6">
        <v>-3.450612491254645</v>
      </c>
      <c r="I38" s="6">
        <v>-1.2065638231047431</v>
      </c>
      <c r="J38" s="6">
        <v>-0.4363394567172762</v>
      </c>
      <c r="K38" s="6">
        <v>0.43591021984255107</v>
      </c>
      <c r="L38" s="6">
        <v>-0.36840949954862978</v>
      </c>
      <c r="N38" s="8">
        <f>SQRT((C38-Sheet4!$C$525)^2+(D38-Sheet4!$D$525)^2+(E38-Sheet4!$E$525)^2+(F38-Sheet4!$F$525)^2+(G38-Sheet4!$G$525)^2+(H38-Sheet4!$H$525)^2+(I38-Sheet4!$I$525)^2+(J38-Sheet4!$J$525)^2+(K38-Sheet4!$K$525)^2+(L38-Sheet4!$L$525)^2)</f>
        <v>3.7259056565818529</v>
      </c>
      <c r="O38" s="8">
        <f>SQRT((C38-Sheet4!$C$526)^2+(D38-Sheet4!$D$526)^2+(E38-Sheet4!$E$526)^2+(F38-Sheet4!$F$526)^2+(G38-Sheet4!$G$526)^2+(H38-Sheet4!$H$526)^2+(I38-Sheet4!$I$526)^2+(J38-Sheet4!$J$526)^2+(K38-Sheet4!$K$526)^2+(L38-Sheet4!$L$526)^2)</f>
        <v>6.6681376308580136</v>
      </c>
      <c r="P38" s="12">
        <f t="shared" si="0"/>
        <v>0</v>
      </c>
      <c r="Q38" s="11">
        <f>IF(P38=Sheet1!$M38, 1, 0)</f>
        <v>1</v>
      </c>
    </row>
    <row r="39" spans="1:17" x14ac:dyDescent="0.35">
      <c r="A39" s="6" t="s">
        <v>36</v>
      </c>
      <c r="B39" s="6" t="s">
        <v>51</v>
      </c>
      <c r="C39" s="6">
        <v>-0.35203267323605703</v>
      </c>
      <c r="D39" s="6">
        <v>0.78157532435465038</v>
      </c>
      <c r="E39" s="6">
        <v>-0.85053900891747003</v>
      </c>
      <c r="F39" s="6">
        <v>-7.9616934003014755E-2</v>
      </c>
      <c r="G39" s="6">
        <v>-4.2626218838510872E-2</v>
      </c>
      <c r="H39" s="6">
        <v>0.77820619940454028</v>
      </c>
      <c r="I39" s="6">
        <v>0.43435047445372454</v>
      </c>
      <c r="J39" s="6">
        <v>-1.1841368419362523</v>
      </c>
      <c r="K39" s="6">
        <v>2.3012723993469275</v>
      </c>
      <c r="L39" s="6">
        <v>-0.37078083337365808</v>
      </c>
      <c r="N39" s="8">
        <f>SQRT((C39-Sheet4!$C$525)^2+(D39-Sheet4!$D$525)^2+(E39-Sheet4!$E$525)^2+(F39-Sheet4!$F$525)^2+(G39-Sheet4!$G$525)^2+(H39-Sheet4!$H$525)^2+(I39-Sheet4!$I$525)^2+(J39-Sheet4!$J$525)^2+(K39-Sheet4!$K$525)^2+(L39-Sheet4!$L$525)^2)</f>
        <v>2.9343861680700356</v>
      </c>
      <c r="O39" s="8">
        <f>SQRT((C39-Sheet4!$C$526)^2+(D39-Sheet4!$D$526)^2+(E39-Sheet4!$E$526)^2+(F39-Sheet4!$F$526)^2+(G39-Sheet4!$G$526)^2+(H39-Sheet4!$H$526)^2+(I39-Sheet4!$I$526)^2+(J39-Sheet4!$J$526)^2+(K39-Sheet4!$K$526)^2+(L39-Sheet4!$L$526)^2)</f>
        <v>4.5438220695695781</v>
      </c>
      <c r="P39" s="12">
        <f t="shared" si="0"/>
        <v>0</v>
      </c>
      <c r="Q39" s="11">
        <f>IF(P39=Sheet1!$M39, 1, 0)</f>
        <v>1</v>
      </c>
    </row>
    <row r="40" spans="1:17" x14ac:dyDescent="0.35">
      <c r="A40" s="6" t="s">
        <v>36</v>
      </c>
      <c r="B40" s="6" t="s">
        <v>52</v>
      </c>
      <c r="C40" s="6">
        <v>-0.39229332606777106</v>
      </c>
      <c r="D40" s="6">
        <v>0.43172209064227285</v>
      </c>
      <c r="E40" s="6">
        <v>-0.76286171261271329</v>
      </c>
      <c r="F40" s="6">
        <v>-0.30609446955757175</v>
      </c>
      <c r="G40" s="6">
        <v>-1.0733717994725225</v>
      </c>
      <c r="H40" s="6">
        <v>0.69687240469182354</v>
      </c>
      <c r="I40" s="6">
        <v>-0.92096568584514948</v>
      </c>
      <c r="J40" s="6">
        <v>-1.4043005391073213</v>
      </c>
      <c r="K40" s="6">
        <v>2.8536825078746499</v>
      </c>
      <c r="L40" s="6">
        <v>-0.44071092209586799</v>
      </c>
      <c r="N40" s="8">
        <f>SQRT((C40-Sheet4!$C$525)^2+(D40-Sheet4!$D$525)^2+(E40-Sheet4!$E$525)^2+(F40-Sheet4!$F$525)^2+(G40-Sheet4!$G$525)^2+(H40-Sheet4!$H$525)^2+(I40-Sheet4!$I$525)^2+(J40-Sheet4!$J$525)^2+(K40-Sheet4!$K$525)^2+(L40-Sheet4!$L$525)^2)</f>
        <v>3.3427345777363429</v>
      </c>
      <c r="O40" s="8">
        <f>SQRT((C40-Sheet4!$C$526)^2+(D40-Sheet4!$D$526)^2+(E40-Sheet4!$E$526)^2+(F40-Sheet4!$F$526)^2+(G40-Sheet4!$G$526)^2+(H40-Sheet4!$H$526)^2+(I40-Sheet4!$I$526)^2+(J40-Sheet4!$J$526)^2+(K40-Sheet4!$K$526)^2+(L40-Sheet4!$L$526)^2)</f>
        <v>5.598559594217976</v>
      </c>
      <c r="P40" s="12">
        <f t="shared" si="0"/>
        <v>0</v>
      </c>
      <c r="Q40" s="11">
        <f>IF(P40=Sheet1!$M40, 1, 0)</f>
        <v>1</v>
      </c>
    </row>
    <row r="41" spans="1:17" x14ac:dyDescent="0.35">
      <c r="A41" s="6" t="s">
        <v>36</v>
      </c>
      <c r="B41" s="6" t="s">
        <v>53</v>
      </c>
      <c r="C41" s="6">
        <v>5.4599920364253991E-2</v>
      </c>
      <c r="D41" s="6">
        <v>0.61585537154352343</v>
      </c>
      <c r="E41" s="6">
        <v>-0.6707637122925908</v>
      </c>
      <c r="F41" s="6">
        <v>0.13915728401567337</v>
      </c>
      <c r="G41" s="6">
        <v>0.50904042995151932</v>
      </c>
      <c r="H41" s="6">
        <v>0.74804267288856585</v>
      </c>
      <c r="I41" s="6">
        <v>-1.2429010861042891</v>
      </c>
      <c r="J41" s="6">
        <v>-1.6548316427847449</v>
      </c>
      <c r="K41" s="6">
        <v>2.3341353236502758</v>
      </c>
      <c r="L41" s="6">
        <v>-0.39286764072250963</v>
      </c>
      <c r="N41" s="8">
        <f>SQRT((C41-Sheet4!$C$525)^2+(D41-Sheet4!$D$525)^2+(E41-Sheet4!$E$525)^2+(F41-Sheet4!$F$525)^2+(G41-Sheet4!$G$525)^2+(H41-Sheet4!$H$525)^2+(I41-Sheet4!$I$525)^2+(J41-Sheet4!$J$525)^2+(K41-Sheet4!$K$525)^2+(L41-Sheet4!$L$525)^2)</f>
        <v>3.1904155361188438</v>
      </c>
      <c r="O41" s="8">
        <f>SQRT((C41-Sheet4!$C$526)^2+(D41-Sheet4!$D$526)^2+(E41-Sheet4!$E$526)^2+(F41-Sheet4!$F$526)^2+(G41-Sheet4!$G$526)^2+(H41-Sheet4!$H$526)^2+(I41-Sheet4!$I$526)^2+(J41-Sheet4!$J$526)^2+(K41-Sheet4!$K$526)^2+(L41-Sheet4!$L$526)^2)</f>
        <v>5.0581449712061204</v>
      </c>
      <c r="P41" s="12">
        <f t="shared" si="0"/>
        <v>0</v>
      </c>
      <c r="Q41" s="11">
        <f>IF(P41=Sheet1!$M41, 1, 0)</f>
        <v>1</v>
      </c>
    </row>
    <row r="42" spans="1:17" x14ac:dyDescent="0.35">
      <c r="A42" s="6" t="s">
        <v>36</v>
      </c>
      <c r="B42" s="6" t="s">
        <v>54</v>
      </c>
      <c r="C42" s="6">
        <v>-0.53320561097876984</v>
      </c>
      <c r="D42" s="6">
        <v>0.15552216929039525</v>
      </c>
      <c r="E42" s="6">
        <v>0.25500538692528119</v>
      </c>
      <c r="F42" s="6">
        <v>9.7559369321979811E-2</v>
      </c>
      <c r="G42" s="6">
        <v>-0.24296831760963145</v>
      </c>
      <c r="H42" s="6">
        <v>0.8611558973234692</v>
      </c>
      <c r="I42" s="6">
        <v>0.82896040071195709</v>
      </c>
      <c r="J42" s="6">
        <v>-0.4287476050906876</v>
      </c>
      <c r="K42" s="6">
        <v>-0.42478541667372988</v>
      </c>
      <c r="L42" s="6">
        <v>-4.3896974738430898E-2</v>
      </c>
      <c r="N42" s="8">
        <f>SQRT((C42-Sheet4!$C$525)^2+(D42-Sheet4!$D$525)^2+(E42-Sheet4!$E$525)^2+(F42-Sheet4!$F$525)^2+(G42-Sheet4!$G$525)^2+(H42-Sheet4!$H$525)^2+(I42-Sheet4!$I$525)^2+(J42-Sheet4!$J$525)^2+(K42-Sheet4!$K$525)^2+(L42-Sheet4!$L$525)^2)</f>
        <v>2.0886130672308716</v>
      </c>
      <c r="O42" s="8">
        <f>SQRT((C42-Sheet4!$C$526)^2+(D42-Sheet4!$D$526)^2+(E42-Sheet4!$E$526)^2+(F42-Sheet4!$F$526)^2+(G42-Sheet4!$G$526)^2+(H42-Sheet4!$H$526)^2+(I42-Sheet4!$I$526)^2+(J42-Sheet4!$J$526)^2+(K42-Sheet4!$K$526)^2+(L42-Sheet4!$L$526)^2)</f>
        <v>2.5555358358602582</v>
      </c>
      <c r="P42" s="12">
        <f t="shared" si="0"/>
        <v>0</v>
      </c>
      <c r="Q42" s="11">
        <f>IF(P42=Sheet1!$M42, 1, 0)</f>
        <v>1</v>
      </c>
    </row>
    <row r="43" spans="1:17" x14ac:dyDescent="0.35">
      <c r="A43" s="6" t="s">
        <v>36</v>
      </c>
      <c r="B43" s="6" t="s">
        <v>55</v>
      </c>
      <c r="C43" s="6">
        <v>1.4339267532540168E-2</v>
      </c>
      <c r="D43" s="6">
        <v>-0.22501994457219024</v>
      </c>
      <c r="E43" s="6">
        <v>7.8914010313206856E-2</v>
      </c>
      <c r="F43" s="6">
        <v>-0.20749200509844473</v>
      </c>
      <c r="G43" s="6">
        <v>-0.73366128416497556</v>
      </c>
      <c r="H43" s="6">
        <v>0.58375918025692008</v>
      </c>
      <c r="I43" s="6">
        <v>0.80919802960694043</v>
      </c>
      <c r="J43" s="6">
        <v>0.59235643868547772</v>
      </c>
      <c r="K43" s="6">
        <v>8.3807459449527055E-2</v>
      </c>
      <c r="L43" s="6">
        <v>5.2696787013301813E-2</v>
      </c>
      <c r="N43" s="8">
        <f>SQRT((C43-Sheet4!$C$525)^2+(D43-Sheet4!$D$525)^2+(E43-Sheet4!$E$525)^2+(F43-Sheet4!$F$525)^2+(G43-Sheet4!$G$525)^2+(H43-Sheet4!$H$525)^2+(I43-Sheet4!$I$525)^2+(J43-Sheet4!$J$525)^2+(K43-Sheet4!$K$525)^2+(L43-Sheet4!$L$525)^2)</f>
        <v>1.8325537288737781</v>
      </c>
      <c r="O43" s="8">
        <f>SQRT((C43-Sheet4!$C$526)^2+(D43-Sheet4!$D$526)^2+(E43-Sheet4!$E$526)^2+(F43-Sheet4!$F$526)^2+(G43-Sheet4!$G$526)^2+(H43-Sheet4!$H$526)^2+(I43-Sheet4!$I$526)^2+(J43-Sheet4!$J$526)^2+(K43-Sheet4!$K$526)^2+(L43-Sheet4!$L$526)^2)</f>
        <v>2.8991960657548623</v>
      </c>
      <c r="P43" s="12">
        <f t="shared" si="0"/>
        <v>0</v>
      </c>
      <c r="Q43" s="11">
        <f>IF(P43=Sheet1!$M43, 1, 0)</f>
        <v>1</v>
      </c>
    </row>
    <row r="44" spans="1:17" x14ac:dyDescent="0.35">
      <c r="A44" s="6" t="s">
        <v>36</v>
      </c>
      <c r="B44" s="6" t="s">
        <v>56</v>
      </c>
      <c r="C44" s="6">
        <v>-0.3157980856875145</v>
      </c>
      <c r="D44" s="6">
        <v>0.57902871536327394</v>
      </c>
      <c r="E44" s="6">
        <v>-9.938771830655041E-2</v>
      </c>
      <c r="F44" s="6">
        <v>2.8229511499155757E-2</v>
      </c>
      <c r="G44" s="6">
        <v>-0.70752970606439414</v>
      </c>
      <c r="H44" s="6">
        <v>-0.54037081686519439</v>
      </c>
      <c r="I44" s="6">
        <v>-0.48173105064010524</v>
      </c>
      <c r="J44" s="6">
        <v>-0.70964611527446553</v>
      </c>
      <c r="K44" s="6">
        <v>1.1510700487297145</v>
      </c>
      <c r="L44" s="6">
        <v>-0.27937555538021203</v>
      </c>
      <c r="N44" s="8">
        <f>SQRT((C44-Sheet4!$C$525)^2+(D44-Sheet4!$D$525)^2+(E44-Sheet4!$E$525)^2+(F44-Sheet4!$F$525)^2+(G44-Sheet4!$G$525)^2+(H44-Sheet4!$H$525)^2+(I44-Sheet4!$I$525)^2+(J44-Sheet4!$J$525)^2+(K44-Sheet4!$K$525)^2+(L44-Sheet4!$L$525)^2)</f>
        <v>1.6654642154115928</v>
      </c>
      <c r="O44" s="8">
        <f>SQRT((C44-Sheet4!$C$526)^2+(D44-Sheet4!$D$526)^2+(E44-Sheet4!$E$526)^2+(F44-Sheet4!$F$526)^2+(G44-Sheet4!$G$526)^2+(H44-Sheet4!$H$526)^2+(I44-Sheet4!$I$526)^2+(J44-Sheet4!$J$526)^2+(K44-Sheet4!$K$526)^2+(L44-Sheet4!$L$526)^2)</f>
        <v>3.9056590660398864</v>
      </c>
      <c r="P44" s="12">
        <f t="shared" si="0"/>
        <v>0</v>
      </c>
      <c r="Q44" s="11">
        <f>IF(P44=Sheet1!$M44, 1, 0)</f>
        <v>1</v>
      </c>
    </row>
    <row r="45" spans="1:17" x14ac:dyDescent="0.35">
      <c r="A45" s="6" t="s">
        <v>36</v>
      </c>
      <c r="B45" s="6" t="s">
        <v>57</v>
      </c>
      <c r="C45" s="6">
        <v>-0.48086676229754183</v>
      </c>
      <c r="D45" s="6">
        <v>0.35806877828177169</v>
      </c>
      <c r="E45" s="6">
        <v>-0.51714424775862633</v>
      </c>
      <c r="F45" s="6">
        <v>-0.19824802405540123</v>
      </c>
      <c r="G45" s="6">
        <v>-0.73366128416497556</v>
      </c>
      <c r="H45" s="6">
        <v>-0.94703979042877695</v>
      </c>
      <c r="I45" s="6">
        <v>-0.46515615874557492</v>
      </c>
      <c r="J45" s="6">
        <v>-0.37560464370456742</v>
      </c>
      <c r="K45" s="6">
        <v>0.90225076471864574</v>
      </c>
      <c r="L45" s="6">
        <v>-0.28421283567266015</v>
      </c>
      <c r="N45" s="8">
        <f>SQRT((C45-Sheet4!$C$525)^2+(D45-Sheet4!$D$525)^2+(E45-Sheet4!$E$525)^2+(F45-Sheet4!$F$525)^2+(G45-Sheet4!$G$525)^2+(H45-Sheet4!$H$525)^2+(I45-Sheet4!$I$525)^2+(J45-Sheet4!$J$525)^2+(K45-Sheet4!$K$525)^2+(L45-Sheet4!$L$525)^2)</f>
        <v>1.5171725007616803</v>
      </c>
      <c r="O45" s="8">
        <f>SQRT((C45-Sheet4!$C$526)^2+(D45-Sheet4!$D$526)^2+(E45-Sheet4!$E$526)^2+(F45-Sheet4!$F$526)^2+(G45-Sheet4!$G$526)^2+(H45-Sheet4!$H$526)^2+(I45-Sheet4!$I$526)^2+(J45-Sheet4!$J$526)^2+(K45-Sheet4!$K$526)^2+(L45-Sheet4!$L$526)^2)</f>
        <v>4.0592770954468893</v>
      </c>
      <c r="P45" s="12">
        <f t="shared" si="0"/>
        <v>0</v>
      </c>
      <c r="Q45" s="11">
        <f>IF(P45=Sheet1!$M45, 1, 0)</f>
        <v>1</v>
      </c>
    </row>
    <row r="46" spans="1:17" x14ac:dyDescent="0.35">
      <c r="A46" s="6" t="s">
        <v>36</v>
      </c>
      <c r="B46" s="6" t="s">
        <v>58</v>
      </c>
      <c r="C46" s="6">
        <v>-0.50233911047445601</v>
      </c>
      <c r="D46" s="6">
        <v>0.28441546592127165</v>
      </c>
      <c r="E46" s="6">
        <v>0.45577902762314837</v>
      </c>
      <c r="F46" s="6">
        <v>0.27165434563262508</v>
      </c>
      <c r="G46" s="6">
        <v>-0.24587182628747109</v>
      </c>
      <c r="H46" s="6">
        <v>0.41193480599628007</v>
      </c>
      <c r="I46" s="6">
        <v>-3.0383994435212329E-2</v>
      </c>
      <c r="J46" s="6">
        <v>-0.1326653916537327</v>
      </c>
      <c r="K46" s="6">
        <v>-0.48268675949391676</v>
      </c>
      <c r="L46" s="6">
        <v>-4.8971016482057997E-2</v>
      </c>
      <c r="N46" s="8">
        <f>SQRT((C46-Sheet4!$C$525)^2+(D46-Sheet4!$D$525)^2+(E46-Sheet4!$E$525)^2+(F46-Sheet4!$F$525)^2+(G46-Sheet4!$G$525)^2+(H46-Sheet4!$H$525)^2+(I46-Sheet4!$I$525)^2+(J46-Sheet4!$J$525)^2+(K46-Sheet4!$K$525)^2+(L46-Sheet4!$L$525)^2)</f>
        <v>1.7886230705995567</v>
      </c>
      <c r="O46" s="8">
        <f>SQRT((C46-Sheet4!$C$526)^2+(D46-Sheet4!$D$526)^2+(E46-Sheet4!$E$526)^2+(F46-Sheet4!$F$526)^2+(G46-Sheet4!$G$526)^2+(H46-Sheet4!$H$526)^2+(I46-Sheet4!$I$526)^2+(J46-Sheet4!$J$526)^2+(K46-Sheet4!$K$526)^2+(L46-Sheet4!$L$526)^2)</f>
        <v>2.3370501532076569</v>
      </c>
      <c r="P46" s="12">
        <f t="shared" si="0"/>
        <v>0</v>
      </c>
      <c r="Q46" s="11">
        <f>IF(P46=Sheet1!$M46, 1, 0)</f>
        <v>1</v>
      </c>
    </row>
    <row r="47" spans="1:17" x14ac:dyDescent="0.35">
      <c r="A47" s="6" t="s">
        <v>36</v>
      </c>
      <c r="B47" s="6" t="s">
        <v>59</v>
      </c>
      <c r="C47" s="6">
        <v>-0.30237786807694322</v>
      </c>
      <c r="D47" s="6">
        <v>-1.6335559550772212E-2</v>
      </c>
      <c r="E47" s="6">
        <v>0.55819200397912461</v>
      </c>
      <c r="F47" s="6">
        <v>0.2993862887617556</v>
      </c>
      <c r="G47" s="6">
        <v>-2.8108675449300315E-2</v>
      </c>
      <c r="H47" s="6">
        <v>0.1372312609400857</v>
      </c>
      <c r="I47" s="6">
        <v>0.10285263656312495</v>
      </c>
      <c r="J47" s="6">
        <v>0.25831496711557977</v>
      </c>
      <c r="K47" s="6">
        <v>-0.58440533471856682</v>
      </c>
      <c r="L47" s="6">
        <v>-8.3471846671411373E-2</v>
      </c>
      <c r="N47" s="8">
        <f>SQRT((C47-Sheet4!$C$525)^2+(D47-Sheet4!$D$525)^2+(E47-Sheet4!$E$525)^2+(F47-Sheet4!$F$525)^2+(G47-Sheet4!$G$525)^2+(H47-Sheet4!$H$525)^2+(I47-Sheet4!$I$525)^2+(J47-Sheet4!$J$525)^2+(K47-Sheet4!$K$525)^2+(L47-Sheet4!$L$525)^2)</f>
        <v>1.7951851118966156</v>
      </c>
      <c r="O47" s="8">
        <f>SQRT((C47-Sheet4!$C$526)^2+(D47-Sheet4!$D$526)^2+(E47-Sheet4!$E$526)^2+(F47-Sheet4!$F$526)^2+(G47-Sheet4!$G$526)^2+(H47-Sheet4!$H$526)^2+(I47-Sheet4!$I$526)^2+(J47-Sheet4!$J$526)^2+(K47-Sheet4!$K$526)^2+(L47-Sheet4!$L$526)^2)</f>
        <v>2.1885851478743268</v>
      </c>
      <c r="P47" s="12">
        <f t="shared" si="0"/>
        <v>0</v>
      </c>
      <c r="Q47" s="11">
        <f>IF(P47=Sheet1!$M47, 1, 0)</f>
        <v>1</v>
      </c>
    </row>
    <row r="48" spans="1:17" x14ac:dyDescent="0.35">
      <c r="A48" s="6" t="s">
        <v>36</v>
      </c>
      <c r="B48" s="6" t="s">
        <v>60</v>
      </c>
      <c r="C48" s="6">
        <v>1.7965441662164117</v>
      </c>
      <c r="D48" s="6">
        <v>-1.0229308284776129</v>
      </c>
      <c r="E48" s="6">
        <v>-1.5361165233004623</v>
      </c>
      <c r="F48" s="6">
        <v>-1.0949141852305868</v>
      </c>
      <c r="G48" s="6">
        <v>-3.1012184127144078E-2</v>
      </c>
      <c r="H48" s="6">
        <v>-1.675812136430799</v>
      </c>
      <c r="I48" s="6">
        <v>-1.7191104801509769</v>
      </c>
      <c r="J48" s="6">
        <v>-0.78176870572705714</v>
      </c>
      <c r="K48" s="6">
        <v>0.75202025361762093</v>
      </c>
      <c r="L48" s="6">
        <v>-0.40843244425180542</v>
      </c>
      <c r="N48" s="8">
        <f>SQRT((C48-Sheet4!$C$525)^2+(D48-Sheet4!$D$525)^2+(E48-Sheet4!$E$525)^2+(F48-Sheet4!$F$525)^2+(G48-Sheet4!$G$525)^2+(H48-Sheet4!$H$525)^2+(I48-Sheet4!$I$525)^2+(J48-Sheet4!$J$525)^2+(K48-Sheet4!$K$525)^2+(L48-Sheet4!$L$525)^2)</f>
        <v>3.0707450835997578</v>
      </c>
      <c r="O48" s="8">
        <f>SQRT((C48-Sheet4!$C$526)^2+(D48-Sheet4!$D$526)^2+(E48-Sheet4!$E$526)^2+(F48-Sheet4!$F$526)^2+(G48-Sheet4!$G$526)^2+(H48-Sheet4!$H$526)^2+(I48-Sheet4!$I$526)^2+(J48-Sheet4!$J$526)^2+(K48-Sheet4!$K$526)^2+(L48-Sheet4!$L$526)^2)</f>
        <v>6.3607439923067339</v>
      </c>
      <c r="P48" s="12">
        <f t="shared" si="0"/>
        <v>0</v>
      </c>
      <c r="Q48" s="11">
        <f>IF(P48=Sheet1!$M48, 1, 0)</f>
        <v>0</v>
      </c>
    </row>
    <row r="49" spans="1:17" x14ac:dyDescent="0.35">
      <c r="A49" s="6" t="s">
        <v>36</v>
      </c>
      <c r="B49" s="6" t="s">
        <v>61</v>
      </c>
      <c r="C49" s="6">
        <v>1.898537820056754</v>
      </c>
      <c r="D49" s="6">
        <v>-1.072033036717946</v>
      </c>
      <c r="E49" s="6">
        <v>-1.6212150755962556</v>
      </c>
      <c r="F49" s="6">
        <v>-1.2227892563260168</v>
      </c>
      <c r="G49" s="6">
        <v>-0.16747709198573077</v>
      </c>
      <c r="H49" s="6">
        <v>-2.1104900989020718</v>
      </c>
      <c r="I49" s="6">
        <v>-0.86805353095107307</v>
      </c>
      <c r="J49" s="6">
        <v>-1.6396479395315677</v>
      </c>
      <c r="K49" s="6">
        <v>1.9742080574707404</v>
      </c>
      <c r="L49" s="6">
        <v>-0.43207582598116834</v>
      </c>
      <c r="N49" s="8">
        <f>SQRT((C49-Sheet4!$C$525)^2+(D49-Sheet4!$D$525)^2+(E49-Sheet4!$E$525)^2+(F49-Sheet4!$F$525)^2+(G49-Sheet4!$G$525)^2+(H49-Sheet4!$H$525)^2+(I49-Sheet4!$I$525)^2+(J49-Sheet4!$J$525)^2+(K49-Sheet4!$K$525)^2+(L49-Sheet4!$L$525)^2)</f>
        <v>3.7531235098084355</v>
      </c>
      <c r="O49" s="8">
        <f>SQRT((C49-Sheet4!$C$526)^2+(D49-Sheet4!$D$526)^2+(E49-Sheet4!$E$526)^2+(F49-Sheet4!$F$526)^2+(G49-Sheet4!$G$526)^2+(H49-Sheet4!$H$526)^2+(I49-Sheet4!$I$526)^2+(J49-Sheet4!$J$526)^2+(K49-Sheet4!$K$526)^2+(L49-Sheet4!$L$526)^2)</f>
        <v>7.07004035190716</v>
      </c>
      <c r="P49" s="12">
        <f t="shared" si="0"/>
        <v>0</v>
      </c>
      <c r="Q49" s="11">
        <f>IF(P49=Sheet1!$M49, 1, 0)</f>
        <v>0</v>
      </c>
    </row>
    <row r="50" spans="1:17" x14ac:dyDescent="0.35">
      <c r="A50" s="6" t="s">
        <v>36</v>
      </c>
      <c r="B50" s="6" t="s">
        <v>62</v>
      </c>
      <c r="C50" s="6">
        <v>7.6291587272544108E-3</v>
      </c>
      <c r="D50" s="6">
        <v>1.2112196464575697</v>
      </c>
      <c r="E50" s="6">
        <v>0.44767440359497757</v>
      </c>
      <c r="F50" s="6">
        <v>0.61830363474674321</v>
      </c>
      <c r="G50" s="6">
        <v>-0.11811744446241156</v>
      </c>
      <c r="H50" s="6">
        <v>-2.4169730736804538</v>
      </c>
      <c r="I50" s="6">
        <v>0.46303778734810347</v>
      </c>
      <c r="J50" s="6">
        <v>1.3895008594772797</v>
      </c>
      <c r="K50" s="6">
        <v>0.27003069716850386</v>
      </c>
      <c r="L50" s="6">
        <v>-0.38380749814766685</v>
      </c>
      <c r="N50" s="8">
        <f>SQRT((C50-Sheet4!$C$525)^2+(D50-Sheet4!$D$525)^2+(E50-Sheet4!$E$525)^2+(F50-Sheet4!$F$525)^2+(G50-Sheet4!$G$525)^2+(H50-Sheet4!$H$525)^2+(I50-Sheet4!$I$525)^2+(J50-Sheet4!$J$525)^2+(K50-Sheet4!$K$525)^2+(L50-Sheet4!$L$525)^2)</f>
        <v>3.5712107393508177</v>
      </c>
      <c r="O50" s="8">
        <f>SQRT((C50-Sheet4!$C$526)^2+(D50-Sheet4!$D$526)^2+(E50-Sheet4!$E$526)^2+(F50-Sheet4!$F$526)^2+(G50-Sheet4!$G$526)^2+(H50-Sheet4!$H$526)^2+(I50-Sheet4!$I$526)^2+(J50-Sheet4!$J$526)^2+(K50-Sheet4!$K$526)^2+(L50-Sheet4!$L$526)^2)</f>
        <v>3.6839167765256553</v>
      </c>
      <c r="P50" s="12">
        <f t="shared" si="0"/>
        <v>0</v>
      </c>
      <c r="Q50" s="11">
        <f>IF(P50=Sheet1!$M50, 1, 0)</f>
        <v>1</v>
      </c>
    </row>
    <row r="51" spans="1:17" x14ac:dyDescent="0.35">
      <c r="A51" s="6" t="s">
        <v>36</v>
      </c>
      <c r="B51" s="6" t="s">
        <v>63</v>
      </c>
      <c r="C51" s="6">
        <v>0.1512254871603676</v>
      </c>
      <c r="D51" s="6">
        <v>0.62199314757356505</v>
      </c>
      <c r="E51" s="6">
        <v>0.33163092319162318</v>
      </c>
      <c r="F51" s="6">
        <v>-0.15202811884018591</v>
      </c>
      <c r="G51" s="6">
        <v>-1.8050559862887752</v>
      </c>
      <c r="H51" s="6">
        <v>0.63923852367022937</v>
      </c>
      <c r="I51" s="6">
        <v>0.13153994945750391</v>
      </c>
      <c r="J51" s="6">
        <v>0.58096866124559465</v>
      </c>
      <c r="K51" s="6">
        <v>-0.45295363750517287</v>
      </c>
      <c r="L51" s="6">
        <v>-0.33568409816037281</v>
      </c>
      <c r="N51" s="8">
        <f>SQRT((C51-Sheet4!$C$525)^2+(D51-Sheet4!$D$525)^2+(E51-Sheet4!$E$525)^2+(F51-Sheet4!$F$525)^2+(G51-Sheet4!$G$525)^2+(H51-Sheet4!$H$525)^2+(I51-Sheet4!$I$525)^2+(J51-Sheet4!$J$525)^2+(K51-Sheet4!$K$525)^2+(L51-Sheet4!$L$525)^2)</f>
        <v>2.4697765381081669</v>
      </c>
      <c r="O51" s="8">
        <f>SQRT((C51-Sheet4!$C$526)^2+(D51-Sheet4!$D$526)^2+(E51-Sheet4!$E$526)^2+(F51-Sheet4!$F$526)^2+(G51-Sheet4!$G$526)^2+(H51-Sheet4!$H$526)^2+(I51-Sheet4!$I$526)^2+(J51-Sheet4!$J$526)^2+(K51-Sheet4!$K$526)^2+(L51-Sheet4!$L$526)^2)</f>
        <v>3.4204334447108971</v>
      </c>
      <c r="P51" s="12">
        <f t="shared" si="0"/>
        <v>0</v>
      </c>
      <c r="Q51" s="11">
        <f>IF(P51=Sheet1!$M51, 1, 0)</f>
        <v>1</v>
      </c>
    </row>
    <row r="52" spans="1:17" x14ac:dyDescent="0.35">
      <c r="A52" s="6" t="s">
        <v>36</v>
      </c>
      <c r="B52" s="6" t="s">
        <v>64</v>
      </c>
      <c r="C52" s="6">
        <v>-0.50368113223551303</v>
      </c>
      <c r="D52" s="6">
        <v>1.7513439371012394</v>
      </c>
      <c r="E52" s="6">
        <v>0.77775363674229681</v>
      </c>
      <c r="F52" s="6">
        <v>1.4240706489986716</v>
      </c>
      <c r="G52" s="6">
        <v>1.1942684779222965</v>
      </c>
      <c r="H52" s="6">
        <v>0.60799772835011312</v>
      </c>
      <c r="I52" s="6">
        <v>0.93350971881591538</v>
      </c>
      <c r="J52" s="6">
        <v>2.2549719449083789</v>
      </c>
      <c r="K52" s="6">
        <v>-0.10398067942675288</v>
      </c>
      <c r="L52" s="6">
        <v>-0.25944047521514879</v>
      </c>
      <c r="N52" s="8">
        <f>SQRT((C52-Sheet4!$C$525)^2+(D52-Sheet4!$D$525)^2+(E52-Sheet4!$E$525)^2+(F52-Sheet4!$F$525)^2+(G52-Sheet4!$G$525)^2+(H52-Sheet4!$H$525)^2+(I52-Sheet4!$I$525)^2+(J52-Sheet4!$J$525)^2+(K52-Sheet4!$K$525)^2+(L52-Sheet4!$L$525)^2)</f>
        <v>4.6043703520333787</v>
      </c>
      <c r="O52" s="8">
        <f>SQRT((C52-Sheet4!$C$526)^2+(D52-Sheet4!$D$526)^2+(E52-Sheet4!$E$526)^2+(F52-Sheet4!$F$526)^2+(G52-Sheet4!$G$526)^2+(H52-Sheet4!$H$526)^2+(I52-Sheet4!$I$526)^2+(J52-Sheet4!$J$526)^2+(K52-Sheet4!$K$526)^2+(L52-Sheet4!$L$526)^2)</f>
        <v>1.8364789603008478</v>
      </c>
      <c r="P52" s="12">
        <f t="shared" si="0"/>
        <v>1</v>
      </c>
      <c r="Q52" s="11">
        <f>IF(P52=Sheet1!$M52, 1, 0)</f>
        <v>0</v>
      </c>
    </row>
    <row r="53" spans="1:17" x14ac:dyDescent="0.35">
      <c r="A53" s="6" t="s">
        <v>36</v>
      </c>
      <c r="B53" s="6" t="s">
        <v>65</v>
      </c>
      <c r="C53" s="6">
        <v>-0.26480125876734334</v>
      </c>
      <c r="D53" s="6">
        <v>1.2296329745476944</v>
      </c>
      <c r="E53" s="6">
        <v>0.96305481338638343</v>
      </c>
      <c r="F53" s="6">
        <v>0.84632183380847481</v>
      </c>
      <c r="G53" s="6">
        <v>0.37547903077077632</v>
      </c>
      <c r="H53" s="6">
        <v>1.0060485514805599</v>
      </c>
      <c r="I53" s="6">
        <v>0.90609739760573083</v>
      </c>
      <c r="J53" s="6">
        <v>1.256643456011979</v>
      </c>
      <c r="K53" s="6">
        <v>-0.35592976575242774</v>
      </c>
      <c r="L53" s="6">
        <v>-0.37484201000525202</v>
      </c>
      <c r="N53" s="8">
        <f>SQRT((C53-Sheet4!$C$525)^2+(D53-Sheet4!$D$525)^2+(E53-Sheet4!$E$525)^2+(F53-Sheet4!$F$525)^2+(G53-Sheet4!$G$525)^2+(H53-Sheet4!$H$525)^2+(I53-Sheet4!$I$525)^2+(J53-Sheet4!$J$525)^2+(K53-Sheet4!$K$525)^2+(L53-Sheet4!$L$525)^2)</f>
        <v>3.5501202496938262</v>
      </c>
      <c r="O53" s="8">
        <f>SQRT((C53-Sheet4!$C$526)^2+(D53-Sheet4!$D$526)^2+(E53-Sheet4!$E$526)^2+(F53-Sheet4!$F$526)^2+(G53-Sheet4!$G$526)^2+(H53-Sheet4!$H$526)^2+(I53-Sheet4!$I$526)^2+(J53-Sheet4!$J$526)^2+(K53-Sheet4!$K$526)^2+(L53-Sheet4!$L$526)^2)</f>
        <v>1.3423111124134688</v>
      </c>
      <c r="P53" s="12">
        <f t="shared" si="0"/>
        <v>1</v>
      </c>
      <c r="Q53" s="11">
        <f>IF(P53=Sheet1!$M53, 1, 0)</f>
        <v>0</v>
      </c>
    </row>
    <row r="54" spans="1:17" x14ac:dyDescent="0.35">
      <c r="A54" s="6" t="s">
        <v>36</v>
      </c>
      <c r="B54" s="6" t="s">
        <v>66</v>
      </c>
      <c r="C54" s="6">
        <v>-0.52783752393454142</v>
      </c>
      <c r="D54" s="6">
        <v>1.8679616816720328</v>
      </c>
      <c r="E54" s="6">
        <v>1.7219423360241932</v>
      </c>
      <c r="F54" s="6">
        <v>1.7383660044621374</v>
      </c>
      <c r="G54" s="6">
        <v>1.0374790093188158</v>
      </c>
      <c r="H54" s="6">
        <v>0.83530144602406242</v>
      </c>
      <c r="I54" s="6">
        <v>0.87103512629037916</v>
      </c>
      <c r="J54" s="6">
        <v>2.1828493544557874</v>
      </c>
      <c r="K54" s="6">
        <v>-1.1430750478754994</v>
      </c>
      <c r="L54" s="6">
        <v>2.8359786330232621</v>
      </c>
      <c r="N54" s="8">
        <f>SQRT((C54-Sheet4!$C$525)^2+(D54-Sheet4!$D$525)^2+(E54-Sheet4!$E$525)^2+(F54-Sheet4!$F$525)^2+(G54-Sheet4!$G$525)^2+(H54-Sheet4!$H$525)^2+(I54-Sheet4!$I$525)^2+(J54-Sheet4!$J$525)^2+(K54-Sheet4!$K$525)^2+(L54-Sheet4!$L$525)^2)</f>
        <v>6.0580461205127953</v>
      </c>
      <c r="O54" s="8">
        <f>SQRT((C54-Sheet4!$C$526)^2+(D54-Sheet4!$D$526)^2+(E54-Sheet4!$E$526)^2+(F54-Sheet4!$F$526)^2+(G54-Sheet4!$G$526)^2+(H54-Sheet4!$H$526)^2+(I54-Sheet4!$I$526)^2+(J54-Sheet4!$J$526)^2+(K54-Sheet4!$K$526)^2+(L54-Sheet4!$L$526)^2)</f>
        <v>2.8249327118580072</v>
      </c>
      <c r="P54" s="12">
        <f t="shared" si="0"/>
        <v>1</v>
      </c>
      <c r="Q54" s="11">
        <f>IF(P54=Sheet1!$M54, 1, 0)</f>
        <v>0</v>
      </c>
    </row>
    <row r="55" spans="1:17" x14ac:dyDescent="0.35">
      <c r="A55" s="6" t="s">
        <v>36</v>
      </c>
      <c r="B55" s="6" t="s">
        <v>67</v>
      </c>
      <c r="C55" s="6">
        <v>-0.8673690294819959</v>
      </c>
      <c r="D55" s="6">
        <v>1.5365217760497798</v>
      </c>
      <c r="E55" s="6">
        <v>0.27195141898418373</v>
      </c>
      <c r="F55" s="6">
        <v>0.93722098073173299</v>
      </c>
      <c r="G55" s="6">
        <v>0.81100533244711792</v>
      </c>
      <c r="H55" s="6">
        <v>0.9699600465418049</v>
      </c>
      <c r="I55" s="6">
        <v>0.93223472713172106</v>
      </c>
      <c r="J55" s="6">
        <v>1.0630512395339704</v>
      </c>
      <c r="K55" s="6">
        <v>-1.0476160772800565</v>
      </c>
      <c r="L55" s="6">
        <v>-0.28837844560519771</v>
      </c>
      <c r="N55" s="8">
        <f>SQRT((C55-Sheet4!$C$525)^2+(D55-Sheet4!$D$525)^2+(E55-Sheet4!$E$525)^2+(F55-Sheet4!$F$525)^2+(G55-Sheet4!$G$525)^2+(H55-Sheet4!$H$525)^2+(I55-Sheet4!$I$525)^2+(J55-Sheet4!$J$525)^2+(K55-Sheet4!$K$525)^2+(L55-Sheet4!$L$525)^2)</f>
        <v>3.8575514130028936</v>
      </c>
      <c r="O55" s="8">
        <f>SQRT((C55-Sheet4!$C$526)^2+(D55-Sheet4!$D$526)^2+(E55-Sheet4!$E$526)^2+(F55-Sheet4!$F$526)^2+(G55-Sheet4!$G$526)^2+(H55-Sheet4!$H$526)^2+(I55-Sheet4!$I$526)^2+(J55-Sheet4!$J$526)^2+(K55-Sheet4!$K$526)^2+(L55-Sheet4!$L$526)^2)</f>
        <v>1.5053093212386142</v>
      </c>
      <c r="P55" s="12">
        <f t="shared" si="0"/>
        <v>1</v>
      </c>
      <c r="Q55" s="11">
        <f>IF(P55=Sheet1!$M55, 1, 0)</f>
        <v>0</v>
      </c>
    </row>
    <row r="56" spans="1:17" x14ac:dyDescent="0.35">
      <c r="A56" s="6" t="s">
        <v>36</v>
      </c>
      <c r="B56" s="6" t="s">
        <v>68</v>
      </c>
      <c r="C56" s="6">
        <v>-0.63654128658016906</v>
      </c>
      <c r="D56" s="6">
        <v>1.6285884165004056</v>
      </c>
      <c r="E56" s="6">
        <v>0.2358490028586957</v>
      </c>
      <c r="F56" s="6">
        <v>0.85556581485151828</v>
      </c>
      <c r="G56" s="6">
        <v>-4.5529727516354639E-2</v>
      </c>
      <c r="H56" s="6">
        <v>-1.3935677097456109</v>
      </c>
      <c r="I56" s="6">
        <v>-1.9766588003582888</v>
      </c>
      <c r="J56" s="6">
        <v>0.80492828422995799</v>
      </c>
      <c r="K56" s="6">
        <v>-0.12119459215707841</v>
      </c>
      <c r="L56" s="6">
        <v>-0.36811381414613809</v>
      </c>
      <c r="N56" s="8">
        <f>SQRT((C56-Sheet4!$C$525)^2+(D56-Sheet4!$D$525)^2+(E56-Sheet4!$E$525)^2+(F56-Sheet4!$F$525)^2+(G56-Sheet4!$G$525)^2+(H56-Sheet4!$H$525)^2+(I56-Sheet4!$I$525)^2+(J56-Sheet4!$J$525)^2+(K56-Sheet4!$K$525)^2+(L56-Sheet4!$L$525)^2)</f>
        <v>3.5547471594145406</v>
      </c>
      <c r="O56" s="8">
        <f>SQRT((C56-Sheet4!$C$526)^2+(D56-Sheet4!$D$526)^2+(E56-Sheet4!$E$526)^2+(F56-Sheet4!$F$526)^2+(G56-Sheet4!$G$526)^2+(H56-Sheet4!$H$526)^2+(I56-Sheet4!$I$526)^2+(J56-Sheet4!$J$526)^2+(K56-Sheet4!$K$526)^2+(L56-Sheet4!$L$526)^2)</f>
        <v>3.8395912544086257</v>
      </c>
      <c r="P56" s="12">
        <f t="shared" si="0"/>
        <v>0</v>
      </c>
      <c r="Q56" s="11">
        <f>IF(P56=Sheet1!$M56, 1, 0)</f>
        <v>1</v>
      </c>
    </row>
    <row r="57" spans="1:17" x14ac:dyDescent="0.35">
      <c r="A57" s="6" t="s">
        <v>36</v>
      </c>
      <c r="B57" s="6" t="s">
        <v>69</v>
      </c>
      <c r="C57" s="6">
        <v>0.56054212428279282</v>
      </c>
      <c r="D57" s="6">
        <v>0.11255773708010311</v>
      </c>
      <c r="E57" s="6">
        <v>-0.80706875276637213</v>
      </c>
      <c r="F57" s="6">
        <v>-4.8803663859537154E-2</v>
      </c>
      <c r="G57" s="6">
        <v>0.48290885185093779</v>
      </c>
      <c r="H57" s="6">
        <v>-1.7275210390296121</v>
      </c>
      <c r="I57" s="6">
        <v>-0.70294210784787048</v>
      </c>
      <c r="J57" s="6">
        <v>-9.8502059334084097E-2</v>
      </c>
      <c r="K57" s="6">
        <v>-1.0194478564486145</v>
      </c>
      <c r="L57" s="6">
        <v>-0.38540755506104418</v>
      </c>
      <c r="N57" s="8">
        <f>SQRT((C57-Sheet4!$C$525)^2+(D57-Sheet4!$D$525)^2+(E57-Sheet4!$E$525)^2+(F57-Sheet4!$F$525)^2+(G57-Sheet4!$G$525)^2+(H57-Sheet4!$H$525)^2+(I57-Sheet4!$I$525)^2+(J57-Sheet4!$J$525)^2+(K57-Sheet4!$K$525)^2+(L57-Sheet4!$L$525)^2)</f>
        <v>2.299890785671475</v>
      </c>
      <c r="O57" s="8">
        <f>SQRT((C57-Sheet4!$C$526)^2+(D57-Sheet4!$D$526)^2+(E57-Sheet4!$E$526)^2+(F57-Sheet4!$F$526)^2+(G57-Sheet4!$G$526)^2+(H57-Sheet4!$H$526)^2+(I57-Sheet4!$I$526)^2+(J57-Sheet4!$J$526)^2+(K57-Sheet4!$K$526)^2+(L57-Sheet4!$L$526)^2)</f>
        <v>4.2141415414179617</v>
      </c>
      <c r="P57" s="12">
        <f t="shared" si="0"/>
        <v>0</v>
      </c>
      <c r="Q57" s="11">
        <f>IF(P57=Sheet1!$M57, 1, 0)</f>
        <v>1</v>
      </c>
    </row>
    <row r="58" spans="1:17" x14ac:dyDescent="0.35">
      <c r="A58" s="6" t="s">
        <v>70</v>
      </c>
      <c r="B58" s="6" t="s">
        <v>71</v>
      </c>
      <c r="C58" s="6">
        <v>0.34447662075259461</v>
      </c>
      <c r="D58" s="6">
        <v>-0.75900645918581899</v>
      </c>
      <c r="E58" s="6">
        <v>-1.4749634510879008</v>
      </c>
      <c r="F58" s="6">
        <v>-1.3213917207851438</v>
      </c>
      <c r="G58" s="6">
        <v>-1.4305033668471197</v>
      </c>
      <c r="H58" s="6">
        <v>-0.33138066886165829</v>
      </c>
      <c r="I58" s="6">
        <v>-1.891871853359347</v>
      </c>
      <c r="J58" s="6">
        <v>-0.86148314780623725</v>
      </c>
      <c r="K58" s="6">
        <v>2.0508882141785536</v>
      </c>
      <c r="L58" s="6">
        <v>-0.39538657695607449</v>
      </c>
      <c r="N58" s="8">
        <f>SQRT((C58-Sheet4!$C$525)^2+(D58-Sheet4!$D$525)^2+(E58-Sheet4!$E$525)^2+(F58-Sheet4!$F$525)^2+(G58-Sheet4!$G$525)^2+(H58-Sheet4!$H$525)^2+(I58-Sheet4!$I$525)^2+(J58-Sheet4!$J$525)^2+(K58-Sheet4!$K$525)^2+(L58-Sheet4!$L$525)^2)</f>
        <v>3.1258852081030879</v>
      </c>
      <c r="O58" s="8">
        <f>SQRT((C58-Sheet4!$C$526)^2+(D58-Sheet4!$D$526)^2+(E58-Sheet4!$E$526)^2+(F58-Sheet4!$F$526)^2+(G58-Sheet4!$G$526)^2+(H58-Sheet4!$H$526)^2+(I58-Sheet4!$I$526)^2+(J58-Sheet4!$J$526)^2+(K58-Sheet4!$K$526)^2+(L58-Sheet4!$L$526)^2)</f>
        <v>6.43882037432091</v>
      </c>
      <c r="P58" s="12">
        <f t="shared" si="0"/>
        <v>0</v>
      </c>
      <c r="Q58" s="11">
        <f>IF(P58=Sheet1!$M58, 1, 0)</f>
        <v>1</v>
      </c>
    </row>
    <row r="59" spans="1:17" x14ac:dyDescent="0.35">
      <c r="A59" s="6" t="s">
        <v>70</v>
      </c>
      <c r="B59" s="6" t="s">
        <v>72</v>
      </c>
      <c r="C59" s="6">
        <v>-0.584202437898941</v>
      </c>
      <c r="D59" s="6">
        <v>-0.10226442397135649</v>
      </c>
      <c r="E59" s="6">
        <v>-0.38857543931173522</v>
      </c>
      <c r="F59" s="6">
        <v>1.5904203441765154E-2</v>
      </c>
      <c r="G59" s="6">
        <v>0.378382539448616</v>
      </c>
      <c r="H59" s="6">
        <v>-0.3125284647891739</v>
      </c>
      <c r="I59" s="6">
        <v>-0.56779298932324129</v>
      </c>
      <c r="J59" s="6">
        <v>0.34562126082134836</v>
      </c>
      <c r="K59" s="6">
        <v>-0.44982383519056662</v>
      </c>
      <c r="L59" s="6">
        <v>-0.25437004830966958</v>
      </c>
      <c r="N59" s="8">
        <f>SQRT((C59-Sheet4!$C$525)^2+(D59-Sheet4!$D$525)^2+(E59-Sheet4!$E$525)^2+(F59-Sheet4!$F$525)^2+(G59-Sheet4!$G$525)^2+(H59-Sheet4!$H$525)^2+(I59-Sheet4!$I$525)^2+(J59-Sheet4!$J$525)^2+(K59-Sheet4!$K$525)^2+(L59-Sheet4!$L$525)^2)</f>
        <v>1.5674322690624427</v>
      </c>
      <c r="O59" s="8">
        <f>SQRT((C59-Sheet4!$C$526)^2+(D59-Sheet4!$D$526)^2+(E59-Sheet4!$E$526)^2+(F59-Sheet4!$F$526)^2+(G59-Sheet4!$G$526)^2+(H59-Sheet4!$H$526)^2+(I59-Sheet4!$I$526)^2+(J59-Sheet4!$J$526)^2+(K59-Sheet4!$K$526)^2+(L59-Sheet4!$L$526)^2)</f>
        <v>2.9770149837600508</v>
      </c>
      <c r="P59" s="12">
        <f t="shared" si="0"/>
        <v>0</v>
      </c>
      <c r="Q59" s="11">
        <f>IF(P59=Sheet1!$M59, 1, 0)</f>
        <v>1</v>
      </c>
    </row>
    <row r="60" spans="1:17" x14ac:dyDescent="0.35">
      <c r="A60" s="6" t="s">
        <v>70</v>
      </c>
      <c r="B60" s="6" t="s">
        <v>73</v>
      </c>
      <c r="C60" s="6">
        <v>-0.5721242420494268</v>
      </c>
      <c r="D60" s="6">
        <v>-0.34777546517302454</v>
      </c>
      <c r="E60" s="6">
        <v>-4.0444998101671972E-2</v>
      </c>
      <c r="F60" s="6">
        <v>-0.1058082136249706</v>
      </c>
      <c r="G60" s="6">
        <v>-0.25167884364315446</v>
      </c>
      <c r="H60" s="6">
        <v>-1.5928624385118697</v>
      </c>
      <c r="I60" s="6">
        <v>-0.44921876269314226</v>
      </c>
      <c r="J60" s="6">
        <v>-0.14784909490690989</v>
      </c>
      <c r="K60" s="6">
        <v>0.27316049948310789</v>
      </c>
      <c r="L60" s="6">
        <v>-0.2474859338247771</v>
      </c>
      <c r="N60" s="8">
        <f>SQRT((C60-Sheet4!$C$525)^2+(D60-Sheet4!$D$525)^2+(E60-Sheet4!$E$525)^2+(F60-Sheet4!$F$525)^2+(G60-Sheet4!$G$525)^2+(H60-Sheet4!$H$525)^2+(I60-Sheet4!$I$525)^2+(J60-Sheet4!$J$525)^2+(K60-Sheet4!$K$525)^2+(L60-Sheet4!$L$525)^2)</f>
        <v>1.6716063854557588</v>
      </c>
      <c r="O60" s="8">
        <f>SQRT((C60-Sheet4!$C$526)^2+(D60-Sheet4!$D$526)^2+(E60-Sheet4!$E$526)^2+(F60-Sheet4!$F$526)^2+(G60-Sheet4!$G$526)^2+(H60-Sheet4!$H$526)^2+(I60-Sheet4!$I$526)^2+(J60-Sheet4!$J$526)^2+(K60-Sheet4!$K$526)^2+(L60-Sheet4!$L$526)^2)</f>
        <v>3.9197402361924905</v>
      </c>
      <c r="P60" s="12">
        <f t="shared" si="0"/>
        <v>0</v>
      </c>
      <c r="Q60" s="11">
        <f>IF(P60=Sheet1!$M60, 1, 0)</f>
        <v>1</v>
      </c>
    </row>
    <row r="61" spans="1:17" x14ac:dyDescent="0.35">
      <c r="A61" s="6" t="s">
        <v>70</v>
      </c>
      <c r="B61" s="6" t="s">
        <v>74</v>
      </c>
      <c r="C61" s="6">
        <v>-0.73450887513733976</v>
      </c>
      <c r="D61" s="6">
        <v>-0.19433106442198234</v>
      </c>
      <c r="E61" s="6">
        <v>2.3655210121133328E-2</v>
      </c>
      <c r="F61" s="6">
        <v>-0.31841977761496232</v>
      </c>
      <c r="G61" s="6">
        <v>-0.95723145235882978</v>
      </c>
      <c r="H61" s="6">
        <v>-0.24627643333444516</v>
      </c>
      <c r="I61" s="6">
        <v>-1.3398004541030795</v>
      </c>
      <c r="J61" s="6">
        <v>-0.5654009343692824</v>
      </c>
      <c r="K61" s="6">
        <v>9.319686639334139E-2</v>
      </c>
      <c r="L61" s="6">
        <v>-0.31490596669615539</v>
      </c>
      <c r="N61" s="8">
        <f>SQRT((C61-Sheet4!$C$525)^2+(D61-Sheet4!$D$525)^2+(E61-Sheet4!$E$525)^2+(F61-Sheet4!$F$525)^2+(G61-Sheet4!$G$525)^2+(H61-Sheet4!$H$525)^2+(I61-Sheet4!$I$525)^2+(J61-Sheet4!$J$525)^2+(K61-Sheet4!$K$525)^2+(L61-Sheet4!$L$525)^2)</f>
        <v>1.6735286584450093</v>
      </c>
      <c r="O61" s="8">
        <f>SQRT((C61-Sheet4!$C$526)^2+(D61-Sheet4!$D$526)^2+(E61-Sheet4!$E$526)^2+(F61-Sheet4!$F$526)^2+(G61-Sheet4!$G$526)^2+(H61-Sheet4!$H$526)^2+(I61-Sheet4!$I$526)^2+(J61-Sheet4!$J$526)^2+(K61-Sheet4!$K$526)^2+(L61-Sheet4!$L$526)^2)</f>
        <v>4.1322950060431802</v>
      </c>
      <c r="P61" s="12">
        <f t="shared" si="0"/>
        <v>0</v>
      </c>
      <c r="Q61" s="11">
        <f>IF(P61=Sheet1!$M61, 1, 0)</f>
        <v>1</v>
      </c>
    </row>
    <row r="62" spans="1:17" x14ac:dyDescent="0.35">
      <c r="A62" s="6" t="s">
        <v>70</v>
      </c>
      <c r="B62" s="6" t="s">
        <v>75</v>
      </c>
      <c r="C62" s="6">
        <v>-1.0378057931362517</v>
      </c>
      <c r="D62" s="6">
        <v>0.11255773708010311</v>
      </c>
      <c r="E62" s="6">
        <v>0.10728019441180461</v>
      </c>
      <c r="F62" s="6">
        <v>0.39028543568501156</v>
      </c>
      <c r="G62" s="6">
        <v>0.13448781050986786</v>
      </c>
      <c r="H62" s="6">
        <v>-1.2642954532485782</v>
      </c>
      <c r="I62" s="6">
        <v>8.6915240510692285E-2</v>
      </c>
      <c r="J62" s="6">
        <v>-0.16303279816008709</v>
      </c>
      <c r="K62" s="6">
        <v>-0.40444170162880033</v>
      </c>
      <c r="L62" s="6">
        <v>-0.25226675577805963</v>
      </c>
      <c r="N62" s="8">
        <f>SQRT((C62-Sheet4!$C$525)^2+(D62-Sheet4!$D$525)^2+(E62-Sheet4!$E$525)^2+(F62-Sheet4!$F$525)^2+(G62-Sheet4!$G$525)^2+(H62-Sheet4!$H$525)^2+(I62-Sheet4!$I$525)^2+(J62-Sheet4!$J$525)^2+(K62-Sheet4!$K$525)^2+(L62-Sheet4!$L$525)^2)</f>
        <v>2.1250498686532948</v>
      </c>
      <c r="O62" s="8">
        <f>SQRT((C62-Sheet4!$C$526)^2+(D62-Sheet4!$D$526)^2+(E62-Sheet4!$E$526)^2+(F62-Sheet4!$F$526)^2+(G62-Sheet4!$G$526)^2+(H62-Sheet4!$H$526)^2+(I62-Sheet4!$I$526)^2+(J62-Sheet4!$J$526)^2+(K62-Sheet4!$K$526)^2+(L62-Sheet4!$L$526)^2)</f>
        <v>3.0796556196825224</v>
      </c>
      <c r="P62" s="12">
        <f t="shared" si="0"/>
        <v>0</v>
      </c>
      <c r="Q62" s="11">
        <f>IF(P62=Sheet1!$M62, 1, 0)</f>
        <v>1</v>
      </c>
    </row>
    <row r="63" spans="1:17" x14ac:dyDescent="0.35">
      <c r="A63" s="6" t="s">
        <v>70</v>
      </c>
      <c r="B63" s="6" t="s">
        <v>76</v>
      </c>
      <c r="C63" s="6">
        <v>-0.67814396117294018</v>
      </c>
      <c r="D63" s="6">
        <v>-0.34163768914298293</v>
      </c>
      <c r="E63" s="6">
        <v>0.26716232296753739</v>
      </c>
      <c r="F63" s="6">
        <v>0.12837263946545741</v>
      </c>
      <c r="G63" s="6">
        <v>-0.19941568744199564</v>
      </c>
      <c r="H63" s="6">
        <v>-1.1495663256074615</v>
      </c>
      <c r="I63" s="6">
        <v>6.0777910984702935E-2</v>
      </c>
      <c r="J63" s="6">
        <v>1.2718271592651564</v>
      </c>
      <c r="K63" s="6">
        <v>-0.75497956086452123</v>
      </c>
      <c r="L63" s="6">
        <v>-0.20402375270661169</v>
      </c>
      <c r="N63" s="8">
        <f>SQRT((C63-Sheet4!$C$525)^2+(D63-Sheet4!$D$525)^2+(E63-Sheet4!$E$525)^2+(F63-Sheet4!$F$525)^2+(G63-Sheet4!$G$525)^2+(H63-Sheet4!$H$525)^2+(I63-Sheet4!$I$525)^2+(J63-Sheet4!$J$525)^2+(K63-Sheet4!$K$525)^2+(L63-Sheet4!$L$525)^2)</f>
        <v>2.479575018635352</v>
      </c>
      <c r="O63" s="8">
        <f>SQRT((C63-Sheet4!$C$526)^2+(D63-Sheet4!$D$526)^2+(E63-Sheet4!$E$526)^2+(F63-Sheet4!$F$526)^2+(G63-Sheet4!$G$526)^2+(H63-Sheet4!$H$526)^2+(I63-Sheet4!$I$526)^2+(J63-Sheet4!$J$526)^2+(K63-Sheet4!$K$526)^2+(L63-Sheet4!$L$526)^2)</f>
        <v>3.0343068685059023</v>
      </c>
      <c r="P63" s="12">
        <f t="shared" si="0"/>
        <v>0</v>
      </c>
      <c r="Q63" s="11">
        <f>IF(P63=Sheet1!$M63, 1, 0)</f>
        <v>1</v>
      </c>
    </row>
    <row r="64" spans="1:17" x14ac:dyDescent="0.35">
      <c r="A64" s="6" t="s">
        <v>70</v>
      </c>
      <c r="B64" s="6" t="s">
        <v>77</v>
      </c>
      <c r="C64" s="6">
        <v>-0.72779876633205409</v>
      </c>
      <c r="D64" s="6">
        <v>0.32737989813156382</v>
      </c>
      <c r="E64" s="6">
        <v>-0.24416577480978308</v>
      </c>
      <c r="F64" s="6">
        <v>0.40723273426392392</v>
      </c>
      <c r="G64" s="6">
        <v>0.83423340186985562</v>
      </c>
      <c r="H64" s="6">
        <v>2.5726604223432121E-3</v>
      </c>
      <c r="I64" s="6">
        <v>0.14811484135203332</v>
      </c>
      <c r="J64" s="6">
        <v>1.9201181156748245E-4</v>
      </c>
      <c r="K64" s="6">
        <v>-0.46547284676359124</v>
      </c>
      <c r="L64" s="6">
        <v>-0.1467784862607239</v>
      </c>
      <c r="N64" s="8">
        <f>SQRT((C64-Sheet4!$C$525)^2+(D64-Sheet4!$D$525)^2+(E64-Sheet4!$E$525)^2+(F64-Sheet4!$F$525)^2+(G64-Sheet4!$G$525)^2+(H64-Sheet4!$H$525)^2+(I64-Sheet4!$I$525)^2+(J64-Sheet4!$J$525)^2+(K64-Sheet4!$K$525)^2+(L64-Sheet4!$L$525)^2)</f>
        <v>2.0564011526871666</v>
      </c>
      <c r="O64" s="8">
        <f>SQRT((C64-Sheet4!$C$526)^2+(D64-Sheet4!$D$526)^2+(E64-Sheet4!$E$526)^2+(F64-Sheet4!$F$526)^2+(G64-Sheet4!$G$526)^2+(H64-Sheet4!$H$526)^2+(I64-Sheet4!$I$526)^2+(J64-Sheet4!$J$526)^2+(K64-Sheet4!$K$526)^2+(L64-Sheet4!$L$526)^2)</f>
        <v>2.3064617617557142</v>
      </c>
      <c r="P64" s="12">
        <f t="shared" si="0"/>
        <v>0</v>
      </c>
      <c r="Q64" s="11">
        <f>IF(P64=Sheet1!$M64, 1, 0)</f>
        <v>1</v>
      </c>
    </row>
    <row r="65" spans="1:17" x14ac:dyDescent="0.35">
      <c r="A65" s="6" t="s">
        <v>70</v>
      </c>
      <c r="B65" s="6" t="s">
        <v>78</v>
      </c>
      <c r="C65" s="6">
        <v>-0.66874980884554025</v>
      </c>
      <c r="D65" s="6">
        <v>-0.22501994457219024</v>
      </c>
      <c r="E65" s="6">
        <v>-0.24195542280210014</v>
      </c>
      <c r="F65" s="6">
        <v>-3.8019019309319002E-2</v>
      </c>
      <c r="G65" s="6">
        <v>5.3189567530283768E-2</v>
      </c>
      <c r="H65" s="6">
        <v>-1.1587231104426681</v>
      </c>
      <c r="I65" s="6">
        <v>-1.0331649540542749</v>
      </c>
      <c r="J65" s="6">
        <v>-1.0664631417241293</v>
      </c>
      <c r="K65" s="6">
        <v>0.29193931337073653</v>
      </c>
      <c r="L65" s="6">
        <v>-0.22009829020479904</v>
      </c>
      <c r="N65" s="8">
        <f>SQRT((C65-Sheet4!$C$525)^2+(D65-Sheet4!$D$525)^2+(E65-Sheet4!$E$525)^2+(F65-Sheet4!$F$525)^2+(G65-Sheet4!$G$525)^2+(H65-Sheet4!$H$525)^2+(I65-Sheet4!$I$525)^2+(J65-Sheet4!$J$525)^2+(K65-Sheet4!$K$525)^2+(L65-Sheet4!$L$525)^2)</f>
        <v>1.747943923195838</v>
      </c>
      <c r="O65" s="8">
        <f>SQRT((C65-Sheet4!$C$526)^2+(D65-Sheet4!$D$526)^2+(E65-Sheet4!$E$526)^2+(F65-Sheet4!$F$526)^2+(G65-Sheet4!$G$526)^2+(H65-Sheet4!$H$526)^2+(I65-Sheet4!$I$526)^2+(J65-Sheet4!$J$526)^2+(K65-Sheet4!$K$526)^2+(L65-Sheet4!$L$526)^2)</f>
        <v>4.2119044293695378</v>
      </c>
      <c r="P65" s="12">
        <f t="shared" si="0"/>
        <v>0</v>
      </c>
      <c r="Q65" s="11">
        <f>IF(P65=Sheet1!$M65, 1, 0)</f>
        <v>1</v>
      </c>
    </row>
    <row r="66" spans="1:17" x14ac:dyDescent="0.35">
      <c r="A66" s="6" t="s">
        <v>70</v>
      </c>
      <c r="B66" s="6" t="s">
        <v>79</v>
      </c>
      <c r="C66" s="6">
        <v>-0.64325139538545473</v>
      </c>
      <c r="D66" s="6">
        <v>-0.20660661648206549</v>
      </c>
      <c r="E66" s="6">
        <v>-0.69434080037454216</v>
      </c>
      <c r="F66" s="6">
        <v>-0.48635209989691341</v>
      </c>
      <c r="G66" s="6">
        <v>-0.6000998849842285</v>
      </c>
      <c r="H66" s="6">
        <v>-1.7205187918026899</v>
      </c>
      <c r="I66" s="6">
        <v>-0.1636206254335496</v>
      </c>
      <c r="J66" s="6">
        <v>-5.2950949574552521E-2</v>
      </c>
      <c r="K66" s="6">
        <v>-1.7911115775125219E-2</v>
      </c>
      <c r="L66" s="6">
        <v>-0.3266729335081815</v>
      </c>
      <c r="N66" s="8">
        <f>SQRT((C66-Sheet4!$C$525)^2+(D66-Sheet4!$D$525)^2+(E66-Sheet4!$E$525)^2+(F66-Sheet4!$F$525)^2+(G66-Sheet4!$G$525)^2+(H66-Sheet4!$H$525)^2+(I66-Sheet4!$I$525)^2+(J66-Sheet4!$J$525)^2+(K66-Sheet4!$K$525)^2+(L66-Sheet4!$L$525)^2)</f>
        <v>1.8270399274276816</v>
      </c>
      <c r="O66" s="8">
        <f>SQRT((C66-Sheet4!$C$526)^2+(D66-Sheet4!$D$526)^2+(E66-Sheet4!$E$526)^2+(F66-Sheet4!$F$526)^2+(G66-Sheet4!$G$526)^2+(H66-Sheet4!$H$526)^2+(I66-Sheet4!$I$526)^2+(J66-Sheet4!$J$526)^2+(K66-Sheet4!$K$526)^2+(L66-Sheet4!$L$526)^2)</f>
        <v>4.2929207921974148</v>
      </c>
      <c r="P66" s="12">
        <f t="shared" si="0"/>
        <v>0</v>
      </c>
      <c r="Q66" s="11">
        <f>IF(P66=Sheet1!$M66, 1, 0)</f>
        <v>1</v>
      </c>
    </row>
    <row r="67" spans="1:17" x14ac:dyDescent="0.35">
      <c r="A67" s="6" t="s">
        <v>70</v>
      </c>
      <c r="B67" s="6" t="s">
        <v>80</v>
      </c>
      <c r="C67" s="6">
        <v>-0.63788330834122631</v>
      </c>
      <c r="D67" s="6">
        <v>-7.1575543821147503E-2</v>
      </c>
      <c r="E67" s="6">
        <v>1.5550586092962542E-2</v>
      </c>
      <c r="F67" s="6">
        <v>-0.10734887713214306</v>
      </c>
      <c r="G67" s="6">
        <v>-0.47815252051485241</v>
      </c>
      <c r="H67" s="6">
        <v>-1.0035964026462287</v>
      </c>
      <c r="I67" s="6">
        <v>-0.26306997680072869</v>
      </c>
      <c r="J67" s="6">
        <v>-8.3318356080906902E-2</v>
      </c>
      <c r="K67" s="6">
        <v>0.41400160364031841</v>
      </c>
      <c r="L67" s="6">
        <v>-0.37411615886315913</v>
      </c>
      <c r="N67" s="8">
        <f>SQRT((C67-Sheet4!$C$525)^2+(D67-Sheet4!$D$525)^2+(E67-Sheet4!$E$525)^2+(F67-Sheet4!$F$525)^2+(G67-Sheet4!$G$525)^2+(H67-Sheet4!$H$525)^2+(I67-Sheet4!$I$525)^2+(J67-Sheet4!$J$525)^2+(K67-Sheet4!$K$525)^2+(L67-Sheet4!$L$525)^2)</f>
        <v>1.3659649230576141</v>
      </c>
      <c r="O67" s="8">
        <f>SQRT((C67-Sheet4!$C$526)^2+(D67-Sheet4!$D$526)^2+(E67-Sheet4!$E$526)^2+(F67-Sheet4!$F$526)^2+(G67-Sheet4!$G$526)^2+(H67-Sheet4!$H$526)^2+(I67-Sheet4!$I$526)^2+(J67-Sheet4!$J$526)^2+(K67-Sheet4!$K$526)^2+(L67-Sheet4!$L$526)^2)</f>
        <v>3.570949000515093</v>
      </c>
      <c r="P67" s="12">
        <f t="shared" ref="P67:P130" si="1">IF(N67&lt;=O67, 0, 1)</f>
        <v>0</v>
      </c>
      <c r="Q67" s="11">
        <f>IF(P67=Sheet1!$M67, 1, 0)</f>
        <v>1</v>
      </c>
    </row>
    <row r="68" spans="1:17" x14ac:dyDescent="0.35">
      <c r="A68" s="6" t="s">
        <v>70</v>
      </c>
      <c r="B68" s="6" t="s">
        <v>81</v>
      </c>
      <c r="C68" s="6">
        <v>-0.75195515803108248</v>
      </c>
      <c r="D68" s="6">
        <v>6.9593304869812064E-2</v>
      </c>
      <c r="E68" s="6">
        <v>0.36810173131839169</v>
      </c>
      <c r="F68" s="6">
        <v>0.28243899018284324</v>
      </c>
      <c r="G68" s="6">
        <v>0.54388253408562792</v>
      </c>
      <c r="H68" s="6">
        <v>0.29666704395309246</v>
      </c>
      <c r="I68" s="6">
        <v>-0.94774051121323644</v>
      </c>
      <c r="J68" s="6">
        <v>-2.2583543068198139E-2</v>
      </c>
      <c r="K68" s="6">
        <v>0.55953741126943612</v>
      </c>
      <c r="L68" s="6">
        <v>-0.2978454768693713</v>
      </c>
      <c r="N68" s="8">
        <f>SQRT((C68-Sheet4!$C$525)^2+(D68-Sheet4!$D$525)^2+(E68-Sheet4!$E$525)^2+(F68-Sheet4!$F$525)^2+(G68-Sheet4!$G$525)^2+(H68-Sheet4!$H$525)^2+(I68-Sheet4!$I$525)^2+(J68-Sheet4!$J$525)^2+(K68-Sheet4!$K$525)^2+(L68-Sheet4!$L$525)^2)</f>
        <v>1.9951930919381036</v>
      </c>
      <c r="O68" s="8">
        <f>SQRT((C68-Sheet4!$C$526)^2+(D68-Sheet4!$D$526)^2+(E68-Sheet4!$E$526)^2+(F68-Sheet4!$F$526)^2+(G68-Sheet4!$G$526)^2+(H68-Sheet4!$H$526)^2+(I68-Sheet4!$I$526)^2+(J68-Sheet4!$J$526)^2+(K68-Sheet4!$K$526)^2+(L68-Sheet4!$L$526)^2)</f>
        <v>2.9105292101406657</v>
      </c>
      <c r="P68" s="12">
        <f t="shared" si="1"/>
        <v>0</v>
      </c>
      <c r="Q68" s="11">
        <f>IF(P68=Sheet1!$M68, 1, 0)</f>
        <v>1</v>
      </c>
    </row>
    <row r="69" spans="1:17" x14ac:dyDescent="0.35">
      <c r="A69" s="6" t="s">
        <v>70</v>
      </c>
      <c r="B69" s="6" t="s">
        <v>82</v>
      </c>
      <c r="C69" s="6">
        <v>-0.63922533010228344</v>
      </c>
      <c r="D69" s="6">
        <v>-0.10226442397135649</v>
      </c>
      <c r="E69" s="6">
        <v>-0.455254391543504</v>
      </c>
      <c r="F69" s="6">
        <v>-0.17976006196931421</v>
      </c>
      <c r="G69" s="6">
        <v>-0.49847708125975049</v>
      </c>
      <c r="H69" s="6">
        <v>-0.37285551782112281</v>
      </c>
      <c r="I69" s="6">
        <v>-0.23374516806425297</v>
      </c>
      <c r="J69" s="6">
        <v>-1.499169144160971E-2</v>
      </c>
      <c r="K69" s="6">
        <v>-0.39661719584228688</v>
      </c>
      <c r="L69" s="6">
        <v>-0.21483930665511911</v>
      </c>
      <c r="N69" s="8">
        <f>SQRT((C69-Sheet4!$C$525)^2+(D69-Sheet4!$D$525)^2+(E69-Sheet4!$E$525)^2+(F69-Sheet4!$F$525)^2+(G69-Sheet4!$G$525)^2+(H69-Sheet4!$H$525)^2+(I69-Sheet4!$I$525)^2+(J69-Sheet4!$J$525)^2+(K69-Sheet4!$K$525)^2+(L69-Sheet4!$L$525)^2)</f>
        <v>1.1979723358760126</v>
      </c>
      <c r="O69" s="8">
        <f>SQRT((C69-Sheet4!$C$526)^2+(D69-Sheet4!$D$526)^2+(E69-Sheet4!$E$526)^2+(F69-Sheet4!$F$526)^2+(G69-Sheet4!$G$526)^2+(H69-Sheet4!$H$526)^2+(I69-Sheet4!$I$526)^2+(J69-Sheet4!$J$526)^2+(K69-Sheet4!$K$526)^2+(L69-Sheet4!$L$526)^2)</f>
        <v>3.3379617132190385</v>
      </c>
      <c r="P69" s="12">
        <f t="shared" si="1"/>
        <v>0</v>
      </c>
      <c r="Q69" s="11">
        <f>IF(P69=Sheet1!$M69, 1, 0)</f>
        <v>1</v>
      </c>
    </row>
    <row r="70" spans="1:17" x14ac:dyDescent="0.35">
      <c r="A70" s="6" t="s">
        <v>70</v>
      </c>
      <c r="B70" s="6" t="s">
        <v>83</v>
      </c>
      <c r="C70" s="6">
        <v>-0.98412492269396634</v>
      </c>
      <c r="D70" s="6">
        <v>1.9354772180024911</v>
      </c>
      <c r="E70" s="6">
        <v>1.5528504074364482</v>
      </c>
      <c r="F70" s="6">
        <v>1.9987381371745214</v>
      </c>
      <c r="G70" s="6">
        <v>1.1710404084995587</v>
      </c>
      <c r="H70" s="6">
        <v>0.1576993682187823</v>
      </c>
      <c r="I70" s="6">
        <v>0.66193649008246247</v>
      </c>
      <c r="J70" s="6">
        <v>3.1546063626591261</v>
      </c>
      <c r="K70" s="6">
        <v>-0.88956106039252147</v>
      </c>
      <c r="L70" s="6">
        <v>0.48609918582805522</v>
      </c>
      <c r="N70" s="8">
        <f>SQRT((C70-Sheet4!$C$525)^2+(D70-Sheet4!$D$525)^2+(E70-Sheet4!$E$525)^2+(F70-Sheet4!$F$525)^2+(G70-Sheet4!$G$525)^2+(H70-Sheet4!$H$525)^2+(I70-Sheet4!$I$525)^2+(J70-Sheet4!$J$525)^2+(K70-Sheet4!$K$525)^2+(L70-Sheet4!$L$525)^2)</f>
        <v>5.8114883561743902</v>
      </c>
      <c r="O70" s="8">
        <f>SQRT((C70-Sheet4!$C$526)^2+(D70-Sheet4!$D$526)^2+(E70-Sheet4!$E$526)^2+(F70-Sheet4!$F$526)^2+(G70-Sheet4!$G$526)^2+(H70-Sheet4!$H$526)^2+(I70-Sheet4!$I$526)^2+(J70-Sheet4!$J$526)^2+(K70-Sheet4!$K$526)^2+(L70-Sheet4!$L$526)^2)</f>
        <v>2.6054693695231608</v>
      </c>
      <c r="P70" s="12">
        <f t="shared" si="1"/>
        <v>1</v>
      </c>
      <c r="Q70" s="11">
        <f>IF(P70=Sheet1!$M70, 1, 0)</f>
        <v>0</v>
      </c>
    </row>
    <row r="71" spans="1:17" x14ac:dyDescent="0.35">
      <c r="A71" s="6" t="s">
        <v>70</v>
      </c>
      <c r="B71" s="6" t="s">
        <v>84</v>
      </c>
      <c r="C71" s="6">
        <v>-1.2283728832063643</v>
      </c>
      <c r="D71" s="6">
        <v>1.5978995363501967</v>
      </c>
      <c r="E71" s="6">
        <v>0.6790245803991255</v>
      </c>
      <c r="F71" s="6">
        <v>1.3069802224534577</v>
      </c>
      <c r="G71" s="6">
        <v>1.1826544432109296</v>
      </c>
      <c r="H71" s="6">
        <v>0.76474033935276597</v>
      </c>
      <c r="I71" s="6">
        <v>0.72759856181848515</v>
      </c>
      <c r="J71" s="6">
        <v>3.4355344131216416E-2</v>
      </c>
      <c r="K71" s="6">
        <v>-0.462343044448985</v>
      </c>
      <c r="L71" s="6">
        <v>-0.39757472415657846</v>
      </c>
      <c r="N71" s="8">
        <f>SQRT((C71-Sheet4!$C$525)^2+(D71-Sheet4!$D$525)^2+(E71-Sheet4!$E$525)^2+(F71-Sheet4!$F$525)^2+(G71-Sheet4!$G$525)^2+(H71-Sheet4!$H$525)^2+(I71-Sheet4!$I$525)^2+(J71-Sheet4!$J$525)^2+(K71-Sheet4!$K$525)^2+(L71-Sheet4!$L$525)^2)</f>
        <v>3.8656895369074364</v>
      </c>
      <c r="O71" s="8">
        <f>SQRT((C71-Sheet4!$C$526)^2+(D71-Sheet4!$D$526)^2+(E71-Sheet4!$E$526)^2+(F71-Sheet4!$F$526)^2+(G71-Sheet4!$G$526)^2+(H71-Sheet4!$H$526)^2+(I71-Sheet4!$I$526)^2+(J71-Sheet4!$J$526)^2+(K71-Sheet4!$K$526)^2+(L71-Sheet4!$L$526)^2)</f>
        <v>1.7676817975564258</v>
      </c>
      <c r="P71" s="12">
        <f t="shared" si="1"/>
        <v>1</v>
      </c>
      <c r="Q71" s="11">
        <f>IF(P71=Sheet1!$M71, 1, 0)</f>
        <v>0</v>
      </c>
    </row>
    <row r="72" spans="1:17" x14ac:dyDescent="0.35">
      <c r="A72" s="6" t="s">
        <v>70</v>
      </c>
      <c r="B72" s="6" t="s">
        <v>85</v>
      </c>
      <c r="C72" s="6">
        <v>-1.3276824935245923</v>
      </c>
      <c r="D72" s="6">
        <v>1.1559796621871943</v>
      </c>
      <c r="E72" s="6">
        <v>-4.7812838127281779E-2</v>
      </c>
      <c r="F72" s="6">
        <v>0.45499330298631385</v>
      </c>
      <c r="G72" s="6">
        <v>0.12868079315418032</v>
      </c>
      <c r="H72" s="6">
        <v>0.4981163103276357</v>
      </c>
      <c r="I72" s="6">
        <v>0.19975200456191528</v>
      </c>
      <c r="J72" s="6">
        <v>0.50125421916641455</v>
      </c>
      <c r="K72" s="6">
        <v>-0.22134826622442755</v>
      </c>
      <c r="L72" s="6">
        <v>-0.39981546411788171</v>
      </c>
      <c r="N72" s="8">
        <f>SQRT((C72-Sheet4!$C$525)^2+(D72-Sheet4!$D$525)^2+(E72-Sheet4!$E$525)^2+(F72-Sheet4!$F$525)^2+(G72-Sheet4!$G$525)^2+(H72-Sheet4!$H$525)^2+(I72-Sheet4!$I$525)^2+(J72-Sheet4!$J$525)^2+(K72-Sheet4!$K$525)^2+(L72-Sheet4!$L$525)^2)</f>
        <v>2.7486267143045748</v>
      </c>
      <c r="O72" s="8">
        <f>SQRT((C72-Sheet4!$C$526)^2+(D72-Sheet4!$D$526)^2+(E72-Sheet4!$E$526)^2+(F72-Sheet4!$F$526)^2+(G72-Sheet4!$G$526)^2+(H72-Sheet4!$H$526)^2+(I72-Sheet4!$I$526)^2+(J72-Sheet4!$J$526)^2+(K72-Sheet4!$K$526)^2+(L72-Sheet4!$L$526)^2)</f>
        <v>2.143835321811105</v>
      </c>
      <c r="P72" s="12">
        <f t="shared" si="1"/>
        <v>1</v>
      </c>
      <c r="Q72" s="11">
        <f>IF(P72=Sheet1!$M72, 1, 0)</f>
        <v>0</v>
      </c>
    </row>
    <row r="73" spans="1:17" x14ac:dyDescent="0.35">
      <c r="A73" s="6" t="s">
        <v>70</v>
      </c>
      <c r="B73" s="6" t="s">
        <v>86</v>
      </c>
      <c r="C73" s="6">
        <v>-0.85260679011036744</v>
      </c>
      <c r="D73" s="6">
        <v>1.9600283221226587</v>
      </c>
      <c r="E73" s="6">
        <v>0.15811829058851226</v>
      </c>
      <c r="F73" s="6">
        <v>1.2391910281378082</v>
      </c>
      <c r="G73" s="6">
        <v>0.91843515352727934</v>
      </c>
      <c r="H73" s="6">
        <v>-0.22419242284953481</v>
      </c>
      <c r="I73" s="6">
        <v>0.84872277181697375</v>
      </c>
      <c r="J73" s="6">
        <v>-6.0542801201140951E-2</v>
      </c>
      <c r="K73" s="6">
        <v>-0.5515424104152189</v>
      </c>
      <c r="L73" s="6">
        <v>-0.40395418216200102</v>
      </c>
      <c r="N73" s="8">
        <f>SQRT((C73-Sheet4!$C$525)^2+(D73-Sheet4!$D$525)^2+(E73-Sheet4!$E$525)^2+(F73-Sheet4!$F$525)^2+(G73-Sheet4!$G$525)^2+(H73-Sheet4!$H$525)^2+(I73-Sheet4!$I$525)^2+(J73-Sheet4!$J$525)^2+(K73-Sheet4!$K$525)^2+(L73-Sheet4!$L$525)^2)</f>
        <v>3.612020421218392</v>
      </c>
      <c r="O73" s="8">
        <f>SQRT((C73-Sheet4!$C$526)^2+(D73-Sheet4!$D$526)^2+(E73-Sheet4!$E$526)^2+(F73-Sheet4!$F$526)^2+(G73-Sheet4!$G$526)^2+(H73-Sheet4!$H$526)^2+(I73-Sheet4!$I$526)^2+(J73-Sheet4!$J$526)^2+(K73-Sheet4!$K$526)^2+(L73-Sheet4!$L$526)^2)</f>
        <v>2.2325370654063454</v>
      </c>
      <c r="P73" s="12">
        <f t="shared" si="1"/>
        <v>1</v>
      </c>
      <c r="Q73" s="11">
        <f>IF(P73=Sheet1!$M73, 1, 0)</f>
        <v>0</v>
      </c>
    </row>
    <row r="74" spans="1:17" x14ac:dyDescent="0.35">
      <c r="A74" s="6" t="s">
        <v>70</v>
      </c>
      <c r="B74" s="6" t="s">
        <v>87</v>
      </c>
      <c r="C74" s="6">
        <v>-0.9572844874728238</v>
      </c>
      <c r="D74" s="6">
        <v>1.7820328172514484</v>
      </c>
      <c r="E74" s="6">
        <v>1.1074644778883356</v>
      </c>
      <c r="F74" s="6">
        <v>1.6597921655962722</v>
      </c>
      <c r="G74" s="6">
        <v>1.4062246114047838</v>
      </c>
      <c r="H74" s="6">
        <v>0.68556108224833345</v>
      </c>
      <c r="I74" s="6">
        <v>0.75947335392335047</v>
      </c>
      <c r="J74" s="6">
        <v>0.39117237058087995</v>
      </c>
      <c r="K74" s="6">
        <v>-0.31993703913447358</v>
      </c>
      <c r="L74" s="6">
        <v>-0.32807158334116754</v>
      </c>
      <c r="N74" s="8">
        <f>SQRT((C74-Sheet4!$C$525)^2+(D74-Sheet4!$D$525)^2+(E74-Sheet4!$E$525)^2+(F74-Sheet4!$F$525)^2+(G74-Sheet4!$G$525)^2+(H74-Sheet4!$H$525)^2+(I74-Sheet4!$I$525)^2+(J74-Sheet4!$J$525)^2+(K74-Sheet4!$K$525)^2+(L74-Sheet4!$L$525)^2)</f>
        <v>4.2759231272296825</v>
      </c>
      <c r="O74" s="8">
        <f>SQRT((C74-Sheet4!$C$526)^2+(D74-Sheet4!$D$526)^2+(E74-Sheet4!$E$526)^2+(F74-Sheet4!$F$526)^2+(G74-Sheet4!$G$526)^2+(H74-Sheet4!$H$526)^2+(I74-Sheet4!$I$526)^2+(J74-Sheet4!$J$526)^2+(K74-Sheet4!$K$526)^2+(L74-Sheet4!$L$526)^2)</f>
        <v>1.6425509393742375</v>
      </c>
      <c r="P74" s="12">
        <f t="shared" si="1"/>
        <v>1</v>
      </c>
      <c r="Q74" s="11">
        <f>IF(P74=Sheet1!$M74, 1, 0)</f>
        <v>0</v>
      </c>
    </row>
    <row r="75" spans="1:17" x14ac:dyDescent="0.35">
      <c r="A75" s="6" t="s">
        <v>70</v>
      </c>
      <c r="B75" s="6" t="s">
        <v>88</v>
      </c>
      <c r="C75" s="6">
        <v>-0.82039826784499625</v>
      </c>
      <c r="D75" s="6">
        <v>1.4567306876592383</v>
      </c>
      <c r="E75" s="6">
        <v>1.1023069898704088</v>
      </c>
      <c r="F75" s="6">
        <v>1.4102046774341064</v>
      </c>
      <c r="G75" s="6">
        <v>1.2145930386671946</v>
      </c>
      <c r="H75" s="6">
        <v>0.66186116855721011</v>
      </c>
      <c r="I75" s="6">
        <v>0.91119736434251009</v>
      </c>
      <c r="J75" s="6">
        <v>0.53541755148606307</v>
      </c>
      <c r="K75" s="6">
        <v>0.35453535966283062</v>
      </c>
      <c r="L75" s="6">
        <v>-0.36340930079930733</v>
      </c>
      <c r="N75" s="8">
        <f>SQRT((C75-Sheet4!$C$525)^2+(D75-Sheet4!$D$525)^2+(E75-Sheet4!$E$525)^2+(F75-Sheet4!$F$525)^2+(G75-Sheet4!$G$525)^2+(H75-Sheet4!$H$525)^2+(I75-Sheet4!$I$525)^2+(J75-Sheet4!$J$525)^2+(K75-Sheet4!$K$525)^2+(L75-Sheet4!$L$525)^2)</f>
        <v>3.9191951960680562</v>
      </c>
      <c r="O75" s="8">
        <f>SQRT((C75-Sheet4!$C$526)^2+(D75-Sheet4!$D$526)^2+(E75-Sheet4!$E$526)^2+(F75-Sheet4!$F$526)^2+(G75-Sheet4!$G$526)^2+(H75-Sheet4!$H$526)^2+(I75-Sheet4!$I$526)^2+(J75-Sheet4!$J$526)^2+(K75-Sheet4!$K$526)^2+(L75-Sheet4!$L$526)^2)</f>
        <v>1.6148321385561488</v>
      </c>
      <c r="P75" s="12">
        <f t="shared" si="1"/>
        <v>1</v>
      </c>
      <c r="Q75" s="11">
        <f>IF(P75=Sheet1!$M75, 1, 0)</f>
        <v>0</v>
      </c>
    </row>
    <row r="76" spans="1:17" x14ac:dyDescent="0.35">
      <c r="A76" s="6" t="s">
        <v>70</v>
      </c>
      <c r="B76" s="6" t="s">
        <v>89</v>
      </c>
      <c r="C76" s="6">
        <v>-1.0592781413131658</v>
      </c>
      <c r="D76" s="6">
        <v>1.3708018232386538</v>
      </c>
      <c r="E76" s="6">
        <v>0.91847938123144413</v>
      </c>
      <c r="F76" s="6">
        <v>1.1005313124921601</v>
      </c>
      <c r="G76" s="6">
        <v>0.20997903613376442</v>
      </c>
      <c r="H76" s="6">
        <v>0.12699720730073738</v>
      </c>
      <c r="I76" s="6">
        <v>0.80027308781757811</v>
      </c>
      <c r="J76" s="6">
        <v>0.39117237058087995</v>
      </c>
      <c r="K76" s="6">
        <v>-1.0585703853811728</v>
      </c>
      <c r="L76" s="6">
        <v>-0.38226283392752713</v>
      </c>
      <c r="N76" s="8">
        <f>SQRT((C76-Sheet4!$C$525)^2+(D76-Sheet4!$D$525)^2+(E76-Sheet4!$E$525)^2+(F76-Sheet4!$F$525)^2+(G76-Sheet4!$G$525)^2+(H76-Sheet4!$H$525)^2+(I76-Sheet4!$I$525)^2+(J76-Sheet4!$J$525)^2+(K76-Sheet4!$K$525)^2+(L76-Sheet4!$L$525)^2)</f>
        <v>3.5249836829498076</v>
      </c>
      <c r="O76" s="8">
        <f>SQRT((C76-Sheet4!$C$526)^2+(D76-Sheet4!$D$526)^2+(E76-Sheet4!$E$526)^2+(F76-Sheet4!$F$526)^2+(G76-Sheet4!$G$526)^2+(H76-Sheet4!$H$526)^2+(I76-Sheet4!$I$526)^2+(J76-Sheet4!$J$526)^2+(K76-Sheet4!$K$526)^2+(L76-Sheet4!$L$526)^2)</f>
        <v>1.6695372185759376</v>
      </c>
      <c r="P76" s="12">
        <f t="shared" si="1"/>
        <v>1</v>
      </c>
      <c r="Q76" s="11">
        <f>IF(P76=Sheet1!$M76, 1, 0)</f>
        <v>0</v>
      </c>
    </row>
    <row r="77" spans="1:17" x14ac:dyDescent="0.35">
      <c r="A77" s="6" t="s">
        <v>90</v>
      </c>
      <c r="B77" s="6" t="s">
        <v>91</v>
      </c>
      <c r="C77" s="6">
        <v>-0.44329015298794194</v>
      </c>
      <c r="D77" s="6">
        <v>0.19234882547064583</v>
      </c>
      <c r="E77" s="6">
        <v>-5.8161499813058903E-3</v>
      </c>
      <c r="F77" s="6">
        <v>0.10372202335067403</v>
      </c>
      <c r="G77" s="6">
        <v>-0.30684550852216119</v>
      </c>
      <c r="H77" s="6">
        <v>0.58052737384449415</v>
      </c>
      <c r="I77" s="6">
        <v>4.1015539879686293E-2</v>
      </c>
      <c r="J77" s="6">
        <v>-1.1385857321767208</v>
      </c>
      <c r="K77" s="6">
        <v>-0.38253308542656761</v>
      </c>
      <c r="L77" s="6">
        <v>5.694794115033381E-2</v>
      </c>
      <c r="N77" s="8">
        <f>SQRT((C77-Sheet4!$C$525)^2+(D77-Sheet4!$D$525)^2+(E77-Sheet4!$E$525)^2+(F77-Sheet4!$F$525)^2+(G77-Sheet4!$G$525)^2+(H77-Sheet4!$H$525)^2+(I77-Sheet4!$I$525)^2+(J77-Sheet4!$J$525)^2+(K77-Sheet4!$K$525)^2+(L77-Sheet4!$L$525)^2)</f>
        <v>1.7165747895663386</v>
      </c>
      <c r="O77" s="8">
        <f>SQRT((C77-Sheet4!$C$526)^2+(D77-Sheet4!$D$526)^2+(E77-Sheet4!$E$526)^2+(F77-Sheet4!$F$526)^2+(G77-Sheet4!$G$526)^2+(H77-Sheet4!$H$526)^2+(I77-Sheet4!$I$526)^2+(J77-Sheet4!$J$526)^2+(K77-Sheet4!$K$526)^2+(L77-Sheet4!$L$526)^2)</f>
        <v>3.167790295342142</v>
      </c>
      <c r="P77" s="12">
        <f t="shared" si="1"/>
        <v>0</v>
      </c>
      <c r="Q77" s="11">
        <f>IF(P77=Sheet1!$M77, 1, 0)</f>
        <v>1</v>
      </c>
    </row>
    <row r="78" spans="1:17" x14ac:dyDescent="0.35">
      <c r="A78" s="6" t="s">
        <v>90</v>
      </c>
      <c r="B78" s="6" t="s">
        <v>92</v>
      </c>
      <c r="C78" s="6">
        <v>-0.81771422432288199</v>
      </c>
      <c r="D78" s="6">
        <v>-2.8611111610855368E-2</v>
      </c>
      <c r="E78" s="6">
        <v>-2.3867358044049911E-2</v>
      </c>
      <c r="F78" s="6">
        <v>1.2822876427418053E-2</v>
      </c>
      <c r="G78" s="6">
        <v>0.17513693199965991</v>
      </c>
      <c r="H78" s="6">
        <v>0.30259202237587313</v>
      </c>
      <c r="I78" s="6">
        <v>-1.2939007534720735</v>
      </c>
      <c r="J78" s="6">
        <v>-0.6602990797016397</v>
      </c>
      <c r="K78" s="6">
        <v>-0.15875221993233349</v>
      </c>
      <c r="L78" s="6">
        <v>0.19249453014335188</v>
      </c>
      <c r="N78" s="8">
        <f>SQRT((C78-Sheet4!$C$525)^2+(D78-Sheet4!$D$525)^2+(E78-Sheet4!$E$525)^2+(F78-Sheet4!$F$525)^2+(G78-Sheet4!$G$525)^2+(H78-Sheet4!$H$525)^2+(I78-Sheet4!$I$525)^2+(J78-Sheet4!$J$525)^2+(K78-Sheet4!$K$525)^2+(L78-Sheet4!$L$525)^2)</f>
        <v>1.8815659707402619</v>
      </c>
      <c r="O78" s="8">
        <f>SQRT((C78-Sheet4!$C$526)^2+(D78-Sheet4!$D$526)^2+(E78-Sheet4!$E$526)^2+(F78-Sheet4!$F$526)^2+(G78-Sheet4!$G$526)^2+(H78-Sheet4!$H$526)^2+(I78-Sheet4!$I$526)^2+(J78-Sheet4!$J$526)^2+(K78-Sheet4!$K$526)^2+(L78-Sheet4!$L$526)^2)</f>
        <v>3.4009248754786463</v>
      </c>
      <c r="P78" s="12">
        <f t="shared" si="1"/>
        <v>0</v>
      </c>
      <c r="Q78" s="11">
        <f>IF(P78=Sheet1!$M78, 1, 0)</f>
        <v>1</v>
      </c>
    </row>
    <row r="79" spans="1:17" x14ac:dyDescent="0.35">
      <c r="A79" s="6" t="s">
        <v>90</v>
      </c>
      <c r="B79" s="6" t="s">
        <v>93</v>
      </c>
      <c r="C79" s="6">
        <v>-0.81771422432288199</v>
      </c>
      <c r="D79" s="6">
        <v>-0.73445535506565218</v>
      </c>
      <c r="E79" s="6">
        <v>-0.13991083844740435</v>
      </c>
      <c r="F79" s="6">
        <v>-0.50792138899734751</v>
      </c>
      <c r="G79" s="6">
        <v>-0.48686304654837959</v>
      </c>
      <c r="H79" s="6">
        <v>-1.4845969236956047</v>
      </c>
      <c r="I79" s="6">
        <v>0.28453895156085696</v>
      </c>
      <c r="J79" s="6">
        <v>-0.91083018337906307</v>
      </c>
      <c r="K79" s="6">
        <v>-0.14153830720200797</v>
      </c>
      <c r="L79" s="6">
        <v>0.52148086640447944</v>
      </c>
      <c r="N79" s="8">
        <f>SQRT((C79-Sheet4!$C$525)^2+(D79-Sheet4!$D$525)^2+(E79-Sheet4!$E$525)^2+(F79-Sheet4!$F$525)^2+(G79-Sheet4!$G$525)^2+(H79-Sheet4!$H$525)^2+(I79-Sheet4!$I$525)^2+(J79-Sheet4!$J$525)^2+(K79-Sheet4!$K$525)^2+(L79-Sheet4!$L$525)^2)</f>
        <v>2.0371329425492326</v>
      </c>
      <c r="O79" s="8">
        <f>SQRT((C79-Sheet4!$C$526)^2+(D79-Sheet4!$D$526)^2+(E79-Sheet4!$E$526)^2+(F79-Sheet4!$F$526)^2+(G79-Sheet4!$G$526)^2+(H79-Sheet4!$H$526)^2+(I79-Sheet4!$I$526)^2+(J79-Sheet4!$J$526)^2+(K79-Sheet4!$K$526)^2+(L79-Sheet4!$L$526)^2)</f>
        <v>4.2487626263281095</v>
      </c>
      <c r="P79" s="12">
        <f t="shared" si="1"/>
        <v>0</v>
      </c>
      <c r="Q79" s="11">
        <f>IF(P79=Sheet1!$M79, 1, 0)</f>
        <v>1</v>
      </c>
    </row>
    <row r="80" spans="1:17" x14ac:dyDescent="0.35">
      <c r="A80" s="6" t="s">
        <v>90</v>
      </c>
      <c r="B80" s="6" t="s">
        <v>94</v>
      </c>
      <c r="C80" s="6">
        <v>-0.35471671675817124</v>
      </c>
      <c r="D80" s="6">
        <v>0.16165994532043684</v>
      </c>
      <c r="E80" s="6">
        <v>0.49630214776400228</v>
      </c>
      <c r="F80" s="6">
        <v>0.33174022241240564</v>
      </c>
      <c r="G80" s="6">
        <v>0.45968078242820004</v>
      </c>
      <c r="H80" s="6">
        <v>0.2115628084258793</v>
      </c>
      <c r="I80" s="6">
        <v>-9.7321057855429327E-2</v>
      </c>
      <c r="J80" s="6">
        <v>-1.0322998094044806</v>
      </c>
      <c r="K80" s="6">
        <v>-4.4514435449262854E-2</v>
      </c>
      <c r="L80" s="6">
        <v>0.30453932205030315</v>
      </c>
      <c r="N80" s="8">
        <f>SQRT((C80-Sheet4!$C$525)^2+(D80-Sheet4!$D$525)^2+(E80-Sheet4!$E$525)^2+(F80-Sheet4!$F$525)^2+(G80-Sheet4!$G$525)^2+(H80-Sheet4!$H$525)^2+(I80-Sheet4!$I$525)^2+(J80-Sheet4!$J$525)^2+(K80-Sheet4!$K$525)^2+(L80-Sheet4!$L$525)^2)</f>
        <v>1.8881349561799226</v>
      </c>
      <c r="O80" s="8">
        <f>SQRT((C80-Sheet4!$C$526)^2+(D80-Sheet4!$D$526)^2+(E80-Sheet4!$E$526)^2+(F80-Sheet4!$F$526)^2+(G80-Sheet4!$G$526)^2+(H80-Sheet4!$H$526)^2+(I80-Sheet4!$I$526)^2+(J80-Sheet4!$J$526)^2+(K80-Sheet4!$K$526)^2+(L80-Sheet4!$L$526)^2)</f>
        <v>2.7572150916255809</v>
      </c>
      <c r="P80" s="12">
        <f t="shared" si="1"/>
        <v>0</v>
      </c>
      <c r="Q80" s="11">
        <f>IF(P80=Sheet1!$M80, 1, 0)</f>
        <v>1</v>
      </c>
    </row>
    <row r="81" spans="1:17" x14ac:dyDescent="0.35">
      <c r="A81" s="6" t="s">
        <v>90</v>
      </c>
      <c r="B81" s="6" t="s">
        <v>95</v>
      </c>
      <c r="C81" s="6">
        <v>-0.95191640042859527</v>
      </c>
      <c r="D81" s="6">
        <v>0.87364196480527523</v>
      </c>
      <c r="E81" s="6">
        <v>0.54603506793686851</v>
      </c>
      <c r="F81" s="6">
        <v>0.62446628877543953</v>
      </c>
      <c r="G81" s="6">
        <v>0.42774218697193517</v>
      </c>
      <c r="H81" s="6">
        <v>0.98073273458322441</v>
      </c>
      <c r="I81" s="6">
        <v>0.50957498382120625</v>
      </c>
      <c r="J81" s="6">
        <v>-0.27311464674562164</v>
      </c>
      <c r="K81" s="6">
        <v>-0.74715505507801006</v>
      </c>
      <c r="L81" s="6">
        <v>0.68074315478483682</v>
      </c>
      <c r="N81" s="8">
        <f>SQRT((C81-Sheet4!$C$525)^2+(D81-Sheet4!$D$525)^2+(E81-Sheet4!$E$525)^2+(F81-Sheet4!$F$525)^2+(G81-Sheet4!$G$525)^2+(H81-Sheet4!$H$525)^2+(I81-Sheet4!$I$525)^2+(J81-Sheet4!$J$525)^2+(K81-Sheet4!$K$525)^2+(L81-Sheet4!$L$525)^2)</f>
        <v>3.0441924129175928</v>
      </c>
      <c r="O81" s="8">
        <f>SQRT((C81-Sheet4!$C$526)^2+(D81-Sheet4!$D$526)^2+(E81-Sheet4!$E$526)^2+(F81-Sheet4!$F$526)^2+(G81-Sheet4!$G$526)^2+(H81-Sheet4!$H$526)^2+(I81-Sheet4!$I$526)^2+(J81-Sheet4!$J$526)^2+(K81-Sheet4!$K$526)^2+(L81-Sheet4!$L$526)^2)</f>
        <v>1.6747631107759959</v>
      </c>
      <c r="P81" s="12">
        <f t="shared" si="1"/>
        <v>1</v>
      </c>
      <c r="Q81" s="11">
        <f>IF(P81=Sheet1!$M81, 1, 0)</f>
        <v>0</v>
      </c>
    </row>
    <row r="82" spans="1:17" x14ac:dyDescent="0.35">
      <c r="A82" s="6" t="s">
        <v>90</v>
      </c>
      <c r="B82" s="6" t="s">
        <v>96</v>
      </c>
      <c r="C82" s="6">
        <v>-0.59762265550951221</v>
      </c>
      <c r="D82" s="6">
        <v>0.51151317903281446</v>
      </c>
      <c r="E82" s="6">
        <v>0.19643105872168323</v>
      </c>
      <c r="F82" s="6">
        <v>0.47656259208674795</v>
      </c>
      <c r="G82" s="6">
        <v>0.34063692663666773</v>
      </c>
      <c r="H82" s="6">
        <v>0.66886341578413333</v>
      </c>
      <c r="I82" s="6">
        <v>0.33617611477073894</v>
      </c>
      <c r="J82" s="6">
        <v>-0.29968612743868184</v>
      </c>
      <c r="K82" s="6">
        <v>-1.002233943718289</v>
      </c>
      <c r="L82" s="6">
        <v>0.6525994249314363</v>
      </c>
      <c r="N82" s="8">
        <f>SQRT((C82-Sheet4!$C$525)^2+(D82-Sheet4!$D$525)^2+(E82-Sheet4!$E$525)^2+(F82-Sheet4!$F$525)^2+(G82-Sheet4!$G$525)^2+(H82-Sheet4!$H$525)^2+(I82-Sheet4!$I$525)^2+(J82-Sheet4!$J$525)^2+(K82-Sheet4!$K$525)^2+(L82-Sheet4!$L$525)^2)</f>
        <v>2.5378513943064371</v>
      </c>
      <c r="O82" s="8">
        <f>SQRT((C82-Sheet4!$C$526)^2+(D82-Sheet4!$D$526)^2+(E82-Sheet4!$E$526)^2+(F82-Sheet4!$F$526)^2+(G82-Sheet4!$G$526)^2+(H82-Sheet4!$H$526)^2+(I82-Sheet4!$I$526)^2+(J82-Sheet4!$J$526)^2+(K82-Sheet4!$K$526)^2+(L82-Sheet4!$L$526)^2)</f>
        <v>1.9859812968519548</v>
      </c>
      <c r="P82" s="12">
        <f t="shared" si="1"/>
        <v>1</v>
      </c>
      <c r="Q82" s="11">
        <f>IF(P82=Sheet1!$M82, 1, 0)</f>
        <v>0</v>
      </c>
    </row>
    <row r="83" spans="1:17" x14ac:dyDescent="0.35">
      <c r="A83" s="6" t="s">
        <v>90</v>
      </c>
      <c r="B83" s="6" t="s">
        <v>97</v>
      </c>
      <c r="C83" s="6">
        <v>-0.25138104115677207</v>
      </c>
      <c r="D83" s="6">
        <v>6.3455528839769404E-2</v>
      </c>
      <c r="E83" s="6">
        <v>-0.33847412713758857</v>
      </c>
      <c r="F83" s="6">
        <v>-3.9559682816493649E-2</v>
      </c>
      <c r="G83" s="6">
        <v>0.15190886257692218</v>
      </c>
      <c r="H83" s="6">
        <v>0.62738856682466804</v>
      </c>
      <c r="I83" s="6">
        <v>0.44837538297986518</v>
      </c>
      <c r="J83" s="6">
        <v>-1.0664631417241293</v>
      </c>
      <c r="K83" s="6">
        <v>-0.46390794560628812</v>
      </c>
      <c r="L83" s="6">
        <v>0.10005350699294799</v>
      </c>
      <c r="N83" s="8">
        <f>SQRT((C83-Sheet4!$C$525)^2+(D83-Sheet4!$D$525)^2+(E83-Sheet4!$E$525)^2+(F83-Sheet4!$F$525)^2+(G83-Sheet4!$G$525)^2+(H83-Sheet4!$H$525)^2+(I83-Sheet4!$I$525)^2+(J83-Sheet4!$J$525)^2+(K83-Sheet4!$K$525)^2+(L83-Sheet4!$L$525)^2)</f>
        <v>1.7458719183460991</v>
      </c>
      <c r="O83" s="8">
        <f>SQRT((C83-Sheet4!$C$526)^2+(D83-Sheet4!$D$526)^2+(E83-Sheet4!$E$526)^2+(F83-Sheet4!$F$526)^2+(G83-Sheet4!$G$526)^2+(H83-Sheet4!$H$526)^2+(I83-Sheet4!$I$526)^2+(J83-Sheet4!$J$526)^2+(K83-Sheet4!$K$526)^2+(L83-Sheet4!$L$526)^2)</f>
        <v>3.1474128345815022</v>
      </c>
      <c r="P83" s="12">
        <f t="shared" si="1"/>
        <v>0</v>
      </c>
      <c r="Q83" s="11">
        <f>IF(P83=Sheet1!$M83, 1, 0)</f>
        <v>1</v>
      </c>
    </row>
    <row r="84" spans="1:17" x14ac:dyDescent="0.35">
      <c r="A84" s="6" t="s">
        <v>90</v>
      </c>
      <c r="B84" s="6" t="s">
        <v>98</v>
      </c>
      <c r="C84" s="6">
        <v>-0.75598122331425388</v>
      </c>
      <c r="D84" s="6">
        <v>0.77543754832460776</v>
      </c>
      <c r="E84" s="6">
        <v>0.40162540343491632</v>
      </c>
      <c r="F84" s="6">
        <v>0.56283974848848439</v>
      </c>
      <c r="G84" s="6">
        <v>0.45968078242820004</v>
      </c>
      <c r="H84" s="6">
        <v>0.70764509273324305</v>
      </c>
      <c r="I84" s="6">
        <v>0.51786242976847185</v>
      </c>
      <c r="J84" s="6">
        <v>0.59615236449877185</v>
      </c>
      <c r="K84" s="6">
        <v>-0.42322051551642675</v>
      </c>
      <c r="L84" s="6">
        <v>1.0920919066446158</v>
      </c>
      <c r="N84" s="8">
        <f>SQRT((C84-Sheet4!$C$525)^2+(D84-Sheet4!$D$525)^2+(E84-Sheet4!$E$525)^2+(F84-Sheet4!$F$525)^2+(G84-Sheet4!$G$525)^2+(H84-Sheet4!$H$525)^2+(I84-Sheet4!$I$525)^2+(J84-Sheet4!$J$525)^2+(K84-Sheet4!$K$525)^2+(L84-Sheet4!$L$525)^2)</f>
        <v>3.0081922670369239</v>
      </c>
      <c r="O84" s="8">
        <f>SQRT((C84-Sheet4!$C$526)^2+(D84-Sheet4!$D$526)^2+(E84-Sheet4!$E$526)^2+(F84-Sheet4!$F$526)^2+(G84-Sheet4!$G$526)^2+(H84-Sheet4!$H$526)^2+(I84-Sheet4!$I$526)^2+(J84-Sheet4!$J$526)^2+(K84-Sheet4!$K$526)^2+(L84-Sheet4!$L$526)^2)</f>
        <v>1.2333477112827917</v>
      </c>
      <c r="P84" s="12">
        <f t="shared" si="1"/>
        <v>1</v>
      </c>
      <c r="Q84" s="11">
        <f>IF(P84=Sheet1!$M84, 1, 0)</f>
        <v>0</v>
      </c>
    </row>
    <row r="85" spans="1:17" x14ac:dyDescent="0.35">
      <c r="A85" s="6" t="s">
        <v>90</v>
      </c>
      <c r="B85" s="6" t="s">
        <v>99</v>
      </c>
      <c r="C85" s="6">
        <v>-0.68351204821716871</v>
      </c>
      <c r="D85" s="6">
        <v>-0.10840220000139807</v>
      </c>
      <c r="E85" s="6">
        <v>-0.33442181512350316</v>
      </c>
      <c r="F85" s="6">
        <v>-9.0401578553230708E-2</v>
      </c>
      <c r="G85" s="6">
        <v>0.21288254481160818</v>
      </c>
      <c r="H85" s="6">
        <v>-0.17571532666314796</v>
      </c>
      <c r="I85" s="6">
        <v>0.15193981640461729</v>
      </c>
      <c r="J85" s="6">
        <v>-0.68687056039469974</v>
      </c>
      <c r="K85" s="6">
        <v>-1.3652910122124293</v>
      </c>
      <c r="L85" s="6">
        <v>0.51813799781340963</v>
      </c>
      <c r="N85" s="8">
        <f>SQRT((C85-Sheet4!$C$525)^2+(D85-Sheet4!$D$525)^2+(E85-Sheet4!$E$525)^2+(F85-Sheet4!$F$525)^2+(G85-Sheet4!$G$525)^2+(H85-Sheet4!$H$525)^2+(I85-Sheet4!$I$525)^2+(J85-Sheet4!$J$525)^2+(K85-Sheet4!$K$525)^2+(L85-Sheet4!$L$525)^2)</f>
        <v>2.1403740670153426</v>
      </c>
      <c r="O85" s="8">
        <f>SQRT((C85-Sheet4!$C$526)^2+(D85-Sheet4!$D$526)^2+(E85-Sheet4!$E$526)^2+(F85-Sheet4!$F$526)^2+(G85-Sheet4!$G$526)^2+(H85-Sheet4!$H$526)^2+(I85-Sheet4!$I$526)^2+(J85-Sheet4!$J$526)^2+(K85-Sheet4!$K$526)^2+(L85-Sheet4!$L$526)^2)</f>
        <v>3.1542397058952849</v>
      </c>
      <c r="P85" s="12">
        <f t="shared" si="1"/>
        <v>0</v>
      </c>
      <c r="Q85" s="11">
        <f>IF(P85=Sheet1!$M85, 1, 0)</f>
        <v>1</v>
      </c>
    </row>
    <row r="86" spans="1:17" x14ac:dyDescent="0.35">
      <c r="A86" s="6" t="s">
        <v>90</v>
      </c>
      <c r="B86" s="6" t="s">
        <v>100</v>
      </c>
      <c r="C86" s="6">
        <v>1.7992282097385259</v>
      </c>
      <c r="D86" s="6">
        <v>-0.36618879326314979</v>
      </c>
      <c r="E86" s="6">
        <v>-0.93747952121966571</v>
      </c>
      <c r="F86" s="6">
        <v>-0.65120309516451513</v>
      </c>
      <c r="G86" s="6">
        <v>-0.54493322010522594</v>
      </c>
      <c r="H86" s="6">
        <v>-1.1431027127826101</v>
      </c>
      <c r="I86" s="6">
        <v>0.22652682993000228</v>
      </c>
      <c r="J86" s="6">
        <v>-0.23895131442597306</v>
      </c>
      <c r="K86" s="6">
        <v>-0.60474904976349864</v>
      </c>
      <c r="L86" s="6">
        <v>-0.18712051878677075</v>
      </c>
      <c r="N86" s="8">
        <f>SQRT((C86-Sheet4!$C$525)^2+(D86-Sheet4!$D$525)^2+(E86-Sheet4!$E$525)^2+(F86-Sheet4!$F$525)^2+(G86-Sheet4!$G$525)^2+(H86-Sheet4!$H$525)^2+(I86-Sheet4!$I$525)^2+(J86-Sheet4!$J$525)^2+(K86-Sheet4!$K$525)^2+(L86-Sheet4!$L$525)^2)</f>
        <v>2.1415820152227831</v>
      </c>
      <c r="O86" s="8">
        <f>SQRT((C86-Sheet4!$C$526)^2+(D86-Sheet4!$D$526)^2+(E86-Sheet4!$E$526)^2+(F86-Sheet4!$F$526)^2+(G86-Sheet4!$G$526)^2+(H86-Sheet4!$H$526)^2+(I86-Sheet4!$I$526)^2+(J86-Sheet4!$J$526)^2+(K86-Sheet4!$K$526)^2+(L86-Sheet4!$L$526)^2)</f>
        <v>4.8066939323225846</v>
      </c>
      <c r="P86" s="12">
        <f t="shared" si="1"/>
        <v>0</v>
      </c>
      <c r="Q86" s="11">
        <f>IF(P86=Sheet1!$M86, 1, 0)</f>
        <v>0</v>
      </c>
    </row>
    <row r="87" spans="1:17" x14ac:dyDescent="0.35">
      <c r="A87" s="6" t="s">
        <v>90</v>
      </c>
      <c r="B87" s="6" t="s">
        <v>101</v>
      </c>
      <c r="C87" s="6">
        <v>-1.2672915142770214</v>
      </c>
      <c r="D87" s="6">
        <v>2.1380238269938676</v>
      </c>
      <c r="E87" s="6">
        <v>1.4865398472059601</v>
      </c>
      <c r="F87" s="6">
        <v>1.7953705542275709</v>
      </c>
      <c r="G87" s="6">
        <v>0.79939129773574702</v>
      </c>
      <c r="H87" s="6">
        <v>1.0275939275633992</v>
      </c>
      <c r="I87" s="6">
        <v>0.86848514292199042</v>
      </c>
      <c r="J87" s="6">
        <v>1.2262760495056246</v>
      </c>
      <c r="K87" s="6">
        <v>-1.2291446115271272</v>
      </c>
      <c r="L87" s="6">
        <v>1.0584372620071461</v>
      </c>
      <c r="N87" s="8">
        <f>SQRT((C87-Sheet4!$C$525)^2+(D87-Sheet4!$D$525)^2+(E87-Sheet4!$E$525)^2+(F87-Sheet4!$F$525)^2+(G87-Sheet4!$G$525)^2+(H87-Sheet4!$H$525)^2+(I87-Sheet4!$I$525)^2+(J87-Sheet4!$J$525)^2+(K87-Sheet4!$K$525)^2+(L87-Sheet4!$L$525)^2)</f>
        <v>5.2273313368715213</v>
      </c>
      <c r="O87" s="8">
        <f>SQRT((C87-Sheet4!$C$526)^2+(D87-Sheet4!$D$526)^2+(E87-Sheet4!$E$526)^2+(F87-Sheet4!$F$526)^2+(G87-Sheet4!$G$526)^2+(H87-Sheet4!$H$526)^2+(I87-Sheet4!$I$526)^2+(J87-Sheet4!$J$526)^2+(K87-Sheet4!$K$526)^2+(L87-Sheet4!$L$526)^2)</f>
        <v>1.737094407245009</v>
      </c>
      <c r="P87" s="12">
        <f t="shared" si="1"/>
        <v>1</v>
      </c>
      <c r="Q87" s="11">
        <f>IF(P87=Sheet1!$M87, 1, 0)</f>
        <v>0</v>
      </c>
    </row>
    <row r="88" spans="1:17" x14ac:dyDescent="0.35">
      <c r="A88" s="6" t="s">
        <v>90</v>
      </c>
      <c r="B88" s="6" t="s">
        <v>102</v>
      </c>
      <c r="C88" s="6">
        <v>-1.1881122303746505</v>
      </c>
      <c r="D88" s="6">
        <v>1.0454996936464438</v>
      </c>
      <c r="E88" s="6">
        <v>0.55008737995095391</v>
      </c>
      <c r="F88" s="6">
        <v>0.74309737882782601</v>
      </c>
      <c r="G88" s="6">
        <v>0.3841895568043035</v>
      </c>
      <c r="H88" s="6">
        <v>1.0679915077187219</v>
      </c>
      <c r="I88" s="6">
        <v>0.49236259608457922</v>
      </c>
      <c r="J88" s="6">
        <v>0.46709088684676592</v>
      </c>
      <c r="K88" s="6">
        <v>-0.71272722961735901</v>
      </c>
      <c r="L88" s="6">
        <v>8.5763612998881494E-2</v>
      </c>
      <c r="N88" s="8">
        <f>SQRT((C88-Sheet4!$C$525)^2+(D88-Sheet4!$D$525)^2+(E88-Sheet4!$E$525)^2+(F88-Sheet4!$F$525)^2+(G88-Sheet4!$G$525)^2+(H88-Sheet4!$H$525)^2+(I88-Sheet4!$I$525)^2+(J88-Sheet4!$J$525)^2+(K88-Sheet4!$K$525)^2+(L88-Sheet4!$L$525)^2)</f>
        <v>3.2632586842701459</v>
      </c>
      <c r="O88" s="8">
        <f>SQRT((C88-Sheet4!$C$526)^2+(D88-Sheet4!$D$526)^2+(E88-Sheet4!$E$526)^2+(F88-Sheet4!$F$526)^2+(G88-Sheet4!$G$526)^2+(H88-Sheet4!$H$526)^2+(I88-Sheet4!$I$526)^2+(J88-Sheet4!$J$526)^2+(K88-Sheet4!$K$526)^2+(L88-Sheet4!$L$526)^2)</f>
        <v>1.3627560953789297</v>
      </c>
      <c r="P88" s="12">
        <f t="shared" si="1"/>
        <v>1</v>
      </c>
      <c r="Q88" s="11">
        <f>IF(P88=Sheet1!$M88, 1, 0)</f>
        <v>0</v>
      </c>
    </row>
    <row r="89" spans="1:17" x14ac:dyDescent="0.35">
      <c r="A89" s="6" t="s">
        <v>103</v>
      </c>
      <c r="B89" s="6" t="s">
        <v>104</v>
      </c>
      <c r="C89" s="6">
        <v>-0.61238489488114067</v>
      </c>
      <c r="D89" s="6">
        <v>7.5731080899853642E-2</v>
      </c>
      <c r="E89" s="6">
        <v>-5.1865150141367167E-2</v>
      </c>
      <c r="F89" s="6">
        <v>0.23467842146045328</v>
      </c>
      <c r="G89" s="6">
        <v>9.9645706375759216E-2</v>
      </c>
      <c r="H89" s="6">
        <v>-0.58615474104122733</v>
      </c>
      <c r="I89" s="6">
        <v>-0.67234230742719958</v>
      </c>
      <c r="J89" s="6">
        <v>-1.0398916610310691</v>
      </c>
      <c r="K89" s="6">
        <v>0.22464856360673757</v>
      </c>
      <c r="L89" s="6">
        <v>-0.31592932110732297</v>
      </c>
      <c r="N89" s="8">
        <f>SQRT((C89-Sheet4!$C$525)^2+(D89-Sheet4!$D$525)^2+(E89-Sheet4!$E$525)^2+(F89-Sheet4!$F$525)^2+(G89-Sheet4!$G$525)^2+(H89-Sheet4!$H$525)^2+(I89-Sheet4!$I$525)^2+(J89-Sheet4!$J$525)^2+(K89-Sheet4!$K$525)^2+(L89-Sheet4!$L$525)^2)</f>
        <v>1.5316629305963956</v>
      </c>
      <c r="O89" s="8">
        <f>SQRT((C89-Sheet4!$C$526)^2+(D89-Sheet4!$D$526)^2+(E89-Sheet4!$E$526)^2+(F89-Sheet4!$F$526)^2+(G89-Sheet4!$G$526)^2+(H89-Sheet4!$H$526)^2+(I89-Sheet4!$I$526)^2+(J89-Sheet4!$J$526)^2+(K89-Sheet4!$K$526)^2+(L89-Sheet4!$L$526)^2)</f>
        <v>3.6106808189526585</v>
      </c>
      <c r="P89" s="12">
        <f t="shared" si="1"/>
        <v>0</v>
      </c>
      <c r="Q89" s="11">
        <f>IF(P89=Sheet1!$M89, 1, 0)</f>
        <v>1</v>
      </c>
    </row>
    <row r="90" spans="1:17" x14ac:dyDescent="0.35">
      <c r="A90" s="6" t="s">
        <v>103</v>
      </c>
      <c r="B90" s="6" t="s">
        <v>105</v>
      </c>
      <c r="C90" s="6">
        <v>-0.42450184833314225</v>
      </c>
      <c r="D90" s="6">
        <v>-0.32936213708289924</v>
      </c>
      <c r="E90" s="6">
        <v>2.0339682109608917E-2</v>
      </c>
      <c r="F90" s="6">
        <v>-6.1128971916927753E-2</v>
      </c>
      <c r="G90" s="6">
        <v>0.47419832581741478</v>
      </c>
      <c r="H90" s="6">
        <v>-0.33030340005751657</v>
      </c>
      <c r="I90" s="6">
        <v>-1.0344399457384701</v>
      </c>
      <c r="J90" s="6">
        <v>-8.7114281894201118E-2</v>
      </c>
      <c r="K90" s="6">
        <v>6.0333942089991231E-2</v>
      </c>
      <c r="L90" s="6">
        <v>-0.24222339812200383</v>
      </c>
      <c r="N90" s="8">
        <f>SQRT((C90-Sheet4!$C$525)^2+(D90-Sheet4!$D$525)^2+(E90-Sheet4!$E$525)^2+(F90-Sheet4!$F$525)^2+(G90-Sheet4!$G$525)^2+(H90-Sheet4!$H$525)^2+(I90-Sheet4!$I$525)^2+(J90-Sheet4!$J$525)^2+(K90-Sheet4!$K$525)^2+(L90-Sheet4!$L$525)^2)</f>
        <v>1.4395529920313181</v>
      </c>
      <c r="O90" s="8">
        <f>SQRT((C90-Sheet4!$C$526)^2+(D90-Sheet4!$D$526)^2+(E90-Sheet4!$E$526)^2+(F90-Sheet4!$F$526)^2+(G90-Sheet4!$G$526)^2+(H90-Sheet4!$H$526)^2+(I90-Sheet4!$I$526)^2+(J90-Sheet4!$J$526)^2+(K90-Sheet4!$K$526)^2+(L90-Sheet4!$L$526)^2)</f>
        <v>3.3344038225755743</v>
      </c>
      <c r="P90" s="12">
        <f t="shared" si="1"/>
        <v>0</v>
      </c>
      <c r="Q90" s="11">
        <f>IF(P90=Sheet1!$M90, 1, 0)</f>
        <v>1</v>
      </c>
    </row>
    <row r="91" spans="1:17" x14ac:dyDescent="0.35">
      <c r="A91" s="6" t="s">
        <v>103</v>
      </c>
      <c r="B91" s="6" t="s">
        <v>106</v>
      </c>
      <c r="C91" s="6">
        <v>-0.45671037059851349</v>
      </c>
      <c r="D91" s="6">
        <v>-0.24343327266231607</v>
      </c>
      <c r="E91" s="6">
        <v>0.54050918791766112</v>
      </c>
      <c r="F91" s="6">
        <v>4.9798800599589861E-2</v>
      </c>
      <c r="G91" s="6">
        <v>-0.12973147917378247</v>
      </c>
      <c r="H91" s="6">
        <v>-6.3140736630315067E-2</v>
      </c>
      <c r="I91" s="6">
        <v>-0.9675028823182531</v>
      </c>
      <c r="J91" s="6">
        <v>0.17480459922310504</v>
      </c>
      <c r="K91" s="6">
        <v>-0.72055173540387019</v>
      </c>
      <c r="L91" s="6">
        <v>-0.22078396022690097</v>
      </c>
      <c r="N91" s="8">
        <f>SQRT((C91-Sheet4!$C$525)^2+(D91-Sheet4!$D$525)^2+(E91-Sheet4!$E$525)^2+(F91-Sheet4!$F$525)^2+(G91-Sheet4!$G$525)^2+(H91-Sheet4!$H$525)^2+(I91-Sheet4!$I$525)^2+(J91-Sheet4!$J$525)^2+(K91-Sheet4!$K$525)^2+(L91-Sheet4!$L$525)^2)</f>
        <v>1.8221157738913614</v>
      </c>
      <c r="O91" s="8">
        <f>SQRT((C91-Sheet4!$C$526)^2+(D91-Sheet4!$D$526)^2+(E91-Sheet4!$E$526)^2+(F91-Sheet4!$F$526)^2+(G91-Sheet4!$G$526)^2+(H91-Sheet4!$H$526)^2+(I91-Sheet4!$I$526)^2+(J91-Sheet4!$J$526)^2+(K91-Sheet4!$K$526)^2+(L91-Sheet4!$L$526)^2)</f>
        <v>2.9961674548493771</v>
      </c>
      <c r="P91" s="12">
        <f t="shared" si="1"/>
        <v>0</v>
      </c>
      <c r="Q91" s="11">
        <f>IF(P91=Sheet1!$M91, 1, 0)</f>
        <v>1</v>
      </c>
    </row>
    <row r="92" spans="1:17" x14ac:dyDescent="0.35">
      <c r="A92" s="6" t="s">
        <v>103</v>
      </c>
      <c r="B92" s="6" t="s">
        <v>107</v>
      </c>
      <c r="C92" s="6">
        <v>-0.29835180279377166</v>
      </c>
      <c r="D92" s="6">
        <v>-0.19433106442198234</v>
      </c>
      <c r="E92" s="6">
        <v>-0.10786073433600168</v>
      </c>
      <c r="F92" s="6">
        <v>2.8229511499155757E-2</v>
      </c>
      <c r="G92" s="6">
        <v>0.2854702617576651</v>
      </c>
      <c r="H92" s="6">
        <v>0.13346082012558927</v>
      </c>
      <c r="I92" s="6">
        <v>-0.76860417958389315</v>
      </c>
      <c r="J92" s="6">
        <v>-0.30348205325197602</v>
      </c>
      <c r="K92" s="6">
        <v>-0.10241577826944974</v>
      </c>
      <c r="L92" s="6">
        <v>-0.20357774854321795</v>
      </c>
      <c r="N92" s="8">
        <f>SQRT((C92-Sheet4!$C$525)^2+(D92-Sheet4!$D$525)^2+(E92-Sheet4!$E$525)^2+(F92-Sheet4!$F$525)^2+(G92-Sheet4!$G$525)^2+(H92-Sheet4!$H$525)^2+(I92-Sheet4!$I$525)^2+(J92-Sheet4!$J$525)^2+(K92-Sheet4!$K$525)^2+(L92-Sheet4!$L$525)^2)</f>
        <v>1.2037368063719225</v>
      </c>
      <c r="O92" s="8">
        <f>SQRT((C92-Sheet4!$C$526)^2+(D92-Sheet4!$D$526)^2+(E92-Sheet4!$E$526)^2+(F92-Sheet4!$F$526)^2+(G92-Sheet4!$G$526)^2+(H92-Sheet4!$H$526)^2+(I92-Sheet4!$I$526)^2+(J92-Sheet4!$J$526)^2+(K92-Sheet4!$K$526)^2+(L92-Sheet4!$L$526)^2)</f>
        <v>3.1387767916739651</v>
      </c>
      <c r="P92" s="12">
        <f t="shared" si="1"/>
        <v>0</v>
      </c>
      <c r="Q92" s="11">
        <f>IF(P92=Sheet1!$M92, 1, 0)</f>
        <v>1</v>
      </c>
    </row>
    <row r="93" spans="1:17" x14ac:dyDescent="0.35">
      <c r="A93" s="6" t="s">
        <v>103</v>
      </c>
      <c r="B93" s="6" t="s">
        <v>108</v>
      </c>
      <c r="C93" s="6">
        <v>-1.0391478148973088</v>
      </c>
      <c r="D93" s="6">
        <v>8.8006632959936798E-2</v>
      </c>
      <c r="E93" s="6">
        <v>-0.55250987988155342</v>
      </c>
      <c r="F93" s="6">
        <v>-5.8047644902580652E-2</v>
      </c>
      <c r="G93" s="6">
        <v>0.48290885185093779</v>
      </c>
      <c r="H93" s="6">
        <v>0.64462486769093952</v>
      </c>
      <c r="I93" s="6">
        <v>-0.28538233127413493</v>
      </c>
      <c r="J93" s="6">
        <v>0.20137607991616521</v>
      </c>
      <c r="K93" s="6">
        <v>-1.0460511761227544</v>
      </c>
      <c r="L93" s="6">
        <v>-0.10692115547176984</v>
      </c>
      <c r="N93" s="8">
        <f>SQRT((C93-Sheet4!$C$525)^2+(D93-Sheet4!$D$525)^2+(E93-Sheet4!$E$525)^2+(F93-Sheet4!$F$525)^2+(G93-Sheet4!$G$525)^2+(H93-Sheet4!$H$525)^2+(I93-Sheet4!$I$525)^2+(J93-Sheet4!$J$525)^2+(K93-Sheet4!$K$525)^2+(L93-Sheet4!$L$525)^2)</f>
        <v>2.3050637907412153</v>
      </c>
      <c r="O93" s="8">
        <f>SQRT((C93-Sheet4!$C$526)^2+(D93-Sheet4!$D$526)^2+(E93-Sheet4!$E$526)^2+(F93-Sheet4!$F$526)^2+(G93-Sheet4!$G$526)^2+(H93-Sheet4!$H$526)^2+(I93-Sheet4!$I$526)^2+(J93-Sheet4!$J$526)^2+(K93-Sheet4!$K$526)^2+(L93-Sheet4!$L$526)^2)</f>
        <v>2.7930888597382935</v>
      </c>
      <c r="P93" s="12">
        <f t="shared" si="1"/>
        <v>0</v>
      </c>
      <c r="Q93" s="11">
        <f>IF(P93=Sheet1!$M93, 1, 0)</f>
        <v>1</v>
      </c>
    </row>
    <row r="94" spans="1:17" x14ac:dyDescent="0.35">
      <c r="A94" s="6" t="s">
        <v>103</v>
      </c>
      <c r="B94" s="6" t="s">
        <v>109</v>
      </c>
      <c r="C94" s="6">
        <v>-0.11852088681211596</v>
      </c>
      <c r="D94" s="6">
        <v>-0.93086418802698701</v>
      </c>
      <c r="E94" s="6">
        <v>-0.42799338344874771</v>
      </c>
      <c r="F94" s="6">
        <v>-0.77291551223125099</v>
      </c>
      <c r="G94" s="6">
        <v>-0.96303846971451312</v>
      </c>
      <c r="H94" s="6">
        <v>-0.37339415222319405</v>
      </c>
      <c r="I94" s="6">
        <v>4.9302985826950987E-2</v>
      </c>
      <c r="J94" s="6">
        <v>-1.3283820228414356</v>
      </c>
      <c r="K94" s="6">
        <v>0.27472540064041101</v>
      </c>
      <c r="L94" s="6">
        <v>-9.7770955368502291E-2</v>
      </c>
      <c r="N94" s="8">
        <f>SQRT((C94-Sheet4!$C$525)^2+(D94-Sheet4!$D$525)^2+(E94-Sheet4!$E$525)^2+(F94-Sheet4!$F$525)^2+(G94-Sheet4!$G$525)^2+(H94-Sheet4!$H$525)^2+(I94-Sheet4!$I$525)^2+(J94-Sheet4!$J$525)^2+(K94-Sheet4!$K$525)^2+(L94-Sheet4!$L$525)^2)</f>
        <v>1.4241572101685211</v>
      </c>
      <c r="O94" s="8">
        <f>SQRT((C94-Sheet4!$C$526)^2+(D94-Sheet4!$D$526)^2+(E94-Sheet4!$E$526)^2+(F94-Sheet4!$F$526)^2+(G94-Sheet4!$G$526)^2+(H94-Sheet4!$H$526)^2+(I94-Sheet4!$I$526)^2+(J94-Sheet4!$J$526)^2+(K94-Sheet4!$K$526)^2+(L94-Sheet4!$L$526)^2)</f>
        <v>4.676900822429622</v>
      </c>
      <c r="P94" s="12">
        <f t="shared" si="1"/>
        <v>0</v>
      </c>
      <c r="Q94" s="11">
        <f>IF(P94=Sheet1!$M94, 1, 0)</f>
        <v>1</v>
      </c>
    </row>
    <row r="95" spans="1:17" x14ac:dyDescent="0.35">
      <c r="A95" s="6" t="s">
        <v>103</v>
      </c>
      <c r="B95" s="6" t="s">
        <v>110</v>
      </c>
      <c r="C95" s="6">
        <v>-0.2044102795197725</v>
      </c>
      <c r="D95" s="6">
        <v>-0.26798437678248238</v>
      </c>
      <c r="E95" s="6">
        <v>-0.23053527076240493</v>
      </c>
      <c r="F95" s="6">
        <v>-0.27219987239974702</v>
      </c>
      <c r="G95" s="6">
        <v>-0.43169638166937696</v>
      </c>
      <c r="H95" s="6">
        <v>0.25249902298327331</v>
      </c>
      <c r="I95" s="6">
        <v>0.42223805345387583</v>
      </c>
      <c r="J95" s="6">
        <v>-0.96017721895188901</v>
      </c>
      <c r="K95" s="6">
        <v>0.69255400964013314</v>
      </c>
      <c r="L95" s="6">
        <v>0.18830844309298225</v>
      </c>
      <c r="N95" s="8">
        <f>SQRT((C95-Sheet4!$C$525)^2+(D95-Sheet4!$D$525)^2+(E95-Sheet4!$E$525)^2+(F95-Sheet4!$F$525)^2+(G95-Sheet4!$G$525)^2+(H95-Sheet4!$H$525)^2+(I95-Sheet4!$I$525)^2+(J95-Sheet4!$J$525)^2+(K95-Sheet4!$K$525)^2+(L95-Sheet4!$L$525)^2)</f>
        <v>1.3059626771621493</v>
      </c>
      <c r="O95" s="8">
        <f>SQRT((C95-Sheet4!$C$526)^2+(D95-Sheet4!$D$526)^2+(E95-Sheet4!$E$526)^2+(F95-Sheet4!$F$526)^2+(G95-Sheet4!$G$526)^2+(H95-Sheet4!$H$526)^2+(I95-Sheet4!$I$526)^2+(J95-Sheet4!$J$526)^2+(K95-Sheet4!$K$526)^2+(L95-Sheet4!$L$526)^2)</f>
        <v>3.6634423907352698</v>
      </c>
      <c r="P95" s="12">
        <f t="shared" si="1"/>
        <v>0</v>
      </c>
      <c r="Q95" s="11">
        <f>IF(P95=Sheet1!$M95, 1, 0)</f>
        <v>1</v>
      </c>
    </row>
    <row r="96" spans="1:17" x14ac:dyDescent="0.35">
      <c r="A96" s="6" t="s">
        <v>103</v>
      </c>
      <c r="B96" s="6" t="s">
        <v>111</v>
      </c>
      <c r="C96" s="6">
        <v>-0.75061313627002535</v>
      </c>
      <c r="D96" s="6">
        <v>-0.5196331940141925</v>
      </c>
      <c r="E96" s="6">
        <v>8.1492754322170291E-2</v>
      </c>
      <c r="F96" s="6">
        <v>-8.8860915046058253E-2</v>
      </c>
      <c r="G96" s="6">
        <v>0.10545272373144261</v>
      </c>
      <c r="H96" s="6">
        <v>0.33275554889184755</v>
      </c>
      <c r="I96" s="6">
        <v>-0.9668653864761555</v>
      </c>
      <c r="J96" s="6">
        <v>-0.84629944455306005</v>
      </c>
      <c r="K96" s="6">
        <v>0.18552603467417933</v>
      </c>
      <c r="L96" s="6">
        <v>-0.23750498958807276</v>
      </c>
      <c r="N96" s="8">
        <f>SQRT((C96-Sheet4!$C$525)^2+(D96-Sheet4!$D$525)^2+(E96-Sheet4!$E$525)^2+(F96-Sheet4!$F$525)^2+(G96-Sheet4!$G$525)^2+(H96-Sheet4!$H$525)^2+(I96-Sheet4!$I$525)^2+(J96-Sheet4!$J$525)^2+(K96-Sheet4!$K$525)^2+(L96-Sheet4!$L$525)^2)</f>
        <v>1.5964081070132561</v>
      </c>
      <c r="O96" s="8">
        <f>SQRT((C96-Sheet4!$C$526)^2+(D96-Sheet4!$D$526)^2+(E96-Sheet4!$E$526)^2+(F96-Sheet4!$F$526)^2+(G96-Sheet4!$G$526)^2+(H96-Sheet4!$H$526)^2+(I96-Sheet4!$I$526)^2+(J96-Sheet4!$J$526)^2+(K96-Sheet4!$K$526)^2+(L96-Sheet4!$L$526)^2)</f>
        <v>3.6559527642114307</v>
      </c>
      <c r="P96" s="12">
        <f t="shared" si="1"/>
        <v>0</v>
      </c>
      <c r="Q96" s="11">
        <f>IF(P96=Sheet1!$M96, 1, 0)</f>
        <v>1</v>
      </c>
    </row>
    <row r="97" spans="1:17" x14ac:dyDescent="0.35">
      <c r="A97" s="6" t="s">
        <v>103</v>
      </c>
      <c r="B97" s="6" t="s">
        <v>112</v>
      </c>
      <c r="C97" s="6">
        <v>-0.81100411551759621</v>
      </c>
      <c r="D97" s="6">
        <v>-9.6126647941314911E-2</v>
      </c>
      <c r="E97" s="6">
        <v>0.49556536376144134</v>
      </c>
      <c r="F97" s="6">
        <v>3.4392165527852153E-2</v>
      </c>
      <c r="G97" s="6">
        <v>-0.53041567671601542</v>
      </c>
      <c r="H97" s="6">
        <v>2.0347595690685127E-2</v>
      </c>
      <c r="I97" s="6">
        <v>-0.73354190826854149</v>
      </c>
      <c r="J97" s="6">
        <v>0.30386607687511136</v>
      </c>
      <c r="K97" s="6">
        <v>-0.92085908353856849</v>
      </c>
      <c r="L97" s="6">
        <v>-0.18451459659245587</v>
      </c>
      <c r="N97" s="8">
        <f>SQRT((C97-Sheet4!$C$525)^2+(D97-Sheet4!$D$525)^2+(E97-Sheet4!$E$525)^2+(F97-Sheet4!$F$525)^2+(G97-Sheet4!$G$525)^2+(H97-Sheet4!$H$525)^2+(I97-Sheet4!$I$525)^2+(J97-Sheet4!$J$525)^2+(K97-Sheet4!$K$525)^2+(L97-Sheet4!$L$525)^2)</f>
        <v>2.0593393420827639</v>
      </c>
      <c r="O97" s="8">
        <f>SQRT((C97-Sheet4!$C$526)^2+(D97-Sheet4!$D$526)^2+(E97-Sheet4!$E$526)^2+(F97-Sheet4!$F$526)^2+(G97-Sheet4!$G$526)^2+(H97-Sheet4!$H$526)^2+(I97-Sheet4!$I$526)^2+(J97-Sheet4!$J$526)^2+(K97-Sheet4!$K$526)^2+(L97-Sheet4!$L$526)^2)</f>
        <v>2.9407467018179179</v>
      </c>
      <c r="P97" s="12">
        <f t="shared" si="1"/>
        <v>0</v>
      </c>
      <c r="Q97" s="11">
        <f>IF(P97=Sheet1!$M97, 1, 0)</f>
        <v>1</v>
      </c>
    </row>
    <row r="98" spans="1:17" x14ac:dyDescent="0.35">
      <c r="A98" s="6" t="s">
        <v>103</v>
      </c>
      <c r="B98" s="6" t="s">
        <v>113</v>
      </c>
      <c r="C98" s="6">
        <v>-0.43658004418265645</v>
      </c>
      <c r="D98" s="6">
        <v>1.6961039528308641</v>
      </c>
      <c r="E98" s="6">
        <v>0.70554880449132074</v>
      </c>
      <c r="F98" s="6">
        <v>1.4163673314628027</v>
      </c>
      <c r="G98" s="6">
        <v>0.88649655807101446</v>
      </c>
      <c r="H98" s="6">
        <v>0.86277180052968216</v>
      </c>
      <c r="I98" s="6">
        <v>0.68169886118747913</v>
      </c>
      <c r="J98" s="6">
        <v>2.1259104672563729</v>
      </c>
      <c r="K98" s="6">
        <v>-0.99284453677447571</v>
      </c>
      <c r="L98" s="6">
        <v>-5.1163363581219333E-2</v>
      </c>
      <c r="N98" s="8">
        <f>SQRT((C98-Sheet4!$C$525)^2+(D98-Sheet4!$D$525)^2+(E98-Sheet4!$E$525)^2+(F98-Sheet4!$F$525)^2+(G98-Sheet4!$G$525)^2+(H98-Sheet4!$H$525)^2+(I98-Sheet4!$I$525)^2+(J98-Sheet4!$J$525)^2+(K98-Sheet4!$K$525)^2+(L98-Sheet4!$L$525)^2)</f>
        <v>4.5301448038454728</v>
      </c>
      <c r="O98" s="8">
        <f>SQRT((C98-Sheet4!$C$526)^2+(D98-Sheet4!$D$526)^2+(E98-Sheet4!$E$526)^2+(F98-Sheet4!$F$526)^2+(G98-Sheet4!$G$526)^2+(H98-Sheet4!$H$526)^2+(I98-Sheet4!$I$526)^2+(J98-Sheet4!$J$526)^2+(K98-Sheet4!$K$526)^2+(L98-Sheet4!$L$526)^2)</f>
        <v>1.6041832099346298</v>
      </c>
      <c r="P98" s="12">
        <f t="shared" si="1"/>
        <v>1</v>
      </c>
      <c r="Q98" s="11">
        <f>IF(P98=Sheet1!$M98, 1, 0)</f>
        <v>0</v>
      </c>
    </row>
    <row r="99" spans="1:17" x14ac:dyDescent="0.35">
      <c r="A99" s="6" t="s">
        <v>103</v>
      </c>
      <c r="B99" s="6" t="s">
        <v>114</v>
      </c>
      <c r="C99" s="6">
        <v>-1.1894542521357077</v>
      </c>
      <c r="D99" s="6">
        <v>1.1621174382172359</v>
      </c>
      <c r="E99" s="6">
        <v>4.7600690204365192E-2</v>
      </c>
      <c r="F99" s="6">
        <v>0.889460412009343</v>
      </c>
      <c r="G99" s="6">
        <v>0.74132112417890061</v>
      </c>
      <c r="H99" s="6">
        <v>-0.17032898264243782</v>
      </c>
      <c r="I99" s="6">
        <v>0.34510105656010126</v>
      </c>
      <c r="J99" s="6">
        <v>-0.78176870572705714</v>
      </c>
      <c r="K99" s="6">
        <v>-0.71116232846005589</v>
      </c>
      <c r="L99" s="6">
        <v>-0.35929480008127723</v>
      </c>
      <c r="N99" s="8">
        <f>SQRT((C99-Sheet4!$C$525)^2+(D99-Sheet4!$D$525)^2+(E99-Sheet4!$E$525)^2+(F99-Sheet4!$F$525)^2+(G99-Sheet4!$G$525)^2+(H99-Sheet4!$H$525)^2+(I99-Sheet4!$I$525)^2+(J99-Sheet4!$J$525)^2+(K99-Sheet4!$K$525)^2+(L99-Sheet4!$L$525)^2)</f>
        <v>2.9547970909115606</v>
      </c>
      <c r="O99" s="8">
        <f>SQRT((C99-Sheet4!$C$526)^2+(D99-Sheet4!$D$526)^2+(E99-Sheet4!$E$526)^2+(F99-Sheet4!$F$526)^2+(G99-Sheet4!$G$526)^2+(H99-Sheet4!$H$526)^2+(I99-Sheet4!$I$526)^2+(J99-Sheet4!$J$526)^2+(K99-Sheet4!$K$526)^2+(L99-Sheet4!$L$526)^2)</f>
        <v>2.594222096705157</v>
      </c>
      <c r="P99" s="12">
        <f t="shared" si="1"/>
        <v>1</v>
      </c>
      <c r="Q99" s="11">
        <f>IF(P99=Sheet1!$M99, 1, 0)</f>
        <v>0</v>
      </c>
    </row>
    <row r="100" spans="1:17" x14ac:dyDescent="0.35">
      <c r="A100" s="6" t="s">
        <v>115</v>
      </c>
      <c r="B100" s="6" t="s">
        <v>116</v>
      </c>
      <c r="C100" s="6">
        <v>4.6547789797911132E-2</v>
      </c>
      <c r="D100" s="6">
        <v>0.16779772135047949</v>
      </c>
      <c r="E100" s="6">
        <v>-0.10491359832575776</v>
      </c>
      <c r="F100" s="6">
        <v>-5.0344327366711801E-2</v>
      </c>
      <c r="G100" s="6">
        <v>-0.41137182092448304</v>
      </c>
      <c r="H100" s="6">
        <v>0.2972056783551637</v>
      </c>
      <c r="I100" s="6">
        <v>-0.2139827969592363</v>
      </c>
      <c r="J100" s="6">
        <v>-0.18580835303985271</v>
      </c>
      <c r="K100" s="6">
        <v>7.7547854820316758E-2</v>
      </c>
      <c r="L100" s="6">
        <v>-0.24759592520056087</v>
      </c>
      <c r="N100" s="8">
        <f>SQRT((C100-Sheet4!$C$525)^2+(D100-Sheet4!$D$525)^2+(E100-Sheet4!$E$525)^2+(F100-Sheet4!$F$525)^2+(G100-Sheet4!$G$525)^2+(H100-Sheet4!$H$525)^2+(I100-Sheet4!$I$525)^2+(J100-Sheet4!$J$525)^2+(K100-Sheet4!$K$525)^2+(L100-Sheet4!$L$525)^2)</f>
        <v>0.94197928204409864</v>
      </c>
      <c r="O100" s="8">
        <f>SQRT((C100-Sheet4!$C$526)^2+(D100-Sheet4!$D$526)^2+(E100-Sheet4!$E$526)^2+(F100-Sheet4!$F$526)^2+(G100-Sheet4!$G$526)^2+(H100-Sheet4!$H$526)^2+(I100-Sheet4!$I$526)^2+(J100-Sheet4!$J$526)^2+(K100-Sheet4!$K$526)^2+(L100-Sheet4!$L$526)^2)</f>
        <v>3.0710988190532649</v>
      </c>
      <c r="P100" s="12">
        <f t="shared" si="1"/>
        <v>0</v>
      </c>
      <c r="Q100" s="11">
        <f>IF(P100=Sheet1!$M100, 1, 0)</f>
        <v>1</v>
      </c>
    </row>
    <row r="101" spans="1:17" x14ac:dyDescent="0.35">
      <c r="A101" s="6" t="s">
        <v>115</v>
      </c>
      <c r="B101" s="6" t="s">
        <v>117</v>
      </c>
      <c r="C101" s="6">
        <v>0.32300427257568043</v>
      </c>
      <c r="D101" s="6">
        <v>-0.85107309963644484</v>
      </c>
      <c r="E101" s="6">
        <v>0.15848668258979276</v>
      </c>
      <c r="F101" s="6">
        <v>-0.42472555960995823</v>
      </c>
      <c r="G101" s="6">
        <v>-0.28652094777726311</v>
      </c>
      <c r="H101" s="6">
        <v>-0.49081645187466505</v>
      </c>
      <c r="I101" s="6">
        <v>-0.38993164937809321</v>
      </c>
      <c r="J101" s="6">
        <v>-0.7779727799137629</v>
      </c>
      <c r="K101" s="6">
        <v>3.3730622415853596E-2</v>
      </c>
      <c r="L101" s="6">
        <v>-2.2035854481114451E-2</v>
      </c>
      <c r="N101" s="8">
        <f>SQRT((C101-Sheet4!$C$525)^2+(D101-Sheet4!$D$525)^2+(E101-Sheet4!$E$525)^2+(F101-Sheet4!$F$525)^2+(G101-Sheet4!$G$525)^2+(H101-Sheet4!$H$525)^2+(I101-Sheet4!$I$525)^2+(J101-Sheet4!$J$525)^2+(K101-Sheet4!$K$525)^2+(L101-Sheet4!$L$525)^2)</f>
        <v>0.9290364521257809</v>
      </c>
      <c r="O101" s="8">
        <f>SQRT((C101-Sheet4!$C$526)^2+(D101-Sheet4!$D$526)^2+(E101-Sheet4!$E$526)^2+(F101-Sheet4!$F$526)^2+(G101-Sheet4!$G$526)^2+(H101-Sheet4!$H$526)^2+(I101-Sheet4!$I$526)^2+(J101-Sheet4!$J$526)^2+(K101-Sheet4!$K$526)^2+(L101-Sheet4!$L$526)^2)</f>
        <v>3.9748349281877036</v>
      </c>
      <c r="P101" s="12">
        <f t="shared" si="1"/>
        <v>0</v>
      </c>
      <c r="Q101" s="11">
        <f>IF(P101=Sheet1!$M101, 1, 0)</f>
        <v>1</v>
      </c>
    </row>
    <row r="102" spans="1:17" x14ac:dyDescent="0.35">
      <c r="A102" s="6" t="s">
        <v>115</v>
      </c>
      <c r="B102" s="6" t="s">
        <v>118</v>
      </c>
      <c r="C102" s="6">
        <v>6.2871369661973075E-3</v>
      </c>
      <c r="D102" s="6">
        <v>-0.39073989738331666</v>
      </c>
      <c r="E102" s="6">
        <v>0.24690076289711041</v>
      </c>
      <c r="F102" s="6">
        <v>-0.16435342689757651</v>
      </c>
      <c r="G102" s="6">
        <v>-0.1848981440527851</v>
      </c>
      <c r="H102" s="6">
        <v>0.38500308589273158</v>
      </c>
      <c r="I102" s="6">
        <v>0.2768890014556899</v>
      </c>
      <c r="J102" s="6">
        <v>-1.1195765628315158E-2</v>
      </c>
      <c r="K102" s="6">
        <v>1.6516709685525842E-2</v>
      </c>
      <c r="L102" s="6">
        <v>0.46017492480743444</v>
      </c>
      <c r="N102" s="8">
        <f>SQRT((C102-Sheet4!$C$525)^2+(D102-Sheet4!$D$525)^2+(E102-Sheet4!$E$525)^2+(F102-Sheet4!$F$525)^2+(G102-Sheet4!$G$525)^2+(H102-Sheet4!$H$525)^2+(I102-Sheet4!$I$525)^2+(J102-Sheet4!$J$525)^2+(K102-Sheet4!$K$525)^2+(L102-Sheet4!$L$525)^2)</f>
        <v>1.3642431793762198</v>
      </c>
      <c r="O102" s="8">
        <f>SQRT((C102-Sheet4!$C$526)^2+(D102-Sheet4!$D$526)^2+(E102-Sheet4!$E$526)^2+(F102-Sheet4!$F$526)^2+(G102-Sheet4!$G$526)^2+(H102-Sheet4!$H$526)^2+(I102-Sheet4!$I$526)^2+(J102-Sheet4!$J$526)^2+(K102-Sheet4!$K$526)^2+(L102-Sheet4!$L$526)^2)</f>
        <v>2.7782158991816659</v>
      </c>
      <c r="P102" s="12">
        <f t="shared" si="1"/>
        <v>0</v>
      </c>
      <c r="Q102" s="11">
        <f>IF(P102=Sheet1!$M102, 1, 0)</f>
        <v>1</v>
      </c>
    </row>
    <row r="103" spans="1:17" x14ac:dyDescent="0.35">
      <c r="A103" s="6" t="s">
        <v>115</v>
      </c>
      <c r="B103" s="6" t="s">
        <v>119</v>
      </c>
      <c r="C103" s="6">
        <v>0.56188414604385017</v>
      </c>
      <c r="D103" s="6">
        <v>5.1179976779686241E-2</v>
      </c>
      <c r="E103" s="6">
        <v>-0.21727315871630729</v>
      </c>
      <c r="F103" s="6">
        <v>-0.36155835581583057</v>
      </c>
      <c r="G103" s="6">
        <v>-1.0153016259156762</v>
      </c>
      <c r="H103" s="6">
        <v>-0.36423736738798745</v>
      </c>
      <c r="I103" s="6">
        <v>-0.22099525122230665</v>
      </c>
      <c r="J103" s="6">
        <v>-0.55401315692939934</v>
      </c>
      <c r="K103" s="6">
        <v>1.18220062136209E-2</v>
      </c>
      <c r="L103" s="6">
        <v>-0.18725514538900762</v>
      </c>
      <c r="N103" s="8">
        <f>SQRT((C103-Sheet4!$C$525)^2+(D103-Sheet4!$D$525)^2+(E103-Sheet4!$E$525)^2+(F103-Sheet4!$F$525)^2+(G103-Sheet4!$G$525)^2+(H103-Sheet4!$H$525)^2+(I103-Sheet4!$I$525)^2+(J103-Sheet4!$J$525)^2+(K103-Sheet4!$K$525)^2+(L103-Sheet4!$L$525)^2)</f>
        <v>0.94745296092792153</v>
      </c>
      <c r="O103" s="8">
        <f>SQRT((C103-Sheet4!$C$526)^2+(D103-Sheet4!$D$526)^2+(E103-Sheet4!$E$526)^2+(F103-Sheet4!$F$526)^2+(G103-Sheet4!$G$526)^2+(H103-Sheet4!$H$526)^2+(I103-Sheet4!$I$526)^2+(J103-Sheet4!$J$526)^2+(K103-Sheet4!$K$526)^2+(L103-Sheet4!$L$526)^2)</f>
        <v>3.9314574218296783</v>
      </c>
      <c r="P103" s="12">
        <f t="shared" si="1"/>
        <v>0</v>
      </c>
      <c r="Q103" s="11">
        <f>IF(P103=Sheet1!$M103, 1, 0)</f>
        <v>1</v>
      </c>
    </row>
    <row r="104" spans="1:17" x14ac:dyDescent="0.35">
      <c r="A104" s="6" t="s">
        <v>115</v>
      </c>
      <c r="B104" s="6" t="s">
        <v>120</v>
      </c>
      <c r="C104" s="6">
        <v>0.21698455345216711</v>
      </c>
      <c r="D104" s="6">
        <v>-0.55645985019444255</v>
      </c>
      <c r="E104" s="6">
        <v>-0.28542567895319798</v>
      </c>
      <c r="F104" s="6">
        <v>-0.44937617572473942</v>
      </c>
      <c r="G104" s="6">
        <v>-0.40556480356879548</v>
      </c>
      <c r="H104" s="6">
        <v>-0.42995076444064573</v>
      </c>
      <c r="I104" s="6">
        <v>-0.12664586659190502</v>
      </c>
      <c r="J104" s="6">
        <v>-0.86527907361953171</v>
      </c>
      <c r="K104" s="6">
        <v>0.16674722078655069</v>
      </c>
      <c r="L104" s="6">
        <v>-0.16572792752246332</v>
      </c>
      <c r="N104" s="8">
        <f>SQRT((C104-Sheet4!$C$525)^2+(D104-Sheet4!$D$525)^2+(E104-Sheet4!$E$525)^2+(F104-Sheet4!$F$525)^2+(G104-Sheet4!$G$525)^2+(H104-Sheet4!$H$525)^2+(I104-Sheet4!$I$525)^2+(J104-Sheet4!$J$525)^2+(K104-Sheet4!$K$525)^2+(L104-Sheet4!$L$525)^2)</f>
        <v>0.59244270318715775</v>
      </c>
      <c r="O104" s="8">
        <f>SQRT((C104-Sheet4!$C$526)^2+(D104-Sheet4!$D$526)^2+(E104-Sheet4!$E$526)^2+(F104-Sheet4!$F$526)^2+(G104-Sheet4!$G$526)^2+(H104-Sheet4!$H$526)^2+(I104-Sheet4!$I$526)^2+(J104-Sheet4!$J$526)^2+(K104-Sheet4!$K$526)^2+(L104-Sheet4!$L$526)^2)</f>
        <v>4.0079941462011366</v>
      </c>
      <c r="P104" s="12">
        <f t="shared" si="1"/>
        <v>0</v>
      </c>
      <c r="Q104" s="11">
        <f>IF(P104=Sheet1!$M104, 1, 0)</f>
        <v>1</v>
      </c>
    </row>
    <row r="105" spans="1:17" x14ac:dyDescent="0.35">
      <c r="A105" s="6" t="s">
        <v>115</v>
      </c>
      <c r="B105" s="6" t="s">
        <v>121</v>
      </c>
      <c r="C105" s="6">
        <v>0.47867879685830783</v>
      </c>
      <c r="D105" s="6">
        <v>-0.49508208989402569</v>
      </c>
      <c r="E105" s="6">
        <v>-6.8074398197708746E-2</v>
      </c>
      <c r="F105" s="6">
        <v>-0.28144385344279055</v>
      </c>
      <c r="G105" s="6">
        <v>-0.23716130025394391</v>
      </c>
      <c r="H105" s="6">
        <v>-0.33030340005751657</v>
      </c>
      <c r="I105" s="6">
        <v>-0.36761929490468698</v>
      </c>
      <c r="J105" s="6">
        <v>-0.40597205021092181</v>
      </c>
      <c r="K105" s="6">
        <v>-4.4514435449262854E-2</v>
      </c>
      <c r="L105" s="6">
        <v>0.50491377064235765</v>
      </c>
      <c r="N105" s="8">
        <f>SQRT((C105-Sheet4!$C$525)^2+(D105-Sheet4!$D$525)^2+(E105-Sheet4!$E$525)^2+(F105-Sheet4!$F$525)^2+(G105-Sheet4!$G$525)^2+(H105-Sheet4!$H$525)^2+(I105-Sheet4!$I$525)^2+(J105-Sheet4!$J$525)^2+(K105-Sheet4!$K$525)^2+(L105-Sheet4!$L$525)^2)</f>
        <v>0.9115218295100137</v>
      </c>
      <c r="O105" s="8">
        <f>SQRT((C105-Sheet4!$C$526)^2+(D105-Sheet4!$D$526)^2+(E105-Sheet4!$E$526)^2+(F105-Sheet4!$F$526)^2+(G105-Sheet4!$G$526)^2+(H105-Sheet4!$H$526)^2+(I105-Sheet4!$I$526)^2+(J105-Sheet4!$J$526)^2+(K105-Sheet4!$K$526)^2+(L105-Sheet4!$L$526)^2)</f>
        <v>3.567941276958567</v>
      </c>
      <c r="P105" s="12">
        <f t="shared" si="1"/>
        <v>0</v>
      </c>
      <c r="Q105" s="11">
        <f>IF(P105=Sheet1!$M105, 1, 0)</f>
        <v>1</v>
      </c>
    </row>
    <row r="106" spans="1:17" x14ac:dyDescent="0.35">
      <c r="A106" s="6" t="s">
        <v>115</v>
      </c>
      <c r="B106" s="6" t="s">
        <v>122</v>
      </c>
      <c r="C106" s="6">
        <v>-0.2044102795197725</v>
      </c>
      <c r="D106" s="6">
        <v>-0.6116998344648179</v>
      </c>
      <c r="E106" s="6">
        <v>-0.17122415855624601</v>
      </c>
      <c r="F106" s="6">
        <v>-0.43088821363865459</v>
      </c>
      <c r="G106" s="6">
        <v>-0.17328410934141417</v>
      </c>
      <c r="H106" s="6">
        <v>-0.26943771262349647</v>
      </c>
      <c r="I106" s="6">
        <v>-0.52061829700804085</v>
      </c>
      <c r="J106" s="6">
        <v>-0.4629109374103364</v>
      </c>
      <c r="K106" s="6">
        <v>-0.61413845670731071</v>
      </c>
      <c r="L106" s="6">
        <v>-2.4999541176981343E-2</v>
      </c>
      <c r="N106" s="8">
        <f>SQRT((C106-Sheet4!$C$525)^2+(D106-Sheet4!$D$525)^2+(E106-Sheet4!$E$525)^2+(F106-Sheet4!$F$525)^2+(G106-Sheet4!$G$525)^2+(H106-Sheet4!$H$525)^2+(I106-Sheet4!$I$525)^2+(J106-Sheet4!$J$525)^2+(K106-Sheet4!$K$525)^2+(L106-Sheet4!$L$525)^2)</f>
        <v>1.0572401357849361</v>
      </c>
      <c r="O106" s="8">
        <f>SQRT((C106-Sheet4!$C$526)^2+(D106-Sheet4!$D$526)^2+(E106-Sheet4!$E$526)^2+(F106-Sheet4!$F$526)^2+(G106-Sheet4!$G$526)^2+(H106-Sheet4!$H$526)^2+(I106-Sheet4!$I$526)^2+(J106-Sheet4!$J$526)^2+(K106-Sheet4!$K$526)^2+(L106-Sheet4!$L$526)^2)</f>
        <v>3.6233364837014514</v>
      </c>
      <c r="P106" s="12">
        <f t="shared" si="1"/>
        <v>0</v>
      </c>
      <c r="Q106" s="11">
        <f>IF(P106=Sheet1!$M106, 1, 0)</f>
        <v>1</v>
      </c>
    </row>
    <row r="107" spans="1:17" x14ac:dyDescent="0.35">
      <c r="A107" s="6" t="s">
        <v>115</v>
      </c>
      <c r="B107" s="6" t="s">
        <v>123</v>
      </c>
      <c r="C107" s="6">
        <v>-0.1547554743606587</v>
      </c>
      <c r="D107" s="6">
        <v>-0.36005101723310823</v>
      </c>
      <c r="E107" s="6">
        <v>-0.6409239601888711</v>
      </c>
      <c r="F107" s="6">
        <v>-0.70666698142277395</v>
      </c>
      <c r="G107" s="6">
        <v>-0.75108233623202991</v>
      </c>
      <c r="H107" s="6">
        <v>-1.1312527559370484</v>
      </c>
      <c r="I107" s="6">
        <v>-0.51105585937658093</v>
      </c>
      <c r="J107" s="6">
        <v>-0.69446241202128833</v>
      </c>
      <c r="K107" s="6">
        <v>1.0493514735050644</v>
      </c>
      <c r="L107" s="6">
        <v>-0.33388025213452982</v>
      </c>
      <c r="N107" s="8">
        <f>SQRT((C107-Sheet4!$C$525)^2+(D107-Sheet4!$D$525)^2+(E107-Sheet4!$E$525)^2+(F107-Sheet4!$F$525)^2+(G107-Sheet4!$G$525)^2+(H107-Sheet4!$H$525)^2+(I107-Sheet4!$I$525)^2+(J107-Sheet4!$J$525)^2+(K107-Sheet4!$K$525)^2+(L107-Sheet4!$L$525)^2)</f>
        <v>1.4741906448429367</v>
      </c>
      <c r="O107" s="8">
        <f>SQRT((C107-Sheet4!$C$526)^2+(D107-Sheet4!$D$526)^2+(E107-Sheet4!$E$526)^2+(F107-Sheet4!$F$526)^2+(G107-Sheet4!$G$526)^2+(H107-Sheet4!$H$526)^2+(I107-Sheet4!$I$526)^2+(J107-Sheet4!$J$526)^2+(K107-Sheet4!$K$526)^2+(L107-Sheet4!$L$526)^2)</f>
        <v>4.7478672849475405</v>
      </c>
      <c r="P107" s="12">
        <f t="shared" si="1"/>
        <v>0</v>
      </c>
      <c r="Q107" s="11">
        <f>IF(P107=Sheet1!$M107, 1, 0)</f>
        <v>1</v>
      </c>
    </row>
    <row r="108" spans="1:17" x14ac:dyDescent="0.35">
      <c r="A108" s="6" t="s">
        <v>115</v>
      </c>
      <c r="B108" s="6" t="s">
        <v>124</v>
      </c>
      <c r="C108" s="6">
        <v>-0.22454060593562952</v>
      </c>
      <c r="D108" s="6">
        <v>-0.5380465221043178</v>
      </c>
      <c r="E108" s="6">
        <v>0.44435887558345316</v>
      </c>
      <c r="F108" s="6">
        <v>-5.3425654381058903E-2</v>
      </c>
      <c r="G108" s="6">
        <v>-0.14134551388514929</v>
      </c>
      <c r="H108" s="6">
        <v>0.35861000019125433</v>
      </c>
      <c r="I108" s="6">
        <v>0.52168740482105491</v>
      </c>
      <c r="J108" s="6">
        <v>-0.71344204108775977</v>
      </c>
      <c r="K108" s="6">
        <v>0.28880951105613251</v>
      </c>
      <c r="L108" s="6">
        <v>-0.23847644077404145</v>
      </c>
      <c r="N108" s="8">
        <f>SQRT((C108-Sheet4!$C$525)^2+(D108-Sheet4!$D$525)^2+(E108-Sheet4!$E$525)^2+(F108-Sheet4!$F$525)^2+(G108-Sheet4!$G$525)^2+(H108-Sheet4!$H$525)^2+(I108-Sheet4!$I$525)^2+(J108-Sheet4!$J$525)^2+(K108-Sheet4!$K$525)^2+(L108-Sheet4!$L$525)^2)</f>
        <v>1.4741340863603982</v>
      </c>
      <c r="O108" s="8">
        <f>SQRT((C108-Sheet4!$C$526)^2+(D108-Sheet4!$D$526)^2+(E108-Sheet4!$E$526)^2+(F108-Sheet4!$F$526)^2+(G108-Sheet4!$G$526)^2+(H108-Sheet4!$H$526)^2+(I108-Sheet4!$I$526)^2+(J108-Sheet4!$J$526)^2+(K108-Sheet4!$K$526)^2+(L108-Sheet4!$L$526)^2)</f>
        <v>3.2010366418262008</v>
      </c>
      <c r="P108" s="12">
        <f t="shared" si="1"/>
        <v>0</v>
      </c>
      <c r="Q108" s="11">
        <f>IF(P108=Sheet1!$M108, 1, 0)</f>
        <v>1</v>
      </c>
    </row>
    <row r="109" spans="1:17" x14ac:dyDescent="0.35">
      <c r="A109" s="6" t="s">
        <v>115</v>
      </c>
      <c r="B109" s="6" t="s">
        <v>125</v>
      </c>
      <c r="C109" s="6">
        <v>0.20759040112476715</v>
      </c>
      <c r="D109" s="6">
        <v>-0.34777546517302454</v>
      </c>
      <c r="E109" s="6">
        <v>4.7600690204365192E-2</v>
      </c>
      <c r="F109" s="6">
        <v>-0.42472555960995823</v>
      </c>
      <c r="G109" s="6">
        <v>-1.1778981118748444</v>
      </c>
      <c r="H109" s="6">
        <v>-0.49997323670987165</v>
      </c>
      <c r="I109" s="6">
        <v>-0.80366645089924482</v>
      </c>
      <c r="J109" s="6">
        <v>-0.75519722503399711</v>
      </c>
      <c r="K109" s="6">
        <v>-0.15405751646042634</v>
      </c>
      <c r="L109" s="6">
        <v>-0.29647846209393397</v>
      </c>
      <c r="N109" s="8">
        <f>SQRT((C109-Sheet4!$C$525)^2+(D109-Sheet4!$D$525)^2+(E109-Sheet4!$E$525)^2+(F109-Sheet4!$F$525)^2+(G109-Sheet4!$G$525)^2+(H109-Sheet4!$H$525)^2+(I109-Sheet4!$I$525)^2+(J109-Sheet4!$J$525)^2+(K109-Sheet4!$K$525)^2+(L109-Sheet4!$L$525)^2)</f>
        <v>1.2617781679176101</v>
      </c>
      <c r="O109" s="8">
        <f>SQRT((C109-Sheet4!$C$526)^2+(D109-Sheet4!$D$526)^2+(E109-Sheet4!$E$526)^2+(F109-Sheet4!$F$526)^2+(G109-Sheet4!$G$526)^2+(H109-Sheet4!$H$526)^2+(I109-Sheet4!$I$526)^2+(J109-Sheet4!$J$526)^2+(K109-Sheet4!$K$526)^2+(L109-Sheet4!$L$526)^2)</f>
        <v>4.2770208066775872</v>
      </c>
      <c r="P109" s="12">
        <f t="shared" si="1"/>
        <v>0</v>
      </c>
      <c r="Q109" s="11">
        <f>IF(P109=Sheet1!$M109, 1, 0)</f>
        <v>1</v>
      </c>
    </row>
    <row r="110" spans="1:17" x14ac:dyDescent="0.35">
      <c r="A110" s="6" t="s">
        <v>115</v>
      </c>
      <c r="B110" s="6" t="s">
        <v>126</v>
      </c>
      <c r="C110" s="6">
        <v>0.14451537835508185</v>
      </c>
      <c r="D110" s="6">
        <v>-0.48894431386398413</v>
      </c>
      <c r="E110" s="6">
        <v>-0.3406844791452715</v>
      </c>
      <c r="F110" s="6">
        <v>-0.69896366388690512</v>
      </c>
      <c r="G110" s="6">
        <v>-1.3143630197334311</v>
      </c>
      <c r="H110" s="6">
        <v>-1.3736382368689848</v>
      </c>
      <c r="I110" s="6">
        <v>-2.1207328606722804</v>
      </c>
      <c r="J110" s="6">
        <v>-1.0057283287114205</v>
      </c>
      <c r="K110" s="6">
        <v>0.4437347256290623</v>
      </c>
      <c r="L110" s="6">
        <v>-0.38359363763643073</v>
      </c>
      <c r="N110" s="8">
        <f>SQRT((C110-Sheet4!$C$525)^2+(D110-Sheet4!$D$525)^2+(E110-Sheet4!$E$525)^2+(F110-Sheet4!$F$525)^2+(G110-Sheet4!$G$525)^2+(H110-Sheet4!$H$525)^2+(I110-Sheet4!$I$525)^2+(J110-Sheet4!$J$525)^2+(K110-Sheet4!$K$525)^2+(L110-Sheet4!$L$525)^2)</f>
        <v>2.5216218931062917</v>
      </c>
      <c r="O110" s="8">
        <f>SQRT((C110-Sheet4!$C$526)^2+(D110-Sheet4!$D$526)^2+(E110-Sheet4!$E$526)^2+(F110-Sheet4!$F$526)^2+(G110-Sheet4!$G$526)^2+(H110-Sheet4!$H$526)^2+(I110-Sheet4!$I$526)^2+(J110-Sheet4!$J$526)^2+(K110-Sheet4!$K$526)^2+(L110-Sheet4!$L$526)^2)</f>
        <v>5.6193121134052451</v>
      </c>
      <c r="P110" s="12">
        <f t="shared" si="1"/>
        <v>0</v>
      </c>
      <c r="Q110" s="11">
        <f>IF(P110=Sheet1!$M110, 1, 0)</f>
        <v>1</v>
      </c>
    </row>
    <row r="111" spans="1:17" x14ac:dyDescent="0.35">
      <c r="A111" s="6" t="s">
        <v>115</v>
      </c>
      <c r="B111" s="6" t="s">
        <v>127</v>
      </c>
      <c r="C111" s="6">
        <v>8.5466420868568094E-2</v>
      </c>
      <c r="D111" s="6">
        <v>-0.85107309963644484</v>
      </c>
      <c r="E111" s="6">
        <v>-0.7790709606690549</v>
      </c>
      <c r="F111" s="6">
        <v>-0.77753750275277267</v>
      </c>
      <c r="G111" s="6">
        <v>-0.38524024282390151</v>
      </c>
      <c r="H111" s="6">
        <v>0.92148295035541805</v>
      </c>
      <c r="I111" s="6">
        <v>0.15002732887832532</v>
      </c>
      <c r="J111" s="6">
        <v>-0.55021723111610521</v>
      </c>
      <c r="K111" s="6">
        <v>0.57362152168515534</v>
      </c>
      <c r="L111" s="6">
        <v>-0.35822821387746212</v>
      </c>
      <c r="N111" s="8">
        <f>SQRT((C111-Sheet4!$C$525)^2+(D111-Sheet4!$D$525)^2+(E111-Sheet4!$E$525)^2+(F111-Sheet4!$F$525)^2+(G111-Sheet4!$G$525)^2+(H111-Sheet4!$H$525)^2+(I111-Sheet4!$I$525)^2+(J111-Sheet4!$J$525)^2+(K111-Sheet4!$K$525)^2+(L111-Sheet4!$L$525)^2)</f>
        <v>1.4956973822929007</v>
      </c>
      <c r="O111" s="8">
        <f>SQRT((C111-Sheet4!$C$526)^2+(D111-Sheet4!$D$526)^2+(E111-Sheet4!$E$526)^2+(F111-Sheet4!$F$526)^2+(G111-Sheet4!$G$526)^2+(H111-Sheet4!$H$526)^2+(I111-Sheet4!$I$526)^2+(J111-Sheet4!$J$526)^2+(K111-Sheet4!$K$526)^2+(L111-Sheet4!$L$526)^2)</f>
        <v>4.2490913973558611</v>
      </c>
      <c r="P111" s="12">
        <f t="shared" si="1"/>
        <v>0</v>
      </c>
      <c r="Q111" s="11">
        <f>IF(P111=Sheet1!$M111, 1, 0)</f>
        <v>1</v>
      </c>
    </row>
    <row r="112" spans="1:17" x14ac:dyDescent="0.35">
      <c r="A112" s="6" t="s">
        <v>115</v>
      </c>
      <c r="B112" s="6" t="s">
        <v>128</v>
      </c>
      <c r="C112" s="6">
        <v>1.0517220888297032</v>
      </c>
      <c r="D112" s="6">
        <v>-0.82652199551627803</v>
      </c>
      <c r="E112" s="6">
        <v>-0.17306611856264845</v>
      </c>
      <c r="F112" s="6">
        <v>-0.76983418521690161</v>
      </c>
      <c r="G112" s="6">
        <v>-1.1314419730293648</v>
      </c>
      <c r="H112" s="6">
        <v>-0.6087773859282074</v>
      </c>
      <c r="I112" s="6">
        <v>-0.30641969406334596</v>
      </c>
      <c r="J112" s="6">
        <v>0.63031569681842048</v>
      </c>
      <c r="K112" s="6">
        <v>3.5295523573154505E-2</v>
      </c>
      <c r="L112" s="6">
        <v>-0.3397014788338279</v>
      </c>
      <c r="N112" s="8">
        <f>SQRT((C112-Sheet4!$C$525)^2+(D112-Sheet4!$D$525)^2+(E112-Sheet4!$E$525)^2+(F112-Sheet4!$F$525)^2+(G112-Sheet4!$G$525)^2+(H112-Sheet4!$H$525)^2+(I112-Sheet4!$I$525)^2+(J112-Sheet4!$J$525)^2+(K112-Sheet4!$K$525)^2+(L112-Sheet4!$L$525)^2)</f>
        <v>1.7133011071477247</v>
      </c>
      <c r="O112" s="8">
        <f>SQRT((C112-Sheet4!$C$526)^2+(D112-Sheet4!$D$526)^2+(E112-Sheet4!$E$526)^2+(F112-Sheet4!$F$526)^2+(G112-Sheet4!$G$526)^2+(H112-Sheet4!$H$526)^2+(I112-Sheet4!$I$526)^2+(J112-Sheet4!$J$526)^2+(K112-Sheet4!$K$526)^2+(L112-Sheet4!$L$526)^2)</f>
        <v>4.4377510450439557</v>
      </c>
      <c r="P112" s="12">
        <f t="shared" si="1"/>
        <v>0</v>
      </c>
      <c r="Q112" s="11">
        <f>IF(P112=Sheet1!$M112, 1, 0)</f>
        <v>0</v>
      </c>
    </row>
    <row r="113" spans="1:17" x14ac:dyDescent="0.35">
      <c r="A113" s="6" t="s">
        <v>115</v>
      </c>
      <c r="B113" s="6" t="s">
        <v>129</v>
      </c>
      <c r="C113" s="6">
        <v>-0.12523099561740172</v>
      </c>
      <c r="D113" s="6">
        <v>1.4199040314789877</v>
      </c>
      <c r="E113" s="6">
        <v>1.6132666956464488</v>
      </c>
      <c r="F113" s="6">
        <v>1.3547407911758476</v>
      </c>
      <c r="G113" s="6">
        <v>0.39290008283783068</v>
      </c>
      <c r="H113" s="6">
        <v>0.91609660633470791</v>
      </c>
      <c r="I113" s="6">
        <v>0.78369819592304879</v>
      </c>
      <c r="J113" s="6">
        <v>1.9171345475251862</v>
      </c>
      <c r="K113" s="6">
        <v>-0.86608754303298674</v>
      </c>
      <c r="L113" s="6">
        <v>1.7820549147100104</v>
      </c>
      <c r="N113" s="8">
        <f>SQRT((C113-Sheet4!$C$525)^2+(D113-Sheet4!$D$525)^2+(E113-Sheet4!$E$525)^2+(F113-Sheet4!$F$525)^2+(G113-Sheet4!$G$525)^2+(H113-Sheet4!$H$525)^2+(I113-Sheet4!$I$525)^2+(J113-Sheet4!$J$525)^2+(K113-Sheet4!$K$525)^2+(L113-Sheet4!$L$525)^2)</f>
        <v>4.8837051744766642</v>
      </c>
      <c r="O113" s="8">
        <f>SQRT((C113-Sheet4!$C$526)^2+(D113-Sheet4!$D$526)^2+(E113-Sheet4!$E$526)^2+(F113-Sheet4!$F$526)^2+(G113-Sheet4!$G$526)^2+(H113-Sheet4!$H$526)^2+(I113-Sheet4!$I$526)^2+(J113-Sheet4!$J$526)^2+(K113-Sheet4!$K$526)^2+(L113-Sheet4!$L$526)^2)</f>
        <v>1.7795308341593228</v>
      </c>
      <c r="P113" s="12">
        <f t="shared" si="1"/>
        <v>1</v>
      </c>
      <c r="Q113" s="11">
        <f>IF(P113=Sheet1!$M113, 1, 0)</f>
        <v>0</v>
      </c>
    </row>
    <row r="114" spans="1:17" x14ac:dyDescent="0.35">
      <c r="A114" s="6" t="s">
        <v>115</v>
      </c>
      <c r="B114" s="6" t="s">
        <v>130</v>
      </c>
      <c r="C114" s="6">
        <v>-9.8171241664884133E-3</v>
      </c>
      <c r="D114" s="6">
        <v>0.94115750113573471</v>
      </c>
      <c r="E114" s="6">
        <v>0.89416550914693171</v>
      </c>
      <c r="F114" s="6">
        <v>0.73077207077043549</v>
      </c>
      <c r="G114" s="6">
        <v>0.2361106142343459</v>
      </c>
      <c r="H114" s="6">
        <v>0.97642365936665676</v>
      </c>
      <c r="I114" s="6">
        <v>0.55037471771543389</v>
      </c>
      <c r="J114" s="6">
        <v>0.30386607687511136</v>
      </c>
      <c r="K114" s="6">
        <v>-8.5217088313108893E-3</v>
      </c>
      <c r="L114" s="6">
        <v>-0.34314027645343559</v>
      </c>
      <c r="N114" s="8">
        <f>SQRT((C114-Sheet4!$C$525)^2+(D114-Sheet4!$D$525)^2+(E114-Sheet4!$E$525)^2+(F114-Sheet4!$F$525)^2+(G114-Sheet4!$G$525)^2+(H114-Sheet4!$H$525)^2+(I114-Sheet4!$I$525)^2+(J114-Sheet4!$J$525)^2+(K114-Sheet4!$K$525)^2+(L114-Sheet4!$L$525)^2)</f>
        <v>2.7717978950688593</v>
      </c>
      <c r="O114" s="8">
        <f>SQRT((C114-Sheet4!$C$526)^2+(D114-Sheet4!$D$526)^2+(E114-Sheet4!$E$526)^2+(F114-Sheet4!$F$526)^2+(G114-Sheet4!$G$526)^2+(H114-Sheet4!$H$526)^2+(I114-Sheet4!$I$526)^2+(J114-Sheet4!$J$526)^2+(K114-Sheet4!$K$526)^2+(L114-Sheet4!$L$526)^2)</f>
        <v>1.7286199990450468</v>
      </c>
      <c r="P114" s="12">
        <f t="shared" si="1"/>
        <v>1</v>
      </c>
      <c r="Q114" s="11">
        <f>IF(P114=Sheet1!$M114, 1, 0)</f>
        <v>0</v>
      </c>
    </row>
    <row r="115" spans="1:17" x14ac:dyDescent="0.35">
      <c r="A115" s="6" t="s">
        <v>115</v>
      </c>
      <c r="B115" s="6" t="s">
        <v>131</v>
      </c>
      <c r="C115" s="6">
        <v>-0.38558321726248529</v>
      </c>
      <c r="D115" s="6">
        <v>0.59130426742335718</v>
      </c>
      <c r="E115" s="6">
        <v>-0.53335349581496794</v>
      </c>
      <c r="F115" s="6">
        <v>-0.19208537002670484</v>
      </c>
      <c r="G115" s="6">
        <v>-0.81495952714455966</v>
      </c>
      <c r="H115" s="6">
        <v>-0.99874869302759006</v>
      </c>
      <c r="I115" s="6">
        <v>0.51148747134749817</v>
      </c>
      <c r="J115" s="6">
        <v>-1.2980146163350814</v>
      </c>
      <c r="K115" s="6">
        <v>0.74106594551650573</v>
      </c>
      <c r="L115" s="6">
        <v>-0.41020327614889868</v>
      </c>
      <c r="N115" s="8">
        <f>SQRT((C115-Sheet4!$C$525)^2+(D115-Sheet4!$D$525)^2+(E115-Sheet4!$E$525)^2+(F115-Sheet4!$F$525)^2+(G115-Sheet4!$G$525)^2+(H115-Sheet4!$H$525)^2+(I115-Sheet4!$I$525)^2+(J115-Sheet4!$J$525)^2+(K115-Sheet4!$K$525)^2+(L115-Sheet4!$L$525)^2)</f>
        <v>1.9844382246718724</v>
      </c>
      <c r="O115" s="8">
        <f>SQRT((C115-Sheet4!$C$526)^2+(D115-Sheet4!$D$526)^2+(E115-Sheet4!$E$526)^2+(F115-Sheet4!$F$526)^2+(G115-Sheet4!$G$526)^2+(H115-Sheet4!$H$526)^2+(I115-Sheet4!$I$526)^2+(J115-Sheet4!$J$526)^2+(K115-Sheet4!$K$526)^2+(L115-Sheet4!$L$526)^2)</f>
        <v>4.324513195217536</v>
      </c>
      <c r="P115" s="12">
        <f t="shared" si="1"/>
        <v>0</v>
      </c>
      <c r="Q115" s="11">
        <f>IF(P115=Sheet1!$M115, 1, 0)</f>
        <v>1</v>
      </c>
    </row>
    <row r="116" spans="1:17" x14ac:dyDescent="0.35">
      <c r="A116" s="6" t="s">
        <v>115</v>
      </c>
      <c r="B116" s="6" t="s">
        <v>132</v>
      </c>
      <c r="C116" s="6">
        <v>0.12841111722239637</v>
      </c>
      <c r="D116" s="6">
        <v>0.89819306892544259</v>
      </c>
      <c r="E116" s="6">
        <v>1.0838873898063841</v>
      </c>
      <c r="F116" s="6">
        <v>0.7646666679282601</v>
      </c>
      <c r="G116" s="6">
        <v>-7.7468322972619519E-2</v>
      </c>
      <c r="H116" s="6">
        <v>0.4469460421308934</v>
      </c>
      <c r="I116" s="6">
        <v>0.69891124892410617</v>
      </c>
      <c r="J116" s="6">
        <v>0.45949903522017715</v>
      </c>
      <c r="K116" s="6">
        <v>0.64717187607836468</v>
      </c>
      <c r="L116" s="6">
        <v>-0.36553421967475019</v>
      </c>
      <c r="N116" s="8">
        <f>SQRT((C116-Sheet4!$C$525)^2+(D116-Sheet4!$D$525)^2+(E116-Sheet4!$E$525)^2+(F116-Sheet4!$F$525)^2+(G116-Sheet4!$G$525)^2+(H116-Sheet4!$H$525)^2+(I116-Sheet4!$I$525)^2+(J116-Sheet4!$J$525)^2+(K116-Sheet4!$K$525)^2+(L116-Sheet4!$L$525)^2)</f>
        <v>2.7429751771901092</v>
      </c>
      <c r="O116" s="8">
        <f>SQRT((C116-Sheet4!$C$526)^2+(D116-Sheet4!$D$526)^2+(E116-Sheet4!$E$526)^2+(F116-Sheet4!$F$526)^2+(G116-Sheet4!$G$526)^2+(H116-Sheet4!$H$526)^2+(I116-Sheet4!$I$526)^2+(J116-Sheet4!$J$526)^2+(K116-Sheet4!$K$526)^2+(L116-Sheet4!$L$526)^2)</f>
        <v>2.1353556095708597</v>
      </c>
      <c r="P116" s="12">
        <f t="shared" si="1"/>
        <v>1</v>
      </c>
      <c r="Q116" s="11">
        <f>IF(P116=Sheet1!$M116, 1, 0)</f>
        <v>0</v>
      </c>
    </row>
    <row r="117" spans="1:17" x14ac:dyDescent="0.35">
      <c r="A117" s="6" t="s">
        <v>133</v>
      </c>
      <c r="B117" s="6" t="s">
        <v>134</v>
      </c>
      <c r="C117" s="6">
        <v>0.79002784542356252</v>
      </c>
      <c r="D117" s="6">
        <v>0.51151317903281446</v>
      </c>
      <c r="E117" s="6">
        <v>-0.15059420648453856</v>
      </c>
      <c r="F117" s="6">
        <v>0.12683197595828277</v>
      </c>
      <c r="G117" s="6">
        <v>-0.50138058993759016</v>
      </c>
      <c r="H117" s="6">
        <v>-0.13262457449747053</v>
      </c>
      <c r="I117" s="6">
        <v>-1.7159230009404907</v>
      </c>
      <c r="J117" s="6">
        <v>-0.95258536732530041</v>
      </c>
      <c r="K117" s="6">
        <v>0.70194341658394743</v>
      </c>
      <c r="L117" s="6">
        <v>-0.3807400676864568</v>
      </c>
      <c r="N117" s="8">
        <f>SQRT((C117-Sheet4!$C$525)^2+(D117-Sheet4!$D$525)^2+(E117-Sheet4!$E$525)^2+(F117-Sheet4!$F$525)^2+(G117-Sheet4!$G$525)^2+(H117-Sheet4!$H$525)^2+(I117-Sheet4!$I$525)^2+(J117-Sheet4!$J$525)^2+(K117-Sheet4!$K$525)^2+(L117-Sheet4!$L$525)^2)</f>
        <v>2.051516006796851</v>
      </c>
      <c r="O117" s="8">
        <f>SQRT((C117-Sheet4!$C$526)^2+(D117-Sheet4!$D$526)^2+(E117-Sheet4!$E$526)^2+(F117-Sheet4!$F$526)^2+(G117-Sheet4!$G$526)^2+(H117-Sheet4!$H$526)^2+(I117-Sheet4!$I$526)^2+(J117-Sheet4!$J$526)^2+(K117-Sheet4!$K$526)^2+(L117-Sheet4!$L$526)^2)</f>
        <v>4.47006302544969</v>
      </c>
      <c r="P117" s="12">
        <f t="shared" si="1"/>
        <v>0</v>
      </c>
      <c r="Q117" s="11">
        <f>IF(P117=Sheet1!$M117, 1, 0)</f>
        <v>1</v>
      </c>
    </row>
    <row r="118" spans="1:17" x14ac:dyDescent="0.35">
      <c r="A118" s="6" t="s">
        <v>133</v>
      </c>
      <c r="B118" s="6" t="s">
        <v>135</v>
      </c>
      <c r="C118" s="6">
        <v>0.48002081861936491</v>
      </c>
      <c r="D118" s="6">
        <v>-6.5437767791105925E-2</v>
      </c>
      <c r="E118" s="6">
        <v>-6.5866196337902743E-4</v>
      </c>
      <c r="F118" s="6">
        <v>0.12991330297262987</v>
      </c>
      <c r="G118" s="6">
        <v>-0.26329287835452542</v>
      </c>
      <c r="H118" s="6">
        <v>-0.30714212076846453</v>
      </c>
      <c r="I118" s="6">
        <v>-1.2792383491038359</v>
      </c>
      <c r="J118" s="6">
        <v>-0.99054462545824329</v>
      </c>
      <c r="K118" s="6">
        <v>1.0368322642466461</v>
      </c>
      <c r="L118" s="6">
        <v>-0.32783966953421007</v>
      </c>
      <c r="N118" s="8">
        <f>SQRT((C118-Sheet4!$C$525)^2+(D118-Sheet4!$D$525)^2+(E118-Sheet4!$E$525)^2+(F118-Sheet4!$F$525)^2+(G118-Sheet4!$G$525)^2+(H118-Sheet4!$H$525)^2+(I118-Sheet4!$I$525)^2+(J118-Sheet4!$J$525)^2+(K118-Sheet4!$K$525)^2+(L118-Sheet4!$L$525)^2)</f>
        <v>1.650373705600497</v>
      </c>
      <c r="O118" s="8">
        <f>SQRT((C118-Sheet4!$C$526)^2+(D118-Sheet4!$D$526)^2+(E118-Sheet4!$E$526)^2+(F118-Sheet4!$F$526)^2+(G118-Sheet4!$G$526)^2+(H118-Sheet4!$H$526)^2+(I118-Sheet4!$I$526)^2+(J118-Sheet4!$J$526)^2+(K118-Sheet4!$K$526)^2+(L118-Sheet4!$L$526)^2)</f>
        <v>4.3083606216135726</v>
      </c>
      <c r="P118" s="12">
        <f t="shared" si="1"/>
        <v>0</v>
      </c>
      <c r="Q118" s="11">
        <f>IF(P118=Sheet1!$M118, 1, 0)</f>
        <v>1</v>
      </c>
    </row>
    <row r="119" spans="1:17" x14ac:dyDescent="0.35">
      <c r="A119" s="6" t="s">
        <v>133</v>
      </c>
      <c r="B119" s="6" t="s">
        <v>136</v>
      </c>
      <c r="C119" s="6">
        <v>-8.8996408068859195E-2</v>
      </c>
      <c r="D119" s="6">
        <v>-0.21274439251210708</v>
      </c>
      <c r="E119" s="6">
        <v>3.139144214802362E-2</v>
      </c>
      <c r="F119" s="6">
        <v>-9.9645559596274205E-2</v>
      </c>
      <c r="G119" s="6">
        <v>-0.40266129489095587</v>
      </c>
      <c r="H119" s="6">
        <v>0.22395139967351183</v>
      </c>
      <c r="I119" s="6">
        <v>-2.0416833762522142</v>
      </c>
      <c r="J119" s="6">
        <v>-0.5881764892490482</v>
      </c>
      <c r="K119" s="6">
        <v>-0.28863901598842656</v>
      </c>
      <c r="L119" s="6">
        <v>-0.34557686542029004</v>
      </c>
      <c r="N119" s="8">
        <f>SQRT((C119-Sheet4!$C$525)^2+(D119-Sheet4!$D$525)^2+(E119-Sheet4!$E$525)^2+(F119-Sheet4!$F$525)^2+(G119-Sheet4!$G$525)^2+(H119-Sheet4!$H$525)^2+(I119-Sheet4!$I$525)^2+(J119-Sheet4!$J$525)^2+(K119-Sheet4!$K$525)^2+(L119-Sheet4!$L$525)^2)</f>
        <v>2.031934257272511</v>
      </c>
      <c r="O119" s="8">
        <f>SQRT((C119-Sheet4!$C$526)^2+(D119-Sheet4!$D$526)^2+(E119-Sheet4!$E$526)^2+(F119-Sheet4!$F$526)^2+(G119-Sheet4!$G$526)^2+(H119-Sheet4!$H$526)^2+(I119-Sheet4!$I$526)^2+(J119-Sheet4!$J$526)^2+(K119-Sheet4!$K$526)^2+(L119-Sheet4!$L$526)^2)</f>
        <v>4.194982351947198</v>
      </c>
      <c r="P119" s="12">
        <f t="shared" si="1"/>
        <v>0</v>
      </c>
      <c r="Q119" s="11">
        <f>IF(P119=Sheet1!$M119, 1, 0)</f>
        <v>1</v>
      </c>
    </row>
    <row r="120" spans="1:17" x14ac:dyDescent="0.35">
      <c r="A120" s="6" t="s">
        <v>133</v>
      </c>
      <c r="B120" s="6" t="s">
        <v>137</v>
      </c>
      <c r="C120" s="6">
        <v>0.85176084643219074</v>
      </c>
      <c r="D120" s="6">
        <v>-3.4748887640896946E-2</v>
      </c>
      <c r="E120" s="6">
        <v>-0.62139918412100503</v>
      </c>
      <c r="F120" s="6">
        <v>-0.42472555960995823</v>
      </c>
      <c r="G120" s="6">
        <v>-0.84980163127866415</v>
      </c>
      <c r="H120" s="6">
        <v>7.6904207908136818E-2</v>
      </c>
      <c r="I120" s="6">
        <v>6.7790365247773279E-2</v>
      </c>
      <c r="J120" s="6">
        <v>-0.61095204412881376</v>
      </c>
      <c r="K120" s="6">
        <v>-2.8865423876240456E-2</v>
      </c>
      <c r="L120" s="6">
        <v>-0.41018534822328651</v>
      </c>
      <c r="N120" s="8">
        <f>SQRT((C120-Sheet4!$C$525)^2+(D120-Sheet4!$D$525)^2+(E120-Sheet4!$E$525)^2+(F120-Sheet4!$F$525)^2+(G120-Sheet4!$G$525)^2+(H120-Sheet4!$H$525)^2+(I120-Sheet4!$I$525)^2+(J120-Sheet4!$J$525)^2+(K120-Sheet4!$K$525)^2+(L120-Sheet4!$L$525)^2)</f>
        <v>1.085018188514361</v>
      </c>
      <c r="O120" s="8">
        <f>SQRT((C120-Sheet4!$C$526)^2+(D120-Sheet4!$D$526)^2+(E120-Sheet4!$E$526)^2+(F120-Sheet4!$F$526)^2+(G120-Sheet4!$G$526)^2+(H120-Sheet4!$H$526)^2+(I120-Sheet4!$I$526)^2+(J120-Sheet4!$J$526)^2+(K120-Sheet4!$K$526)^2+(L120-Sheet4!$L$526)^2)</f>
        <v>4.0786169529524514</v>
      </c>
      <c r="P120" s="12">
        <f t="shared" si="1"/>
        <v>0</v>
      </c>
      <c r="Q120" s="11">
        <f>IF(P120=Sheet1!$M120, 1, 0)</f>
        <v>1</v>
      </c>
    </row>
    <row r="121" spans="1:17" x14ac:dyDescent="0.35">
      <c r="A121" s="6" t="s">
        <v>133</v>
      </c>
      <c r="B121" s="6" t="s">
        <v>138</v>
      </c>
      <c r="C121" s="6">
        <v>0.86518106404276174</v>
      </c>
      <c r="D121" s="6">
        <v>-0.26798437678248238</v>
      </c>
      <c r="E121" s="6">
        <v>-0.76212492861015235</v>
      </c>
      <c r="F121" s="6">
        <v>-0.44629484871039232</v>
      </c>
      <c r="G121" s="6">
        <v>-0.51009111597111734</v>
      </c>
      <c r="H121" s="6">
        <v>0.38177127948030637</v>
      </c>
      <c r="I121" s="6">
        <v>-2.4286433524052793</v>
      </c>
      <c r="J121" s="6">
        <v>-0.61474796994210812</v>
      </c>
      <c r="K121" s="6">
        <v>0.10415117449445663</v>
      </c>
      <c r="L121" s="6">
        <v>-0.3976556505620516</v>
      </c>
      <c r="N121" s="8">
        <f>SQRT((C121-Sheet4!$C$525)^2+(D121-Sheet4!$D$525)^2+(E121-Sheet4!$E$525)^2+(F121-Sheet4!$F$525)^2+(G121-Sheet4!$G$525)^2+(H121-Sheet4!$H$525)^2+(I121-Sheet4!$I$525)^2+(J121-Sheet4!$J$525)^2+(K121-Sheet4!$K$525)^2+(L121-Sheet4!$L$525)^2)</f>
        <v>2.4079160590407374</v>
      </c>
      <c r="O121" s="8">
        <f>SQRT((C121-Sheet4!$C$526)^2+(D121-Sheet4!$D$526)^2+(E121-Sheet4!$E$526)^2+(F121-Sheet4!$F$526)^2+(G121-Sheet4!$G$526)^2+(H121-Sheet4!$H$526)^2+(I121-Sheet4!$I$526)^2+(J121-Sheet4!$J$526)^2+(K121-Sheet4!$K$526)^2+(L121-Sheet4!$L$526)^2)</f>
        <v>5.1016935396175107</v>
      </c>
      <c r="P121" s="12">
        <f t="shared" si="1"/>
        <v>0</v>
      </c>
      <c r="Q121" s="11">
        <f>IF(P121=Sheet1!$M121, 1, 0)</f>
        <v>1</v>
      </c>
    </row>
    <row r="122" spans="1:17" x14ac:dyDescent="0.35">
      <c r="A122" s="6" t="s">
        <v>133</v>
      </c>
      <c r="B122" s="6" t="s">
        <v>139</v>
      </c>
      <c r="C122" s="6">
        <v>-4.6051711715030925E-2</v>
      </c>
      <c r="D122" s="6">
        <v>-8.3851095881230658E-2</v>
      </c>
      <c r="E122" s="6">
        <v>2.9549482141621172E-2</v>
      </c>
      <c r="F122" s="6">
        <v>-0.19824802405540123</v>
      </c>
      <c r="G122" s="6">
        <v>-0.84980163127866415</v>
      </c>
      <c r="H122" s="6">
        <v>0.5164298799980489</v>
      </c>
      <c r="I122" s="6">
        <v>-0.58309288953357719</v>
      </c>
      <c r="J122" s="6">
        <v>-0.52364575042304495</v>
      </c>
      <c r="K122" s="6">
        <v>-0.83791932220154486</v>
      </c>
      <c r="L122" s="6">
        <v>-0.38727149515921888</v>
      </c>
      <c r="N122" s="8">
        <f>SQRT((C122-Sheet4!$C$525)^2+(D122-Sheet4!$D$525)^2+(E122-Sheet4!$E$525)^2+(F122-Sheet4!$F$525)^2+(G122-Sheet4!$G$525)^2+(H122-Sheet4!$H$525)^2+(I122-Sheet4!$I$525)^2+(J122-Sheet4!$J$525)^2+(K122-Sheet4!$K$525)^2+(L122-Sheet4!$L$525)^2)</f>
        <v>1.5776643184215402</v>
      </c>
      <c r="O122" s="8">
        <f>SQRT((C122-Sheet4!$C$526)^2+(D122-Sheet4!$D$526)^2+(E122-Sheet4!$E$526)^2+(F122-Sheet4!$F$526)^2+(G122-Sheet4!$G$526)^2+(H122-Sheet4!$H$526)^2+(I122-Sheet4!$I$526)^2+(J122-Sheet4!$J$526)^2+(K122-Sheet4!$K$526)^2+(L122-Sheet4!$L$526)^2)</f>
        <v>3.5704579720063689</v>
      </c>
      <c r="P122" s="12">
        <f t="shared" si="1"/>
        <v>0</v>
      </c>
      <c r="Q122" s="11">
        <f>IF(P122=Sheet1!$M122, 1, 0)</f>
        <v>1</v>
      </c>
    </row>
    <row r="123" spans="1:17" x14ac:dyDescent="0.35">
      <c r="A123" s="6" t="s">
        <v>133</v>
      </c>
      <c r="B123" s="6" t="s">
        <v>140</v>
      </c>
      <c r="C123" s="6">
        <v>-3.6657559387630961E-2</v>
      </c>
      <c r="D123" s="6">
        <v>-0.15750440824173179</v>
      </c>
      <c r="E123" s="6">
        <v>0.36552298730942828</v>
      </c>
      <c r="F123" s="6">
        <v>-0.38004631790191756</v>
      </c>
      <c r="G123" s="6">
        <v>-1.8166700210001441</v>
      </c>
      <c r="H123" s="6">
        <v>-1.3817177529000497</v>
      </c>
      <c r="I123" s="6">
        <v>-1.7701101475187617</v>
      </c>
      <c r="J123" s="6">
        <v>-0.71344204108775977</v>
      </c>
      <c r="K123" s="6">
        <v>0.39835259206729601</v>
      </c>
      <c r="L123" s="6">
        <v>-0.41313242337968759</v>
      </c>
      <c r="N123" s="8">
        <f>SQRT((C123-Sheet4!$C$525)^2+(D123-Sheet4!$D$525)^2+(E123-Sheet4!$E$525)^2+(F123-Sheet4!$F$525)^2+(G123-Sheet4!$G$525)^2+(H123-Sheet4!$H$525)^2+(I123-Sheet4!$I$525)^2+(J123-Sheet4!$J$525)^2+(K123-Sheet4!$K$525)^2+(L123-Sheet4!$L$525)^2)</f>
        <v>2.5969677744305315</v>
      </c>
      <c r="O123" s="8">
        <f>SQRT((C123-Sheet4!$C$526)^2+(D123-Sheet4!$D$526)^2+(E123-Sheet4!$E$526)^2+(F123-Sheet4!$F$526)^2+(G123-Sheet4!$G$526)^2+(H123-Sheet4!$H$526)^2+(I123-Sheet4!$I$526)^2+(J123-Sheet4!$J$526)^2+(K123-Sheet4!$K$526)^2+(L123-Sheet4!$L$526)^2)</f>
        <v>5.2253697104468184</v>
      </c>
      <c r="P123" s="12">
        <f t="shared" si="1"/>
        <v>0</v>
      </c>
      <c r="Q123" s="11">
        <f>IF(P123=Sheet1!$M123, 1, 0)</f>
        <v>1</v>
      </c>
    </row>
    <row r="124" spans="1:17" x14ac:dyDescent="0.35">
      <c r="A124" s="6" t="s">
        <v>133</v>
      </c>
      <c r="B124" s="6" t="s">
        <v>141</v>
      </c>
      <c r="C124" s="6">
        <v>0.34313459899153748</v>
      </c>
      <c r="D124" s="6">
        <v>-8.9988871911273333E-2</v>
      </c>
      <c r="E124" s="6">
        <v>-0.34915749517472278</v>
      </c>
      <c r="F124" s="6">
        <v>-0.20132935106974834</v>
      </c>
      <c r="G124" s="6">
        <v>-0.45782795976995844</v>
      </c>
      <c r="H124" s="6">
        <v>-0.55599121452525291</v>
      </c>
      <c r="I124" s="6">
        <v>-1.4335123428913839</v>
      </c>
      <c r="J124" s="6">
        <v>-1.203116471002724</v>
      </c>
      <c r="K124" s="6">
        <v>0.9585872063815295</v>
      </c>
      <c r="L124" s="6">
        <v>-0.39846230273950839</v>
      </c>
      <c r="N124" s="8">
        <f>SQRT((C124-Sheet4!$C$525)^2+(D124-Sheet4!$D$525)^2+(E124-Sheet4!$E$525)^2+(F124-Sheet4!$F$525)^2+(G124-Sheet4!$G$525)^2+(H124-Sheet4!$H$525)^2+(I124-Sheet4!$I$525)^2+(J124-Sheet4!$J$525)^2+(K124-Sheet4!$K$525)^2+(L124-Sheet4!$L$525)^2)</f>
        <v>1.7078090449088297</v>
      </c>
      <c r="O124" s="8">
        <f>SQRT((C124-Sheet4!$C$526)^2+(D124-Sheet4!$D$526)^2+(E124-Sheet4!$E$526)^2+(F124-Sheet4!$F$526)^2+(G124-Sheet4!$G$526)^2+(H124-Sheet4!$H$526)^2+(I124-Sheet4!$I$526)^2+(J124-Sheet4!$J$526)^2+(K124-Sheet4!$K$526)^2+(L124-Sheet4!$L$526)^2)</f>
        <v>4.7386107654332692</v>
      </c>
      <c r="P124" s="12">
        <f t="shared" si="1"/>
        <v>0</v>
      </c>
      <c r="Q124" s="11">
        <f>IF(P124=Sheet1!$M124, 1, 0)</f>
        <v>1</v>
      </c>
    </row>
    <row r="125" spans="1:17" x14ac:dyDescent="0.35">
      <c r="A125" s="6" t="s">
        <v>133</v>
      </c>
      <c r="B125" s="6" t="s">
        <v>142</v>
      </c>
      <c r="C125" s="6">
        <v>-0.34800660795288568</v>
      </c>
      <c r="D125" s="6">
        <v>-0.58714873034465098</v>
      </c>
      <c r="E125" s="6">
        <v>-0.31452864705435668</v>
      </c>
      <c r="F125" s="6">
        <v>-0.30301314254322465</v>
      </c>
      <c r="G125" s="6">
        <v>-0.42588936431369356</v>
      </c>
      <c r="H125" s="6">
        <v>0.16308571223949248</v>
      </c>
      <c r="I125" s="6">
        <v>-1.4073750133653939</v>
      </c>
      <c r="J125" s="6">
        <v>-0.37560464370456742</v>
      </c>
      <c r="K125" s="6">
        <v>-0.3355860507074982</v>
      </c>
      <c r="L125" s="6">
        <v>-0.39726936436066201</v>
      </c>
      <c r="N125" s="8">
        <f>SQRT((C125-Sheet4!$C$525)^2+(D125-Sheet4!$D$525)^2+(E125-Sheet4!$E$525)^2+(F125-Sheet4!$F$525)^2+(G125-Sheet4!$G$525)^2+(H125-Sheet4!$H$525)^2+(I125-Sheet4!$I$525)^2+(J125-Sheet4!$J$525)^2+(K125-Sheet4!$K$525)^2+(L125-Sheet4!$L$525)^2)</f>
        <v>1.4939796261067804</v>
      </c>
      <c r="O125" s="8">
        <f>SQRT((C125-Sheet4!$C$526)^2+(D125-Sheet4!$D$526)^2+(E125-Sheet4!$E$526)^2+(F125-Sheet4!$F$526)^2+(G125-Sheet4!$G$526)^2+(H125-Sheet4!$H$526)^2+(I125-Sheet4!$I$526)^2+(J125-Sheet4!$J$526)^2+(K125-Sheet4!$K$526)^2+(L125-Sheet4!$L$526)^2)</f>
        <v>4.0380620494511872</v>
      </c>
      <c r="P125" s="12">
        <f t="shared" si="1"/>
        <v>0</v>
      </c>
      <c r="Q125" s="11">
        <f>IF(P125=Sheet1!$M125, 1, 0)</f>
        <v>1</v>
      </c>
    </row>
    <row r="126" spans="1:17" x14ac:dyDescent="0.35">
      <c r="A126" s="6" t="s">
        <v>133</v>
      </c>
      <c r="B126" s="6" t="s">
        <v>143</v>
      </c>
      <c r="C126" s="6">
        <v>0.75379325787502005</v>
      </c>
      <c r="D126" s="6">
        <v>2.0643705146333677</v>
      </c>
      <c r="E126" s="6">
        <v>1.3937050628832766</v>
      </c>
      <c r="F126" s="6">
        <v>1.6351415494814909</v>
      </c>
      <c r="G126" s="6">
        <v>0.15771587993260558</v>
      </c>
      <c r="H126" s="6">
        <v>1.0017394762639924</v>
      </c>
      <c r="I126" s="6">
        <v>0.45092536634825392</v>
      </c>
      <c r="J126" s="6">
        <v>0.48986644172653154</v>
      </c>
      <c r="K126" s="6">
        <v>-0.63291727059493941</v>
      </c>
      <c r="L126" s="6">
        <v>-0.12810490102920816</v>
      </c>
      <c r="N126" s="8">
        <f>SQRT((C126-Sheet4!$C$525)^2+(D126-Sheet4!$D$525)^2+(E126-Sheet4!$E$525)^2+(F126-Sheet4!$F$525)^2+(G126-Sheet4!$G$525)^2+(H126-Sheet4!$H$525)^2+(I126-Sheet4!$I$525)^2+(J126-Sheet4!$J$525)^2+(K126-Sheet4!$K$525)^2+(L126-Sheet4!$L$525)^2)</f>
        <v>4.1575642786755953</v>
      </c>
      <c r="O126" s="8">
        <f>SQRT((C126-Sheet4!$C$526)^2+(D126-Sheet4!$D$526)^2+(E126-Sheet4!$E$526)^2+(F126-Sheet4!$F$526)^2+(G126-Sheet4!$G$526)^2+(H126-Sheet4!$H$526)^2+(I126-Sheet4!$I$526)^2+(J126-Sheet4!$J$526)^2+(K126-Sheet4!$K$526)^2+(L126-Sheet4!$L$526)^2)</f>
        <v>2.2351109442960975</v>
      </c>
      <c r="P126" s="12">
        <f t="shared" si="1"/>
        <v>1</v>
      </c>
      <c r="Q126" s="11">
        <f>IF(P126=Sheet1!$M126, 1, 0)</f>
        <v>0</v>
      </c>
    </row>
    <row r="127" spans="1:17" x14ac:dyDescent="0.35">
      <c r="A127" s="6" t="s">
        <v>144</v>
      </c>
      <c r="B127" s="6" t="s">
        <v>145</v>
      </c>
      <c r="C127" s="6">
        <v>7.3388225019053926E-2</v>
      </c>
      <c r="D127" s="6">
        <v>-0.22501994457219024</v>
      </c>
      <c r="E127" s="6">
        <v>-0.13106943041667257</v>
      </c>
      <c r="F127" s="6">
        <v>-0.31225712358626595</v>
      </c>
      <c r="G127" s="6">
        <v>-0.58267883291717426</v>
      </c>
      <c r="H127" s="6">
        <v>-3.7824919732979537E-2</v>
      </c>
      <c r="I127" s="6">
        <v>-0.90375329810852245</v>
      </c>
      <c r="J127" s="6">
        <v>-0.84629944455306005</v>
      </c>
      <c r="K127" s="6">
        <v>2.1541716905605091</v>
      </c>
      <c r="L127" s="6">
        <v>-0.3533505017248047</v>
      </c>
      <c r="N127" s="8">
        <f>SQRT((C127-Sheet4!$C$525)^2+(D127-Sheet4!$D$525)^2+(E127-Sheet4!$E$525)^2+(F127-Sheet4!$F$525)^2+(G127-Sheet4!$G$525)^2+(H127-Sheet4!$H$525)^2+(I127-Sheet4!$I$525)^2+(J127-Sheet4!$J$525)^2+(K127-Sheet4!$K$525)^2+(L127-Sheet4!$L$525)^2)</f>
        <v>2.1645496968091904</v>
      </c>
      <c r="O127" s="8">
        <f>SQRT((C127-Sheet4!$C$526)^2+(D127-Sheet4!$D$526)^2+(E127-Sheet4!$E$526)^2+(F127-Sheet4!$F$526)^2+(G127-Sheet4!$G$526)^2+(H127-Sheet4!$H$526)^2+(I127-Sheet4!$I$526)^2+(J127-Sheet4!$J$526)^2+(K127-Sheet4!$K$526)^2+(L127-Sheet4!$L$526)^2)</f>
        <v>4.7870704631165459</v>
      </c>
      <c r="P127" s="12">
        <f t="shared" si="1"/>
        <v>0</v>
      </c>
      <c r="Q127" s="11">
        <f>IF(P127=Sheet1!$M127, 1, 0)</f>
        <v>1</v>
      </c>
    </row>
    <row r="128" spans="1:17" x14ac:dyDescent="0.35">
      <c r="A128" s="6" t="s">
        <v>144</v>
      </c>
      <c r="B128" s="6" t="s">
        <v>146</v>
      </c>
      <c r="C128" s="6">
        <v>-6.2155972847716408E-2</v>
      </c>
      <c r="D128" s="6">
        <v>-0.67307759476523532</v>
      </c>
      <c r="E128" s="6">
        <v>-0.39004900731685721</v>
      </c>
      <c r="F128" s="6">
        <v>-0.50484006198299824</v>
      </c>
      <c r="G128" s="6">
        <v>-0.28652094777726311</v>
      </c>
      <c r="H128" s="6">
        <v>-0.44395525889449122</v>
      </c>
      <c r="I128" s="6">
        <v>-1.3538253626292205</v>
      </c>
      <c r="J128" s="6">
        <v>-0.80834018642011707</v>
      </c>
      <c r="K128" s="6">
        <v>-0.11024028405596094</v>
      </c>
      <c r="L128" s="6">
        <v>-0.23066627997772018</v>
      </c>
      <c r="N128" s="8">
        <f>SQRT((C128-Sheet4!$C$525)^2+(D128-Sheet4!$D$525)^2+(E128-Sheet4!$E$525)^2+(F128-Sheet4!$F$525)^2+(G128-Sheet4!$G$525)^2+(H128-Sheet4!$H$525)^2+(I128-Sheet4!$I$525)^2+(J128-Sheet4!$J$525)^2+(K128-Sheet4!$K$525)^2+(L128-Sheet4!$L$525)^2)</f>
        <v>1.3145687625482989</v>
      </c>
      <c r="O128" s="8">
        <f>SQRT((C128-Sheet4!$C$526)^2+(D128-Sheet4!$D$526)^2+(E128-Sheet4!$E$526)^2+(F128-Sheet4!$F$526)^2+(G128-Sheet4!$G$526)^2+(H128-Sheet4!$H$526)^2+(I128-Sheet4!$I$526)^2+(J128-Sheet4!$J$526)^2+(K128-Sheet4!$K$526)^2+(L128-Sheet4!$L$526)^2)</f>
        <v>4.4001672298328938</v>
      </c>
      <c r="P128" s="12">
        <f t="shared" si="1"/>
        <v>0</v>
      </c>
      <c r="Q128" s="11">
        <f>IF(P128=Sheet1!$M128, 1, 0)</f>
        <v>1</v>
      </c>
    </row>
    <row r="129" spans="1:17" x14ac:dyDescent="0.35">
      <c r="A129" s="6" t="s">
        <v>144</v>
      </c>
      <c r="B129" s="6" t="s">
        <v>147</v>
      </c>
      <c r="C129" s="6">
        <v>0.25724520628388092</v>
      </c>
      <c r="D129" s="6">
        <v>-0.45211765768373352</v>
      </c>
      <c r="E129" s="6">
        <v>-0.14506832646533119</v>
      </c>
      <c r="F129" s="6">
        <v>-0.22135797666300996</v>
      </c>
      <c r="G129" s="6">
        <v>-6.8757796939092355E-2</v>
      </c>
      <c r="H129" s="6">
        <v>0.92633065997405695</v>
      </c>
      <c r="I129" s="6">
        <v>0.17743965008850993</v>
      </c>
      <c r="J129" s="6">
        <v>7.9906453890747658E-2</v>
      </c>
      <c r="K129" s="6">
        <v>-0.53432849768489332</v>
      </c>
      <c r="L129" s="6">
        <v>0.17921940270797443</v>
      </c>
      <c r="N129" s="8">
        <f>SQRT((C129-Sheet4!$C$525)^2+(D129-Sheet4!$D$525)^2+(E129-Sheet4!$E$525)^2+(F129-Sheet4!$F$525)^2+(G129-Sheet4!$G$525)^2+(H129-Sheet4!$H$525)^2+(I129-Sheet4!$I$525)^2+(J129-Sheet4!$J$525)^2+(K129-Sheet4!$K$525)^2+(L129-Sheet4!$L$525)^2)</f>
        <v>1.6245821404399052</v>
      </c>
      <c r="O129" s="8">
        <f>SQRT((C129-Sheet4!$C$526)^2+(D129-Sheet4!$D$526)^2+(E129-Sheet4!$E$526)^2+(F129-Sheet4!$F$526)^2+(G129-Sheet4!$G$526)^2+(H129-Sheet4!$H$526)^2+(I129-Sheet4!$I$526)^2+(J129-Sheet4!$J$526)^2+(K129-Sheet4!$K$526)^2+(L129-Sheet4!$L$526)^2)</f>
        <v>2.959224161154729</v>
      </c>
      <c r="P129" s="12">
        <f t="shared" si="1"/>
        <v>0</v>
      </c>
      <c r="Q129" s="11">
        <f>IF(P129=Sheet1!$M129, 1, 0)</f>
        <v>1</v>
      </c>
    </row>
    <row r="130" spans="1:17" x14ac:dyDescent="0.35">
      <c r="A130" s="6" t="s">
        <v>144</v>
      </c>
      <c r="B130" s="6" t="s">
        <v>148</v>
      </c>
      <c r="C130" s="6">
        <v>0.3766851430179658</v>
      </c>
      <c r="D130" s="6">
        <v>-0.40915322547344196</v>
      </c>
      <c r="E130" s="6">
        <v>-0.11007108634368462</v>
      </c>
      <c r="F130" s="6">
        <v>-4.1100346323668296E-2</v>
      </c>
      <c r="G130" s="6">
        <v>0.32611938324745715</v>
      </c>
      <c r="H130" s="6">
        <v>0.48949815989450041</v>
      </c>
      <c r="I130" s="6">
        <v>-5.0146365540228978E-2</v>
      </c>
      <c r="J130" s="6">
        <v>-0.76278907666058571</v>
      </c>
      <c r="K130" s="6">
        <v>-0.12432439447168243</v>
      </c>
      <c r="L130" s="6">
        <v>0.14702417061640474</v>
      </c>
      <c r="N130" s="8">
        <f>SQRT((C130-Sheet4!$C$525)^2+(D130-Sheet4!$D$525)^2+(E130-Sheet4!$E$525)^2+(F130-Sheet4!$F$525)^2+(G130-Sheet4!$G$525)^2+(H130-Sheet4!$H$525)^2+(I130-Sheet4!$I$525)^2+(J130-Sheet4!$J$525)^2+(K130-Sheet4!$K$525)^2+(L130-Sheet4!$L$525)^2)</f>
        <v>1.2713215893368306</v>
      </c>
      <c r="O130" s="8">
        <f>SQRT((C130-Sheet4!$C$526)^2+(D130-Sheet4!$D$526)^2+(E130-Sheet4!$E$526)^2+(F130-Sheet4!$F$526)^2+(G130-Sheet4!$G$526)^2+(H130-Sheet4!$H$526)^2+(I130-Sheet4!$I$526)^2+(J130-Sheet4!$J$526)^2+(K130-Sheet4!$K$526)^2+(L130-Sheet4!$L$526)^2)</f>
        <v>3.2535849613046488</v>
      </c>
      <c r="P130" s="12">
        <f t="shared" si="1"/>
        <v>0</v>
      </c>
      <c r="Q130" s="11">
        <f>IF(P130=Sheet1!$M130, 1, 0)</f>
        <v>1</v>
      </c>
    </row>
    <row r="131" spans="1:17" x14ac:dyDescent="0.35">
      <c r="A131" s="6" t="s">
        <v>144</v>
      </c>
      <c r="B131" s="6" t="s">
        <v>149</v>
      </c>
      <c r="C131" s="6">
        <v>-3.7999581148688066E-2</v>
      </c>
      <c r="D131" s="6">
        <v>-0.5196331940141925</v>
      </c>
      <c r="E131" s="6">
        <v>0.3441562512351598</v>
      </c>
      <c r="F131" s="6">
        <v>4.6717473585242759E-2</v>
      </c>
      <c r="G131" s="6">
        <v>6.1900093563810932E-2</v>
      </c>
      <c r="H131" s="6">
        <v>0.11676315366138909</v>
      </c>
      <c r="I131" s="6">
        <v>-0.39758159948326027</v>
      </c>
      <c r="J131" s="6">
        <v>-0.28450242418550464</v>
      </c>
      <c r="K131" s="6">
        <v>0.43747512099985425</v>
      </c>
      <c r="L131" s="6">
        <v>0.55885733168302165</v>
      </c>
      <c r="N131" s="8">
        <f>SQRT((C131-Sheet4!$C$525)^2+(D131-Sheet4!$D$525)^2+(E131-Sheet4!$E$525)^2+(F131-Sheet4!$F$525)^2+(G131-Sheet4!$G$525)^2+(H131-Sheet4!$H$525)^2+(I131-Sheet4!$I$525)^2+(J131-Sheet4!$J$525)^2+(K131-Sheet4!$K$525)^2+(L131-Sheet4!$L$525)^2)</f>
        <v>1.3496900199953541</v>
      </c>
      <c r="O131" s="8">
        <f>SQRT((C131-Sheet4!$C$526)^2+(D131-Sheet4!$D$526)^2+(E131-Sheet4!$E$526)^2+(F131-Sheet4!$F$526)^2+(G131-Sheet4!$G$526)^2+(H131-Sheet4!$H$526)^2+(I131-Sheet4!$I$526)^2+(J131-Sheet4!$J$526)^2+(K131-Sheet4!$K$526)^2+(L131-Sheet4!$L$526)^2)</f>
        <v>3.0809891723439438</v>
      </c>
      <c r="P131" s="12">
        <f t="shared" ref="P131:P194" si="2">IF(N131&lt;=O131, 0, 1)</f>
        <v>0</v>
      </c>
      <c r="Q131" s="11">
        <f>IF(P131=Sheet1!$M131, 1, 0)</f>
        <v>1</v>
      </c>
    </row>
    <row r="132" spans="1:17" x14ac:dyDescent="0.35">
      <c r="A132" s="6" t="s">
        <v>144</v>
      </c>
      <c r="B132" s="6" t="s">
        <v>150</v>
      </c>
      <c r="C132" s="6">
        <v>0.98730504429896082</v>
      </c>
      <c r="D132" s="6">
        <v>-5.9299991761064347E-2</v>
      </c>
      <c r="E132" s="6">
        <v>-0.58492837599423653</v>
      </c>
      <c r="F132" s="6">
        <v>-0.31379778709344058</v>
      </c>
      <c r="G132" s="6">
        <v>-0.103599901073201</v>
      </c>
      <c r="H132" s="6">
        <v>-0.11700417683741206</v>
      </c>
      <c r="I132" s="6">
        <v>-1.4252248969441188</v>
      </c>
      <c r="J132" s="6">
        <v>0.41015199964735133</v>
      </c>
      <c r="K132" s="6">
        <v>-0.4326099224602411</v>
      </c>
      <c r="L132" s="6">
        <v>-0.10941019093429626</v>
      </c>
      <c r="N132" s="8">
        <f>SQRT((C132-Sheet4!$C$525)^2+(D132-Sheet4!$D$525)^2+(E132-Sheet4!$E$525)^2+(F132-Sheet4!$F$525)^2+(G132-Sheet4!$G$525)^2+(H132-Sheet4!$H$525)^2+(I132-Sheet4!$I$525)^2+(J132-Sheet4!$J$525)^2+(K132-Sheet4!$K$525)^2+(L132-Sheet4!$L$525)^2)</f>
        <v>1.7864383226800513</v>
      </c>
      <c r="O132" s="8">
        <f>SQRT((C132-Sheet4!$C$526)^2+(D132-Sheet4!$D$526)^2+(E132-Sheet4!$E$526)^2+(F132-Sheet4!$F$526)^2+(G132-Sheet4!$G$526)^2+(H132-Sheet4!$H$526)^2+(I132-Sheet4!$I$526)^2+(J132-Sheet4!$J$526)^2+(K132-Sheet4!$K$526)^2+(L132-Sheet4!$L$526)^2)</f>
        <v>3.981315525061782</v>
      </c>
      <c r="P132" s="12">
        <f t="shared" si="2"/>
        <v>0</v>
      </c>
      <c r="Q132" s="11">
        <f>IF(P132=Sheet1!$M132, 1, 0)</f>
        <v>1</v>
      </c>
    </row>
    <row r="133" spans="1:17" x14ac:dyDescent="0.35">
      <c r="A133" s="6" t="s">
        <v>144</v>
      </c>
      <c r="B133" s="6" t="s">
        <v>151</v>
      </c>
      <c r="C133" s="6">
        <v>0.10962281256759644</v>
      </c>
      <c r="D133" s="6">
        <v>-0.44597988165369196</v>
      </c>
      <c r="E133" s="6">
        <v>-0.42430946343594278</v>
      </c>
      <c r="F133" s="6">
        <v>-0.3630990193230052</v>
      </c>
      <c r="G133" s="6">
        <v>-5.7143762227725561E-2</v>
      </c>
      <c r="H133" s="6">
        <v>7.8520111114349797E-2</v>
      </c>
      <c r="I133" s="6">
        <v>-1.2760508698933488</v>
      </c>
      <c r="J133" s="6">
        <v>-0.64511537644846251</v>
      </c>
      <c r="K133" s="6">
        <v>0.83183021264004053</v>
      </c>
      <c r="L133" s="6">
        <v>-0.25549545398970647</v>
      </c>
      <c r="N133" s="8">
        <f>SQRT((C133-Sheet4!$C$525)^2+(D133-Sheet4!$D$525)^2+(E133-Sheet4!$E$525)^2+(F133-Sheet4!$F$525)^2+(G133-Sheet4!$G$525)^2+(H133-Sheet4!$H$525)^2+(I133-Sheet4!$I$525)^2+(J133-Sheet4!$J$525)^2+(K133-Sheet4!$K$525)^2+(L133-Sheet4!$L$525)^2)</f>
        <v>1.3033562710990332</v>
      </c>
      <c r="O133" s="8">
        <f>SQRT((C133-Sheet4!$C$526)^2+(D133-Sheet4!$D$526)^2+(E133-Sheet4!$E$526)^2+(F133-Sheet4!$F$526)^2+(G133-Sheet4!$G$526)^2+(H133-Sheet4!$H$526)^2+(I133-Sheet4!$I$526)^2+(J133-Sheet4!$J$526)^2+(K133-Sheet4!$K$526)^2+(L133-Sheet4!$L$526)^2)</f>
        <v>4.2520013905758489</v>
      </c>
      <c r="P133" s="12">
        <f t="shared" si="2"/>
        <v>0</v>
      </c>
      <c r="Q133" s="11">
        <f>IF(P133=Sheet1!$M133, 1, 0)</f>
        <v>1</v>
      </c>
    </row>
    <row r="134" spans="1:17" x14ac:dyDescent="0.35">
      <c r="A134" s="6" t="s">
        <v>144</v>
      </c>
      <c r="B134" s="6" t="s">
        <v>152</v>
      </c>
      <c r="C134" s="6">
        <v>-0.34934862971394282</v>
      </c>
      <c r="D134" s="6">
        <v>-0.54418429813435942</v>
      </c>
      <c r="E134" s="6">
        <v>0.15111884256418295</v>
      </c>
      <c r="F134" s="6">
        <v>-0.18438205249083597</v>
      </c>
      <c r="G134" s="6">
        <v>0.10254921505360297</v>
      </c>
      <c r="H134" s="6">
        <v>0.41085753719213836</v>
      </c>
      <c r="I134" s="6">
        <v>-0.28601982711623164</v>
      </c>
      <c r="J134" s="6">
        <v>-0.3642168662646848</v>
      </c>
      <c r="K134" s="6">
        <v>-0.17909593497726528</v>
      </c>
      <c r="L134" s="6">
        <v>-0.12330485565918529</v>
      </c>
      <c r="N134" s="8">
        <f>SQRT((C134-Sheet4!$C$525)^2+(D134-Sheet4!$D$525)^2+(E134-Sheet4!$E$525)^2+(F134-Sheet4!$F$525)^2+(G134-Sheet4!$G$525)^2+(H134-Sheet4!$H$525)^2+(I134-Sheet4!$I$525)^2+(J134-Sheet4!$J$525)^2+(K134-Sheet4!$K$525)^2+(L134-Sheet4!$L$525)^2)</f>
        <v>1.2153188528619481</v>
      </c>
      <c r="O134" s="8">
        <f>SQRT((C134-Sheet4!$C$526)^2+(D134-Sheet4!$D$526)^2+(E134-Sheet4!$E$526)^2+(F134-Sheet4!$F$526)^2+(G134-Sheet4!$G$526)^2+(H134-Sheet4!$H$526)^2+(I134-Sheet4!$I$526)^2+(J134-Sheet4!$J$526)^2+(K134-Sheet4!$K$526)^2+(L134-Sheet4!$L$526)^2)</f>
        <v>3.0915642315181104</v>
      </c>
      <c r="P134" s="12">
        <f t="shared" si="2"/>
        <v>0</v>
      </c>
      <c r="Q134" s="11">
        <f>IF(P134=Sheet1!$M134, 1, 0)</f>
        <v>1</v>
      </c>
    </row>
    <row r="135" spans="1:17" x14ac:dyDescent="0.35">
      <c r="A135" s="6" t="s">
        <v>144</v>
      </c>
      <c r="B135" s="6" t="s">
        <v>153</v>
      </c>
      <c r="C135" s="6">
        <v>0.38071120830113708</v>
      </c>
      <c r="D135" s="6">
        <v>-0.44597988165369196</v>
      </c>
      <c r="E135" s="6">
        <v>-0.8807471530224702</v>
      </c>
      <c r="F135" s="6">
        <v>-0.5834139008488658</v>
      </c>
      <c r="G135" s="6">
        <v>-0.14715253124083269</v>
      </c>
      <c r="H135" s="6">
        <v>0.35160775296433194</v>
      </c>
      <c r="I135" s="6">
        <v>0.12325250351023832</v>
      </c>
      <c r="J135" s="6">
        <v>-0.33005353394503589</v>
      </c>
      <c r="K135" s="6">
        <v>-0.63291727059493941</v>
      </c>
      <c r="L135" s="6">
        <v>-0.21880394830264746</v>
      </c>
      <c r="N135" s="8">
        <f>SQRT((C135-Sheet4!$C$525)^2+(D135-Sheet4!$D$525)^2+(E135-Sheet4!$E$525)^2+(F135-Sheet4!$F$525)^2+(G135-Sheet4!$G$525)^2+(H135-Sheet4!$H$525)^2+(I135-Sheet4!$I$525)^2+(J135-Sheet4!$J$525)^2+(K135-Sheet4!$K$525)^2+(L135-Sheet4!$L$525)^2)</f>
        <v>1.2338096501330593</v>
      </c>
      <c r="O135" s="8">
        <f>SQRT((C135-Sheet4!$C$526)^2+(D135-Sheet4!$D$526)^2+(E135-Sheet4!$E$526)^2+(F135-Sheet4!$F$526)^2+(G135-Sheet4!$G$526)^2+(H135-Sheet4!$H$526)^2+(I135-Sheet4!$I$526)^2+(J135-Sheet4!$J$526)^2+(K135-Sheet4!$K$526)^2+(L135-Sheet4!$L$526)^2)</f>
        <v>3.7683489996534525</v>
      </c>
      <c r="P135" s="12">
        <f t="shared" si="2"/>
        <v>0</v>
      </c>
      <c r="Q135" s="11">
        <f>IF(P135=Sheet1!$M135, 1, 0)</f>
        <v>1</v>
      </c>
    </row>
    <row r="136" spans="1:17" x14ac:dyDescent="0.35">
      <c r="A136" s="6" t="s">
        <v>144</v>
      </c>
      <c r="B136" s="6" t="s">
        <v>154</v>
      </c>
      <c r="C136" s="6">
        <v>-0.29029967222742903</v>
      </c>
      <c r="D136" s="6">
        <v>-2.8611111610855368E-2</v>
      </c>
      <c r="E136" s="6">
        <v>-8.3948939902693219E-3</v>
      </c>
      <c r="F136" s="6">
        <v>8.0612070743067463E-2</v>
      </c>
      <c r="G136" s="6">
        <v>0.17804044067749952</v>
      </c>
      <c r="H136" s="6">
        <v>0.63062037323709397</v>
      </c>
      <c r="I136" s="6">
        <v>0.73588600776575075</v>
      </c>
      <c r="J136" s="6">
        <v>-7.9522430267612701E-2</v>
      </c>
      <c r="K136" s="6">
        <v>-0.38096818426926449</v>
      </c>
      <c r="L136" s="6">
        <v>-0.29449262045960378</v>
      </c>
      <c r="N136" s="8">
        <f>SQRT((C136-Sheet4!$C$525)^2+(D136-Sheet4!$D$525)^2+(E136-Sheet4!$E$525)^2+(F136-Sheet4!$F$525)^2+(G136-Sheet4!$G$525)^2+(H136-Sheet4!$H$525)^2+(I136-Sheet4!$I$525)^2+(J136-Sheet4!$J$525)^2+(K136-Sheet4!$K$525)^2+(L136-Sheet4!$L$525)^2)</f>
        <v>1.7867225915901048</v>
      </c>
      <c r="O136" s="8">
        <f>SQRT((C136-Sheet4!$C$526)^2+(D136-Sheet4!$D$526)^2+(E136-Sheet4!$E$526)^2+(F136-Sheet4!$F$526)^2+(G136-Sheet4!$G$526)^2+(H136-Sheet4!$H$526)^2+(I136-Sheet4!$I$526)^2+(J136-Sheet4!$J$526)^2+(K136-Sheet4!$K$526)^2+(L136-Sheet4!$L$526)^2)</f>
        <v>2.4987788117958898</v>
      </c>
      <c r="P136" s="12">
        <f t="shared" si="2"/>
        <v>0</v>
      </c>
      <c r="Q136" s="11">
        <f>IF(P136=Sheet1!$M136, 1, 0)</f>
        <v>1</v>
      </c>
    </row>
    <row r="137" spans="1:17" x14ac:dyDescent="0.35">
      <c r="A137" s="6" t="s">
        <v>144</v>
      </c>
      <c r="B137" s="6" t="s">
        <v>155</v>
      </c>
      <c r="C137" s="6">
        <v>-0.63519926481911193</v>
      </c>
      <c r="D137" s="6">
        <v>-0.83265977154631954</v>
      </c>
      <c r="E137" s="6">
        <v>-0.86380112096356765</v>
      </c>
      <c r="F137" s="6">
        <v>-0.90695323735537514</v>
      </c>
      <c r="G137" s="6">
        <v>-0.40556480356879548</v>
      </c>
      <c r="H137" s="6">
        <v>9.5756411980621223E-2</v>
      </c>
      <c r="I137" s="6">
        <v>-0.31024466911592991</v>
      </c>
      <c r="J137" s="6">
        <v>-0.62233982156869672</v>
      </c>
      <c r="K137" s="6">
        <v>-3.9819731977357914E-2</v>
      </c>
      <c r="L137" s="6">
        <v>-0.31043236419540871</v>
      </c>
      <c r="N137" s="8">
        <f>SQRT((C137-Sheet4!$C$525)^2+(D137-Sheet4!$D$525)^2+(E137-Sheet4!$E$525)^2+(F137-Sheet4!$F$525)^2+(G137-Sheet4!$G$525)^2+(H137-Sheet4!$H$525)^2+(I137-Sheet4!$I$525)^2+(J137-Sheet4!$J$525)^2+(K137-Sheet4!$K$525)^2+(L137-Sheet4!$L$525)^2)</f>
        <v>1.3006691526710998</v>
      </c>
      <c r="O137" s="8">
        <f>SQRT((C137-Sheet4!$C$526)^2+(D137-Sheet4!$D$526)^2+(E137-Sheet4!$E$526)^2+(F137-Sheet4!$F$526)^2+(G137-Sheet4!$G$526)^2+(H137-Sheet4!$H$526)^2+(I137-Sheet4!$I$526)^2+(J137-Sheet4!$J$526)^2+(K137-Sheet4!$K$526)^2+(L137-Sheet4!$L$526)^2)</f>
        <v>4.2926512311179827</v>
      </c>
      <c r="P137" s="12">
        <f t="shared" si="2"/>
        <v>0</v>
      </c>
      <c r="Q137" s="11">
        <f>IF(P137=Sheet1!$M137, 1, 0)</f>
        <v>1</v>
      </c>
    </row>
    <row r="138" spans="1:17" x14ac:dyDescent="0.35">
      <c r="A138" s="6" t="s">
        <v>144</v>
      </c>
      <c r="B138" s="6" t="s">
        <v>156</v>
      </c>
      <c r="C138" s="6">
        <v>-0.53052156745665557</v>
      </c>
      <c r="D138" s="6">
        <v>-0.64238871461502689</v>
      </c>
      <c r="E138" s="6">
        <v>-0.70097185639759096</v>
      </c>
      <c r="F138" s="6">
        <v>-0.57108859279147517</v>
      </c>
      <c r="G138" s="6">
        <v>0.10835623240928637</v>
      </c>
      <c r="H138" s="6">
        <v>-0.10084514477528311</v>
      </c>
      <c r="I138" s="6">
        <v>-2.6983040936124398</v>
      </c>
      <c r="J138" s="6">
        <v>-0.64891130226175675</v>
      </c>
      <c r="K138" s="6">
        <v>0.44686452794366632</v>
      </c>
      <c r="L138" s="6">
        <v>-0.29239018462373983</v>
      </c>
      <c r="N138" s="8">
        <f>SQRT((C138-Sheet4!$C$525)^2+(D138-Sheet4!$D$525)^2+(E138-Sheet4!$E$525)^2+(F138-Sheet4!$F$525)^2+(G138-Sheet4!$G$525)^2+(H138-Sheet4!$H$525)^2+(I138-Sheet4!$I$525)^2+(J138-Sheet4!$J$525)^2+(K138-Sheet4!$K$525)^2+(L138-Sheet4!$L$525)^2)</f>
        <v>2.6626962606414057</v>
      </c>
      <c r="O138" s="8">
        <f>SQRT((C138-Sheet4!$C$526)^2+(D138-Sheet4!$D$526)^2+(E138-Sheet4!$E$526)^2+(F138-Sheet4!$F$526)^2+(G138-Sheet4!$G$526)^2+(H138-Sheet4!$H$526)^2+(I138-Sheet4!$I$526)^2+(J138-Sheet4!$J$526)^2+(K138-Sheet4!$K$526)^2+(L138-Sheet4!$L$526)^2)</f>
        <v>5.1456063193505814</v>
      </c>
      <c r="P138" s="12">
        <f t="shared" si="2"/>
        <v>0</v>
      </c>
      <c r="Q138" s="11">
        <f>IF(P138=Sheet1!$M138, 1, 0)</f>
        <v>1</v>
      </c>
    </row>
    <row r="139" spans="1:17" x14ac:dyDescent="0.35">
      <c r="A139" s="6" t="s">
        <v>144</v>
      </c>
      <c r="B139" s="6" t="s">
        <v>157</v>
      </c>
      <c r="C139" s="6">
        <v>0.34045055546942327</v>
      </c>
      <c r="D139" s="6">
        <v>-0.15136663221169019</v>
      </c>
      <c r="E139" s="6">
        <v>-0.66008034425545659</v>
      </c>
      <c r="F139" s="6">
        <v>-0.86689598616885621</v>
      </c>
      <c r="G139" s="6">
        <v>-1.7411787953762454</v>
      </c>
      <c r="H139" s="6">
        <v>-2.8129500495701707E-2</v>
      </c>
      <c r="I139" s="6">
        <v>-0.67616728247978353</v>
      </c>
      <c r="J139" s="6">
        <v>-0.75140129922070276</v>
      </c>
      <c r="K139" s="6">
        <v>0.80679179412320379</v>
      </c>
      <c r="L139" s="6">
        <v>-0.39347173659357432</v>
      </c>
      <c r="N139" s="8">
        <f>SQRT((C139-Sheet4!$C$525)^2+(D139-Sheet4!$D$525)^2+(E139-Sheet4!$E$525)^2+(F139-Sheet4!$F$525)^2+(G139-Sheet4!$G$525)^2+(H139-Sheet4!$H$525)^2+(I139-Sheet4!$I$525)^2+(J139-Sheet4!$J$525)^2+(K139-Sheet4!$K$525)^2+(L139-Sheet4!$L$525)^2)</f>
        <v>1.7691411849449696</v>
      </c>
      <c r="O139" s="8">
        <f>SQRT((C139-Sheet4!$C$526)^2+(D139-Sheet4!$D$526)^2+(E139-Sheet4!$E$526)^2+(F139-Sheet4!$F$526)^2+(G139-Sheet4!$G$526)^2+(H139-Sheet4!$H$526)^2+(I139-Sheet4!$I$526)^2+(J139-Sheet4!$J$526)^2+(K139-Sheet4!$K$526)^2+(L139-Sheet4!$L$526)^2)</f>
        <v>4.9881115697083711</v>
      </c>
      <c r="P139" s="12">
        <f t="shared" si="2"/>
        <v>0</v>
      </c>
      <c r="Q139" s="11">
        <f>IF(P139=Sheet1!$M139, 1, 0)</f>
        <v>1</v>
      </c>
    </row>
    <row r="140" spans="1:17" x14ac:dyDescent="0.35">
      <c r="A140" s="6" t="s">
        <v>144</v>
      </c>
      <c r="B140" s="6" t="s">
        <v>158</v>
      </c>
      <c r="C140" s="6">
        <v>-0.42450184833314225</v>
      </c>
      <c r="D140" s="6">
        <v>1.5426595520798214</v>
      </c>
      <c r="E140" s="6">
        <v>0.70812754850028414</v>
      </c>
      <c r="F140" s="6">
        <v>1.1791051513580277</v>
      </c>
      <c r="G140" s="6">
        <v>0.51194393862936305</v>
      </c>
      <c r="H140" s="6">
        <v>0.98288727219150862</v>
      </c>
      <c r="I140" s="6">
        <v>0.84999776350116807</v>
      </c>
      <c r="J140" s="6">
        <v>1.4388478950501051</v>
      </c>
      <c r="K140" s="6">
        <v>-0.35749466690972864</v>
      </c>
      <c r="L140" s="6">
        <v>0.3730600835852288</v>
      </c>
      <c r="N140" s="8">
        <f>SQRT((C140-Sheet4!$C$525)^2+(D140-Sheet4!$D$525)^2+(E140-Sheet4!$E$525)^2+(F140-Sheet4!$F$525)^2+(G140-Sheet4!$G$525)^2+(H140-Sheet4!$H$525)^2+(I140-Sheet4!$I$525)^2+(J140-Sheet4!$J$525)^2+(K140-Sheet4!$K$525)^2+(L140-Sheet4!$L$525)^2)</f>
        <v>3.8983767717163711</v>
      </c>
      <c r="O140" s="8">
        <f>SQRT((C140-Sheet4!$C$526)^2+(D140-Sheet4!$D$526)^2+(E140-Sheet4!$E$526)^2+(F140-Sheet4!$F$526)^2+(G140-Sheet4!$G$526)^2+(H140-Sheet4!$H$526)^2+(I140-Sheet4!$I$526)^2+(J140-Sheet4!$J$526)^2+(K140-Sheet4!$K$526)^2+(L140-Sheet4!$L$526)^2)</f>
        <v>0.9958792964082277</v>
      </c>
      <c r="P140" s="12">
        <f t="shared" si="2"/>
        <v>1</v>
      </c>
      <c r="Q140" s="11">
        <f>IF(P140=Sheet1!$M140, 1, 0)</f>
        <v>0</v>
      </c>
    </row>
    <row r="141" spans="1:17" x14ac:dyDescent="0.35">
      <c r="A141" s="6" t="s">
        <v>144</v>
      </c>
      <c r="B141" s="6" t="s">
        <v>159</v>
      </c>
      <c r="C141" s="6">
        <v>-0.44865824003217064</v>
      </c>
      <c r="D141" s="6">
        <v>1.5549351041399058</v>
      </c>
      <c r="E141" s="6">
        <v>0.58618979607644195</v>
      </c>
      <c r="F141" s="6">
        <v>1.1652391797934625</v>
      </c>
      <c r="G141" s="6">
        <v>0.58162814689757625</v>
      </c>
      <c r="H141" s="6">
        <v>0.93925788562376</v>
      </c>
      <c r="I141" s="6">
        <v>0.59882440171482954</v>
      </c>
      <c r="J141" s="6">
        <v>-2.2583543068198139E-2</v>
      </c>
      <c r="K141" s="6">
        <v>-0.4310450213029402</v>
      </c>
      <c r="L141" s="6">
        <v>-0.36787124387990067</v>
      </c>
      <c r="N141" s="8">
        <f>SQRT((C141-Sheet4!$C$525)^2+(D141-Sheet4!$D$525)^2+(E141-Sheet4!$E$525)^2+(F141-Sheet4!$F$525)^2+(G141-Sheet4!$G$525)^2+(H141-Sheet4!$H$525)^2+(I141-Sheet4!$I$525)^2+(J141-Sheet4!$J$525)^2+(K141-Sheet4!$K$525)^2+(L141-Sheet4!$L$525)^2)</f>
        <v>3.3261762510623476</v>
      </c>
      <c r="O141" s="8">
        <f>SQRT((C141-Sheet4!$C$526)^2+(D141-Sheet4!$D$526)^2+(E141-Sheet4!$E$526)^2+(F141-Sheet4!$F$526)^2+(G141-Sheet4!$G$526)^2+(H141-Sheet4!$H$526)^2+(I141-Sheet4!$I$526)^2+(J141-Sheet4!$J$526)^2+(K141-Sheet4!$K$526)^2+(L141-Sheet4!$L$526)^2)</f>
        <v>1.7214818378283394</v>
      </c>
      <c r="P141" s="12">
        <f t="shared" si="2"/>
        <v>1</v>
      </c>
      <c r="Q141" s="11">
        <f>IF(P141=Sheet1!$M141, 1, 0)</f>
        <v>0</v>
      </c>
    </row>
    <row r="142" spans="1:17" x14ac:dyDescent="0.35">
      <c r="A142" s="6" t="s">
        <v>160</v>
      </c>
      <c r="B142" s="6" t="s">
        <v>161</v>
      </c>
      <c r="C142" s="6">
        <v>-1.0015712055877091</v>
      </c>
      <c r="D142" s="6">
        <v>-0.11453997603143964</v>
      </c>
      <c r="E142" s="6">
        <v>0.77333293272693093</v>
      </c>
      <c r="F142" s="6">
        <v>0.39028543568501156</v>
      </c>
      <c r="G142" s="6">
        <v>0.43064569564977895</v>
      </c>
      <c r="H142" s="6">
        <v>0.99796903544949589</v>
      </c>
      <c r="I142" s="6">
        <v>-1.3321505039979122</v>
      </c>
      <c r="J142" s="6">
        <v>0.34562126082134836</v>
      </c>
      <c r="K142" s="6">
        <v>-1.0617001876957779</v>
      </c>
      <c r="L142" s="6">
        <v>-0.23465894184464939</v>
      </c>
      <c r="N142" s="8">
        <f>SQRT((C142-Sheet4!$C$525)^2+(D142-Sheet4!$D$525)^2+(E142-Sheet4!$E$525)^2+(F142-Sheet4!$F$525)^2+(G142-Sheet4!$G$525)^2+(H142-Sheet4!$H$525)^2+(I142-Sheet4!$I$525)^2+(J142-Sheet4!$J$525)^2+(K142-Sheet4!$K$525)^2+(L142-Sheet4!$L$525)^2)</f>
        <v>2.9960903957386571</v>
      </c>
      <c r="O142" s="8">
        <f>SQRT((C142-Sheet4!$C$526)^2+(D142-Sheet4!$D$526)^2+(E142-Sheet4!$E$526)^2+(F142-Sheet4!$F$526)^2+(G142-Sheet4!$G$526)^2+(H142-Sheet4!$H$526)^2+(I142-Sheet4!$I$526)^2+(J142-Sheet4!$J$526)^2+(K142-Sheet4!$K$526)^2+(L142-Sheet4!$L$526)^2)</f>
        <v>2.8319243510290426</v>
      </c>
      <c r="P142" s="12">
        <f t="shared" si="2"/>
        <v>1</v>
      </c>
      <c r="Q142" s="11">
        <f>IF(P142=Sheet1!$M142, 1, 0)</f>
        <v>0</v>
      </c>
    </row>
    <row r="143" spans="1:17" x14ac:dyDescent="0.35">
      <c r="A143" s="6" t="s">
        <v>160</v>
      </c>
      <c r="B143" s="6" t="s">
        <v>162</v>
      </c>
      <c r="C143" s="6">
        <v>-0.68753811350034011</v>
      </c>
      <c r="D143" s="6">
        <v>2.0491096629478348E-2</v>
      </c>
      <c r="E143" s="6">
        <v>1.1929314221854093</v>
      </c>
      <c r="F143" s="6">
        <v>0.40723273426392392</v>
      </c>
      <c r="G143" s="6">
        <v>0.41903166093840805</v>
      </c>
      <c r="H143" s="6">
        <v>0.93548744480926282</v>
      </c>
      <c r="I143" s="6">
        <v>-1.2001888646837695</v>
      </c>
      <c r="J143" s="6">
        <v>-0.5881764892490482</v>
      </c>
      <c r="K143" s="6">
        <v>-0.49833577106693916</v>
      </c>
      <c r="L143" s="6">
        <v>-0.318734080294791</v>
      </c>
      <c r="N143" s="8">
        <f>SQRT((C143-Sheet4!$C$525)^2+(D143-Sheet4!$D$525)^2+(E143-Sheet4!$E$525)^2+(F143-Sheet4!$F$525)^2+(G143-Sheet4!$G$525)^2+(H143-Sheet4!$H$525)^2+(I143-Sheet4!$I$525)^2+(J143-Sheet4!$J$525)^2+(K143-Sheet4!$K$525)^2+(L143-Sheet4!$L$525)^2)</f>
        <v>2.747435941292574</v>
      </c>
      <c r="O143" s="8">
        <f>SQRT((C143-Sheet4!$C$526)^2+(D143-Sheet4!$D$526)^2+(E143-Sheet4!$E$526)^2+(F143-Sheet4!$F$526)^2+(G143-Sheet4!$G$526)^2+(H143-Sheet4!$H$526)^2+(I143-Sheet4!$I$526)^2+(J143-Sheet4!$J$526)^2+(K143-Sheet4!$K$526)^2+(L143-Sheet4!$L$526)^2)</f>
        <v>3.0098444707963274</v>
      </c>
      <c r="P143" s="12">
        <f t="shared" si="2"/>
        <v>0</v>
      </c>
      <c r="Q143" s="11">
        <f>IF(P143=Sheet1!$M143, 1, 0)</f>
        <v>1</v>
      </c>
    </row>
    <row r="144" spans="1:17" x14ac:dyDescent="0.35">
      <c r="A144" s="6" t="s">
        <v>160</v>
      </c>
      <c r="B144" s="6" t="s">
        <v>163</v>
      </c>
      <c r="C144" s="6">
        <v>-1.2780276883654784</v>
      </c>
      <c r="D144" s="6">
        <v>-0.6116998344648179</v>
      </c>
      <c r="E144" s="6">
        <v>0.71623217252845495</v>
      </c>
      <c r="F144" s="6">
        <v>-5.0344327366711801E-2</v>
      </c>
      <c r="G144" s="6">
        <v>0.12287377579849693</v>
      </c>
      <c r="H144" s="6">
        <v>0.68879288866075861</v>
      </c>
      <c r="I144" s="6">
        <v>-0.31598213169480499</v>
      </c>
      <c r="J144" s="6">
        <v>-0.46670686322363059</v>
      </c>
      <c r="K144" s="6">
        <v>-0.54528280578600863</v>
      </c>
      <c r="L144" s="6">
        <v>-0.24305687950282431</v>
      </c>
      <c r="N144" s="8">
        <f>SQRT((C144-Sheet4!$C$525)^2+(D144-Sheet4!$D$525)^2+(E144-Sheet4!$E$525)^2+(F144-Sheet4!$F$525)^2+(G144-Sheet4!$G$525)^2+(H144-Sheet4!$H$525)^2+(I144-Sheet4!$I$525)^2+(J144-Sheet4!$J$525)^2+(K144-Sheet4!$K$525)^2+(L144-Sheet4!$L$525)^2)</f>
        <v>2.3101609016811278</v>
      </c>
      <c r="O144" s="8">
        <f>SQRT((C144-Sheet4!$C$526)^2+(D144-Sheet4!$D$526)^2+(E144-Sheet4!$E$526)^2+(F144-Sheet4!$F$526)^2+(G144-Sheet4!$G$526)^2+(H144-Sheet4!$H$526)^2+(I144-Sheet4!$I$526)^2+(J144-Sheet4!$J$526)^2+(K144-Sheet4!$K$526)^2+(L144-Sheet4!$L$526)^2)</f>
        <v>3.0497290278758982</v>
      </c>
      <c r="P144" s="12">
        <f t="shared" si="2"/>
        <v>0</v>
      </c>
      <c r="Q144" s="11">
        <f>IF(P144=Sheet1!$M144, 1, 0)</f>
        <v>1</v>
      </c>
    </row>
    <row r="145" spans="1:17" x14ac:dyDescent="0.35">
      <c r="A145" s="6" t="s">
        <v>160</v>
      </c>
      <c r="B145" s="6" t="s">
        <v>164</v>
      </c>
      <c r="C145" s="6">
        <v>-0.95862650923388082</v>
      </c>
      <c r="D145" s="6">
        <v>-0.75900645918581899</v>
      </c>
      <c r="E145" s="6">
        <v>0.96526516539406637</v>
      </c>
      <c r="F145" s="6">
        <v>0.14840126505871687</v>
      </c>
      <c r="G145" s="6">
        <v>0.5409790254077842</v>
      </c>
      <c r="H145" s="6">
        <v>0.83260827401370774</v>
      </c>
      <c r="I145" s="6">
        <v>-0.4976684466925379</v>
      </c>
      <c r="J145" s="6">
        <v>-4.1563172134669542E-2</v>
      </c>
      <c r="K145" s="6">
        <v>-0.50459537569614943</v>
      </c>
      <c r="L145" s="6">
        <v>-0.33384345600748666</v>
      </c>
      <c r="N145" s="8">
        <f>SQRT((C145-Sheet4!$C$525)^2+(D145-Sheet4!$D$525)^2+(E145-Sheet4!$E$525)^2+(F145-Sheet4!$F$525)^2+(G145-Sheet4!$G$525)^2+(H145-Sheet4!$H$525)^2+(I145-Sheet4!$I$525)^2+(J145-Sheet4!$J$525)^2+(K145-Sheet4!$K$525)^2+(L145-Sheet4!$L$525)^2)</f>
        <v>2.5109212207693528</v>
      </c>
      <c r="O145" s="8">
        <f>SQRT((C145-Sheet4!$C$526)^2+(D145-Sheet4!$D$526)^2+(E145-Sheet4!$E$526)^2+(F145-Sheet4!$F$526)^2+(G145-Sheet4!$G$526)^2+(H145-Sheet4!$H$526)^2+(I145-Sheet4!$I$526)^2+(J145-Sheet4!$J$526)^2+(K145-Sheet4!$K$526)^2+(L145-Sheet4!$L$526)^2)</f>
        <v>2.8257037404822234</v>
      </c>
      <c r="P145" s="12">
        <f t="shared" si="2"/>
        <v>0</v>
      </c>
      <c r="Q145" s="11">
        <f>IF(P145=Sheet1!$M145, 1, 0)</f>
        <v>1</v>
      </c>
    </row>
    <row r="146" spans="1:17" x14ac:dyDescent="0.35">
      <c r="A146" s="6" t="s">
        <v>160</v>
      </c>
      <c r="B146" s="6" t="s">
        <v>165</v>
      </c>
      <c r="C146" s="6">
        <v>-1.1518776428261079</v>
      </c>
      <c r="D146" s="6">
        <v>-1.0597574846578628</v>
      </c>
      <c r="E146" s="6">
        <v>0.53166777988692937</v>
      </c>
      <c r="F146" s="6">
        <v>-0.44167285818887053</v>
      </c>
      <c r="G146" s="6">
        <v>-0.37943322546821812</v>
      </c>
      <c r="H146" s="6">
        <v>0.3332941832939188</v>
      </c>
      <c r="I146" s="6">
        <v>-1.0191400455281341</v>
      </c>
      <c r="J146" s="6">
        <v>8.7498305517336422E-2</v>
      </c>
      <c r="K146" s="6">
        <v>-7.8942260909916143E-2</v>
      </c>
      <c r="L146" s="6">
        <v>-0.32781196274008217</v>
      </c>
      <c r="N146" s="8">
        <f>SQRT((C146-Sheet4!$C$525)^2+(D146-Sheet4!$D$525)^2+(E146-Sheet4!$E$525)^2+(F146-Sheet4!$F$525)^2+(G146-Sheet4!$G$525)^2+(H146-Sheet4!$H$525)^2+(I146-Sheet4!$I$525)^2+(J146-Sheet4!$J$525)^2+(K146-Sheet4!$K$525)^2+(L146-Sheet4!$L$525)^2)</f>
        <v>2.1189310584771595</v>
      </c>
      <c r="O146" s="8">
        <f>SQRT((C146-Sheet4!$C$526)^2+(D146-Sheet4!$D$526)^2+(E146-Sheet4!$E$526)^2+(F146-Sheet4!$F$526)^2+(G146-Sheet4!$G$526)^2+(H146-Sheet4!$H$526)^2+(I146-Sheet4!$I$526)^2+(J146-Sheet4!$J$526)^2+(K146-Sheet4!$K$526)^2+(L146-Sheet4!$L$526)^2)</f>
        <v>3.7595747492326845</v>
      </c>
      <c r="P146" s="12">
        <f t="shared" si="2"/>
        <v>0</v>
      </c>
      <c r="Q146" s="11">
        <f>IF(P146=Sheet1!$M146, 1, 0)</f>
        <v>1</v>
      </c>
    </row>
    <row r="147" spans="1:17" x14ac:dyDescent="0.35">
      <c r="A147" s="6" t="s">
        <v>160</v>
      </c>
      <c r="B147" s="6" t="s">
        <v>166</v>
      </c>
      <c r="C147" s="6">
        <v>-0.68082800469505445</v>
      </c>
      <c r="D147" s="6">
        <v>2.0491096629478348E-2</v>
      </c>
      <c r="E147" s="6">
        <v>0.52872064387668538</v>
      </c>
      <c r="F147" s="6">
        <v>0.23005643093893152</v>
      </c>
      <c r="G147" s="6">
        <v>0.70938252872263574</v>
      </c>
      <c r="H147" s="6">
        <v>0.66024526535099715</v>
      </c>
      <c r="I147" s="6">
        <v>-1.6018112452050728</v>
      </c>
      <c r="J147" s="6">
        <v>-0.48568649229010219</v>
      </c>
      <c r="K147" s="6">
        <v>-3.6689929662751655E-2</v>
      </c>
      <c r="L147" s="6">
        <v>-0.33955297793950889</v>
      </c>
      <c r="N147" s="8">
        <f>SQRT((C147-Sheet4!$C$525)^2+(D147-Sheet4!$D$525)^2+(E147-Sheet4!$E$525)^2+(F147-Sheet4!$F$525)^2+(G147-Sheet4!$G$525)^2+(H147-Sheet4!$H$525)^2+(I147-Sheet4!$I$525)^2+(J147-Sheet4!$J$525)^2+(K147-Sheet4!$K$525)^2+(L147-Sheet4!$L$525)^2)</f>
        <v>2.4503362396450026</v>
      </c>
      <c r="O147" s="8">
        <f>SQRT((C147-Sheet4!$C$526)^2+(D147-Sheet4!$D$526)^2+(E147-Sheet4!$E$526)^2+(F147-Sheet4!$F$526)^2+(G147-Sheet4!$G$526)^2+(H147-Sheet4!$H$526)^2+(I147-Sheet4!$I$526)^2+(J147-Sheet4!$J$526)^2+(K147-Sheet4!$K$526)^2+(L147-Sheet4!$L$526)^2)</f>
        <v>3.3319263901678657</v>
      </c>
      <c r="P147" s="12">
        <f t="shared" si="2"/>
        <v>0</v>
      </c>
      <c r="Q147" s="11">
        <f>IF(P147=Sheet1!$M147, 1, 0)</f>
        <v>1</v>
      </c>
    </row>
    <row r="148" spans="1:17" x14ac:dyDescent="0.35">
      <c r="A148" s="6" t="s">
        <v>160</v>
      </c>
      <c r="B148" s="6" t="s">
        <v>167</v>
      </c>
      <c r="C148" s="6">
        <v>-1.0082813143929947</v>
      </c>
      <c r="D148" s="6">
        <v>1.0393619176164022</v>
      </c>
      <c r="E148" s="6">
        <v>1.9860794009423048</v>
      </c>
      <c r="F148" s="6">
        <v>1.3316308385682389</v>
      </c>
      <c r="G148" s="6">
        <v>1.0897421655199746</v>
      </c>
      <c r="H148" s="6">
        <v>1.0545256476669476</v>
      </c>
      <c r="I148" s="6">
        <v>0.71166116576605254</v>
      </c>
      <c r="J148" s="6">
        <v>0.66447902913806911</v>
      </c>
      <c r="K148" s="6">
        <v>-0.67360470068480072</v>
      </c>
      <c r="L148" s="6">
        <v>-0.25809932847223815</v>
      </c>
      <c r="N148" s="8">
        <f>SQRT((C148-Sheet4!$C$525)^2+(D148-Sheet4!$D$525)^2+(E148-Sheet4!$E$525)^2+(F148-Sheet4!$F$525)^2+(G148-Sheet4!$G$525)^2+(H148-Sheet4!$H$525)^2+(I148-Sheet4!$I$525)^2+(J148-Sheet4!$J$525)^2+(K148-Sheet4!$K$525)^2+(L148-Sheet4!$L$525)^2)</f>
        <v>4.3192790085202191</v>
      </c>
      <c r="O148" s="8">
        <f>SQRT((C148-Sheet4!$C$526)^2+(D148-Sheet4!$D$526)^2+(E148-Sheet4!$E$526)^2+(F148-Sheet4!$F$526)^2+(G148-Sheet4!$G$526)^2+(H148-Sheet4!$H$526)^2+(I148-Sheet4!$I$526)^2+(J148-Sheet4!$J$526)^2+(K148-Sheet4!$K$526)^2+(L148-Sheet4!$L$526)^2)</f>
        <v>1.4570031623333493</v>
      </c>
      <c r="P148" s="12">
        <f t="shared" si="2"/>
        <v>1</v>
      </c>
      <c r="Q148" s="11">
        <f>IF(P148=Sheet1!$M148, 1, 0)</f>
        <v>0</v>
      </c>
    </row>
    <row r="149" spans="1:17" x14ac:dyDescent="0.35">
      <c r="A149" s="6" t="s">
        <v>168</v>
      </c>
      <c r="B149" s="6" t="s">
        <v>169</v>
      </c>
      <c r="C149" s="6">
        <v>-0.72779876633205409</v>
      </c>
      <c r="D149" s="6">
        <v>-0.15750440824173179</v>
      </c>
      <c r="E149" s="6">
        <v>0.57255929202906375</v>
      </c>
      <c r="F149" s="6">
        <v>0.27319500913979972</v>
      </c>
      <c r="G149" s="6">
        <v>0.42193516961625177</v>
      </c>
      <c r="H149" s="6">
        <v>0.84445823085926897</v>
      </c>
      <c r="I149" s="6">
        <v>0.18891457524626096</v>
      </c>
      <c r="J149" s="6">
        <v>0.81252013585654681</v>
      </c>
      <c r="K149" s="6">
        <v>-1.3465121983248018</v>
      </c>
      <c r="L149" s="6">
        <v>-0.26393137879096173</v>
      </c>
      <c r="N149" s="8">
        <f>SQRT((C149-Sheet4!$C$525)^2+(D149-Sheet4!$D$525)^2+(E149-Sheet4!$E$525)^2+(F149-Sheet4!$F$525)^2+(G149-Sheet4!$G$525)^2+(H149-Sheet4!$H$525)^2+(I149-Sheet4!$I$525)^2+(J149-Sheet4!$J$525)^2+(K149-Sheet4!$K$525)^2+(L149-Sheet4!$L$525)^2)</f>
        <v>2.8488024775148095</v>
      </c>
      <c r="O149" s="8">
        <f>SQRT((C149-Sheet4!$C$526)^2+(D149-Sheet4!$D$526)^2+(E149-Sheet4!$E$526)^2+(F149-Sheet4!$F$526)^2+(G149-Sheet4!$G$526)^2+(H149-Sheet4!$H$526)^2+(I149-Sheet4!$I$526)^2+(J149-Sheet4!$J$526)^2+(K149-Sheet4!$K$526)^2+(L149-Sheet4!$L$526)^2)</f>
        <v>2.0914980856029559</v>
      </c>
      <c r="P149" s="12">
        <f t="shared" si="2"/>
        <v>1</v>
      </c>
      <c r="Q149" s="11">
        <f>IF(P149=Sheet1!$M149, 1, 0)</f>
        <v>0</v>
      </c>
    </row>
    <row r="150" spans="1:17" x14ac:dyDescent="0.35">
      <c r="A150" s="6" t="s">
        <v>168</v>
      </c>
      <c r="B150" s="6" t="s">
        <v>170</v>
      </c>
      <c r="C150" s="6">
        <v>-0.7855057020575108</v>
      </c>
      <c r="D150" s="6">
        <v>0.1432466172303121</v>
      </c>
      <c r="E150" s="6">
        <v>1.4986967832482163</v>
      </c>
      <c r="F150" s="6">
        <v>0.7153654356986956</v>
      </c>
      <c r="G150" s="6">
        <v>0.23320710555650215</v>
      </c>
      <c r="H150" s="6">
        <v>0.13776989534215694</v>
      </c>
      <c r="I150" s="6">
        <v>-0.54165565979725194</v>
      </c>
      <c r="J150" s="6">
        <v>1.3515416013443362</v>
      </c>
      <c r="K150" s="6">
        <v>-0.9818902286733594</v>
      </c>
      <c r="L150" s="6">
        <v>-0.16779925067623339</v>
      </c>
      <c r="N150" s="8">
        <f>SQRT((C150-Sheet4!$C$525)^2+(D150-Sheet4!$D$525)^2+(E150-Sheet4!$E$525)^2+(F150-Sheet4!$F$525)^2+(G150-Sheet4!$G$525)^2+(H150-Sheet4!$H$525)^2+(I150-Sheet4!$I$525)^2+(J150-Sheet4!$J$525)^2+(K150-Sheet4!$K$525)^2+(L150-Sheet4!$L$525)^2)</f>
        <v>3.3296286069165588</v>
      </c>
      <c r="O150" s="8">
        <f>SQRT((C150-Sheet4!$C$526)^2+(D150-Sheet4!$D$526)^2+(E150-Sheet4!$E$526)^2+(F150-Sheet4!$F$526)^2+(G150-Sheet4!$G$526)^2+(H150-Sheet4!$H$526)^2+(I150-Sheet4!$I$526)^2+(J150-Sheet4!$J$526)^2+(K150-Sheet4!$K$526)^2+(L150-Sheet4!$L$526)^2)</f>
        <v>2.0638662635467782</v>
      </c>
      <c r="P150" s="12">
        <f t="shared" si="2"/>
        <v>1</v>
      </c>
      <c r="Q150" s="11">
        <f>IF(P150=Sheet1!$M150, 1, 0)</f>
        <v>0</v>
      </c>
    </row>
    <row r="151" spans="1:17" x14ac:dyDescent="0.35">
      <c r="A151" s="6" t="s">
        <v>168</v>
      </c>
      <c r="B151" s="6" t="s">
        <v>171</v>
      </c>
      <c r="C151" s="6">
        <v>-0.98278290093290921</v>
      </c>
      <c r="D151" s="6">
        <v>0.29669101798135483</v>
      </c>
      <c r="E151" s="6">
        <v>1.6158454396554121</v>
      </c>
      <c r="F151" s="6">
        <v>0.48734723663696611</v>
      </c>
      <c r="G151" s="6">
        <v>-1.262099863532268</v>
      </c>
      <c r="H151" s="6">
        <v>-0.34969423853207149</v>
      </c>
      <c r="I151" s="6">
        <v>-0.247132580748296</v>
      </c>
      <c r="J151" s="6">
        <v>3.4355344131216416E-2</v>
      </c>
      <c r="K151" s="6">
        <v>0.44529962678636542</v>
      </c>
      <c r="L151" s="6">
        <v>-0.15292389916733301</v>
      </c>
      <c r="N151" s="8">
        <f>SQRT((C151-Sheet4!$C$525)^2+(D151-Sheet4!$D$525)^2+(E151-Sheet4!$E$525)^2+(F151-Sheet4!$F$525)^2+(G151-Sheet4!$G$525)^2+(H151-Sheet4!$H$525)^2+(I151-Sheet4!$I$525)^2+(J151-Sheet4!$J$525)^2+(K151-Sheet4!$K$525)^2+(L151-Sheet4!$L$525)^2)</f>
        <v>2.812665886744337</v>
      </c>
      <c r="O151" s="8">
        <f>SQRT((C151-Sheet4!$C$526)^2+(D151-Sheet4!$D$526)^2+(E151-Sheet4!$E$526)^2+(F151-Sheet4!$F$526)^2+(G151-Sheet4!$G$526)^2+(H151-Sheet4!$H$526)^2+(I151-Sheet4!$I$526)^2+(J151-Sheet4!$J$526)^2+(K151-Sheet4!$K$526)^2+(L151-Sheet4!$L$526)^2)</f>
        <v>3.2429351632462757</v>
      </c>
      <c r="P151" s="12">
        <f t="shared" si="2"/>
        <v>0</v>
      </c>
      <c r="Q151" s="11">
        <f>IF(P151=Sheet1!$M151, 1, 0)</f>
        <v>1</v>
      </c>
    </row>
    <row r="152" spans="1:17" x14ac:dyDescent="0.35">
      <c r="A152" s="6" t="s">
        <v>168</v>
      </c>
      <c r="B152" s="6" t="s">
        <v>172</v>
      </c>
      <c r="C152" s="6">
        <v>0.22235264049639553</v>
      </c>
      <c r="D152" s="6">
        <v>-0.95541529214715393</v>
      </c>
      <c r="E152" s="6">
        <v>0.59429442010461264</v>
      </c>
      <c r="F152" s="6">
        <v>-0.63117446957125567</v>
      </c>
      <c r="G152" s="6">
        <v>-2.1099243974622133</v>
      </c>
      <c r="H152" s="6">
        <v>-0.48596874225602615</v>
      </c>
      <c r="I152" s="6">
        <v>-0.24777007659039363</v>
      </c>
      <c r="J152" s="6">
        <v>-0.3148698306918587</v>
      </c>
      <c r="K152" s="6">
        <v>-0.77845307822405707</v>
      </c>
      <c r="L152" s="6">
        <v>-0.39684927001983133</v>
      </c>
      <c r="N152" s="8">
        <f>SQRT((C152-Sheet4!$C$525)^2+(D152-Sheet4!$D$525)^2+(E152-Sheet4!$E$525)^2+(F152-Sheet4!$F$525)^2+(G152-Sheet4!$G$525)^2+(H152-Sheet4!$H$525)^2+(I152-Sheet4!$I$525)^2+(J152-Sheet4!$J$525)^2+(K152-Sheet4!$K$525)^2+(L152-Sheet4!$L$525)^2)</f>
        <v>2.3808756107691571</v>
      </c>
      <c r="O152" s="8">
        <f>SQRT((C152-Sheet4!$C$526)^2+(D152-Sheet4!$D$526)^2+(E152-Sheet4!$E$526)^2+(F152-Sheet4!$F$526)^2+(G152-Sheet4!$G$526)^2+(H152-Sheet4!$H$526)^2+(I152-Sheet4!$I$526)^2+(J152-Sheet4!$J$526)^2+(K152-Sheet4!$K$526)^2+(L152-Sheet4!$L$526)^2)</f>
        <v>4.7045299648431209</v>
      </c>
      <c r="P152" s="12">
        <f t="shared" si="2"/>
        <v>0</v>
      </c>
      <c r="Q152" s="11">
        <f>IF(P152=Sheet1!$M152, 1, 0)</f>
        <v>1</v>
      </c>
    </row>
    <row r="153" spans="1:17" x14ac:dyDescent="0.35">
      <c r="A153" s="6" t="s">
        <v>168</v>
      </c>
      <c r="B153" s="6" t="s">
        <v>173</v>
      </c>
      <c r="C153" s="6">
        <v>-0.69559024406668291</v>
      </c>
      <c r="D153" s="6">
        <v>-0.67307759476523532</v>
      </c>
      <c r="E153" s="6">
        <v>0.59871512411997863</v>
      </c>
      <c r="F153" s="6">
        <v>-0.10734887713214306</v>
      </c>
      <c r="G153" s="6">
        <v>-0.66688058457460209</v>
      </c>
      <c r="H153" s="6">
        <v>-2.3377938165760215</v>
      </c>
      <c r="I153" s="6">
        <v>-4.1199198214894333</v>
      </c>
      <c r="J153" s="6">
        <v>-1.4384638714269702</v>
      </c>
      <c r="K153" s="6">
        <v>0.1307544941685965</v>
      </c>
      <c r="L153" s="6">
        <v>-0.22682776066002291</v>
      </c>
      <c r="N153" s="8">
        <f>SQRT((C153-Sheet4!$C$525)^2+(D153-Sheet4!$D$525)^2+(E153-Sheet4!$E$525)^2+(F153-Sheet4!$F$525)^2+(G153-Sheet4!$G$525)^2+(H153-Sheet4!$H$525)^2+(I153-Sheet4!$I$525)^2+(J153-Sheet4!$J$525)^2+(K153-Sheet4!$K$525)^2+(L153-Sheet4!$L$525)^2)</f>
        <v>4.7578045511518976</v>
      </c>
      <c r="O153" s="8">
        <f>SQRT((C153-Sheet4!$C$526)^2+(D153-Sheet4!$D$526)^2+(E153-Sheet4!$E$526)^2+(F153-Sheet4!$F$526)^2+(G153-Sheet4!$G$526)^2+(H153-Sheet4!$H$526)^2+(I153-Sheet4!$I$526)^2+(J153-Sheet4!$J$526)^2+(K153-Sheet4!$K$526)^2+(L153-Sheet4!$L$526)^2)</f>
        <v>6.8402953642664315</v>
      </c>
      <c r="P153" s="12">
        <f t="shared" si="2"/>
        <v>0</v>
      </c>
      <c r="Q153" s="11">
        <f>IF(P153=Sheet1!$M153, 1, 0)</f>
        <v>1</v>
      </c>
    </row>
    <row r="154" spans="1:17" x14ac:dyDescent="0.35">
      <c r="A154" s="6" t="s">
        <v>168</v>
      </c>
      <c r="B154" s="6" t="s">
        <v>174</v>
      </c>
      <c r="C154" s="6">
        <v>-0.96936268332233788</v>
      </c>
      <c r="D154" s="6">
        <v>1.6654150726806562</v>
      </c>
      <c r="E154" s="6">
        <v>2.8400120599104812</v>
      </c>
      <c r="F154" s="6">
        <v>1.7245000328975744</v>
      </c>
      <c r="G154" s="6">
        <v>1.0752246221307642</v>
      </c>
      <c r="H154" s="6">
        <v>1.1110822598843992</v>
      </c>
      <c r="I154" s="6">
        <v>0.66894894434553287</v>
      </c>
      <c r="J154" s="6">
        <v>2.497911196959214</v>
      </c>
      <c r="K154" s="6">
        <v>0.24968698212357429</v>
      </c>
      <c r="L154" s="6">
        <v>1.8618480370812447</v>
      </c>
      <c r="N154" s="8">
        <f>SQRT((C154-Sheet4!$C$525)^2+(D154-Sheet4!$D$525)^2+(E154-Sheet4!$E$525)^2+(F154-Sheet4!$F$525)^2+(G154-Sheet4!$G$525)^2+(H154-Sheet4!$H$525)^2+(I154-Sheet4!$I$525)^2+(J154-Sheet4!$J$525)^2+(K154-Sheet4!$K$525)^2+(L154-Sheet4!$L$525)^2)</f>
        <v>6.1529529386410537</v>
      </c>
      <c r="O154" s="8">
        <f>SQRT((C154-Sheet4!$C$526)^2+(D154-Sheet4!$D$526)^2+(E154-Sheet4!$E$526)^2+(F154-Sheet4!$F$526)^2+(G154-Sheet4!$G$526)^2+(H154-Sheet4!$H$526)^2+(I154-Sheet4!$I$526)^2+(J154-Sheet4!$J$526)^2+(K154-Sheet4!$K$526)^2+(L154-Sheet4!$L$526)^2)</f>
        <v>2.8944114471968549</v>
      </c>
      <c r="P154" s="12">
        <f t="shared" si="2"/>
        <v>1</v>
      </c>
      <c r="Q154" s="11">
        <f>IF(P154=Sheet1!$M154, 1, 0)</f>
        <v>0</v>
      </c>
    </row>
    <row r="155" spans="1:17" x14ac:dyDescent="0.35">
      <c r="A155" s="6" t="s">
        <v>168</v>
      </c>
      <c r="B155" s="6" t="s">
        <v>175</v>
      </c>
      <c r="C155" s="6">
        <v>-0.36276884732451409</v>
      </c>
      <c r="D155" s="6">
        <v>1.1191530060069437</v>
      </c>
      <c r="E155" s="6">
        <v>1.8840348165876091</v>
      </c>
      <c r="F155" s="6">
        <v>1.3870947248264998</v>
      </c>
      <c r="G155" s="6">
        <v>0.73261059814537755</v>
      </c>
      <c r="H155" s="6">
        <v>0.39146669871758344</v>
      </c>
      <c r="I155" s="6">
        <v>0.41586309503290225</v>
      </c>
      <c r="J155" s="6">
        <v>0.47468273847335435</v>
      </c>
      <c r="K155" s="6">
        <v>-1.3934592330438713</v>
      </c>
      <c r="L155" s="6">
        <v>-0.16598723469827575</v>
      </c>
      <c r="N155" s="8">
        <f>SQRT((C155-Sheet4!$C$525)^2+(D155-Sheet4!$D$525)^2+(E155-Sheet4!$E$525)^2+(F155-Sheet4!$F$525)^2+(G155-Sheet4!$G$525)^2+(H155-Sheet4!$H$525)^2+(I155-Sheet4!$I$525)^2+(J155-Sheet4!$J$525)^2+(K155-Sheet4!$K$525)^2+(L155-Sheet4!$L$525)^2)</f>
        <v>4.0266724271257148</v>
      </c>
      <c r="O155" s="8">
        <f>SQRT((C155-Sheet4!$C$526)^2+(D155-Sheet4!$D$526)^2+(E155-Sheet4!$E$526)^2+(F155-Sheet4!$F$526)^2+(G155-Sheet4!$G$526)^2+(H155-Sheet4!$H$526)^2+(I155-Sheet4!$I$526)^2+(J155-Sheet4!$J$526)^2+(K155-Sheet4!$K$526)^2+(L155-Sheet4!$L$526)^2)</f>
        <v>1.6151940403750704</v>
      </c>
      <c r="P155" s="12">
        <f t="shared" si="2"/>
        <v>1</v>
      </c>
      <c r="Q155" s="11">
        <f>IF(P155=Sheet1!$M155, 1, 0)</f>
        <v>0</v>
      </c>
    </row>
    <row r="156" spans="1:17" x14ac:dyDescent="0.35">
      <c r="A156" s="6" t="s">
        <v>176</v>
      </c>
      <c r="B156" s="6" t="s">
        <v>177</v>
      </c>
      <c r="C156" s="6">
        <v>0.37400109949585159</v>
      </c>
      <c r="D156" s="6">
        <v>0.22917548165089638</v>
      </c>
      <c r="E156" s="6">
        <v>0.83338082893565091</v>
      </c>
      <c r="F156" s="6">
        <v>0.33482154942675274</v>
      </c>
      <c r="G156" s="6">
        <v>-0.19360867008631225</v>
      </c>
      <c r="H156" s="6">
        <v>0.35268502176847366</v>
      </c>
      <c r="I156" s="6">
        <v>0.57906203060981287</v>
      </c>
      <c r="J156" s="6">
        <v>1.3363578980911595</v>
      </c>
      <c r="K156" s="6">
        <v>-0.62822256712303226</v>
      </c>
      <c r="L156" s="6">
        <v>-0.38269013704963545</v>
      </c>
      <c r="N156" s="8">
        <f>SQRT((C156-Sheet4!$C$525)^2+(D156-Sheet4!$D$525)^2+(E156-Sheet4!$E$525)^2+(F156-Sheet4!$F$525)^2+(G156-Sheet4!$G$525)^2+(H156-Sheet4!$H$525)^2+(I156-Sheet4!$I$525)^2+(J156-Sheet4!$J$525)^2+(K156-Sheet4!$K$525)^2+(L156-Sheet4!$L$525)^2)</f>
        <v>2.6762355051082767</v>
      </c>
      <c r="O156" s="8">
        <f>SQRT((C156-Sheet4!$C$526)^2+(D156-Sheet4!$D$526)^2+(E156-Sheet4!$E$526)^2+(F156-Sheet4!$F$526)^2+(G156-Sheet4!$G$526)^2+(H156-Sheet4!$H$526)^2+(I156-Sheet4!$I$526)^2+(J156-Sheet4!$J$526)^2+(K156-Sheet4!$K$526)^2+(L156-Sheet4!$L$526)^2)</f>
        <v>2.1779110356704932</v>
      </c>
      <c r="P156" s="12">
        <f t="shared" si="2"/>
        <v>1</v>
      </c>
      <c r="Q156" s="11">
        <f>IF(P156=Sheet1!$M156, 1, 0)</f>
        <v>0</v>
      </c>
    </row>
    <row r="157" spans="1:17" x14ac:dyDescent="0.35">
      <c r="A157" s="6" t="s">
        <v>176</v>
      </c>
      <c r="B157" s="6" t="s">
        <v>178</v>
      </c>
      <c r="C157" s="6">
        <v>-1.1693239257198504</v>
      </c>
      <c r="D157" s="6">
        <v>1.9661660981527</v>
      </c>
      <c r="E157" s="6">
        <v>4.9965788354064706</v>
      </c>
      <c r="F157" s="6">
        <v>2.3068708386092931</v>
      </c>
      <c r="G157" s="6">
        <v>1.3191193510695163</v>
      </c>
      <c r="H157" s="6">
        <v>1.0399825188110317</v>
      </c>
      <c r="I157" s="6">
        <v>0.94498464397366644</v>
      </c>
      <c r="J157" s="6">
        <v>0.86186717142937253</v>
      </c>
      <c r="K157" s="6">
        <v>-1.2557479312012669</v>
      </c>
      <c r="L157" s="6">
        <v>8.5133565675385334</v>
      </c>
      <c r="N157" s="8">
        <f>SQRT((C157-Sheet4!$C$525)^2+(D157-Sheet4!$D$525)^2+(E157-Sheet4!$E$525)^2+(F157-Sheet4!$F$525)^2+(G157-Sheet4!$G$525)^2+(H157-Sheet4!$H$525)^2+(I157-Sheet4!$I$525)^2+(J157-Sheet4!$J$525)^2+(K157-Sheet4!$K$525)^2+(L157-Sheet4!$L$525)^2)</f>
        <v>11.389998762138843</v>
      </c>
      <c r="O157" s="8">
        <f>SQRT((C157-Sheet4!$C$526)^2+(D157-Sheet4!$D$526)^2+(E157-Sheet4!$E$526)^2+(F157-Sheet4!$F$526)^2+(G157-Sheet4!$G$526)^2+(H157-Sheet4!$H$526)^2+(I157-Sheet4!$I$526)^2+(J157-Sheet4!$J$526)^2+(K157-Sheet4!$K$526)^2+(L157-Sheet4!$L$526)^2)</f>
        <v>8.9775512853074293</v>
      </c>
      <c r="P157" s="12">
        <f t="shared" si="2"/>
        <v>1</v>
      </c>
      <c r="Q157" s="11">
        <f>IF(P157=Sheet1!$M157, 1, 0)</f>
        <v>0</v>
      </c>
    </row>
    <row r="158" spans="1:17" x14ac:dyDescent="0.35">
      <c r="A158" s="6" t="s">
        <v>176</v>
      </c>
      <c r="B158" s="6" t="s">
        <v>179</v>
      </c>
      <c r="C158" s="6">
        <v>-1.0726983589237371</v>
      </c>
      <c r="D158" s="6">
        <v>1.9845794262428249</v>
      </c>
      <c r="E158" s="6">
        <v>2.7291260675250535</v>
      </c>
      <c r="F158" s="6">
        <v>2.0095227817247374</v>
      </c>
      <c r="G158" s="6">
        <v>1.4178386461161547</v>
      </c>
      <c r="H158" s="6">
        <v>1.0518324756565929</v>
      </c>
      <c r="I158" s="6">
        <v>0.92075980197396912</v>
      </c>
      <c r="J158" s="6">
        <v>1.2035004946258592</v>
      </c>
      <c r="K158" s="6">
        <v>-1.3480770994821039</v>
      </c>
      <c r="L158" s="6">
        <v>6.098797322843228</v>
      </c>
      <c r="N158" s="8">
        <f>SQRT((C158-Sheet4!$C$525)^2+(D158-Sheet4!$D$525)^2+(E158-Sheet4!$E$525)^2+(F158-Sheet4!$F$525)^2+(G158-Sheet4!$G$525)^2+(H158-Sheet4!$H$525)^2+(I158-Sheet4!$I$525)^2+(J158-Sheet4!$J$525)^2+(K158-Sheet4!$K$525)^2+(L158-Sheet4!$L$525)^2)</f>
        <v>8.5947136747196158</v>
      </c>
      <c r="O158" s="8">
        <f>SQRT((C158-Sheet4!$C$526)^2+(D158-Sheet4!$D$526)^2+(E158-Sheet4!$E$526)^2+(F158-Sheet4!$F$526)^2+(G158-Sheet4!$G$526)^2+(H158-Sheet4!$H$526)^2+(I158-Sheet4!$I$526)^2+(J158-Sheet4!$J$526)^2+(K158-Sheet4!$K$526)^2+(L158-Sheet4!$L$526)^2)</f>
        <v>5.9528184352501015</v>
      </c>
      <c r="P158" s="12">
        <f t="shared" si="2"/>
        <v>1</v>
      </c>
      <c r="Q158" s="11">
        <f>IF(P158=Sheet1!$M158, 1, 0)</f>
        <v>0</v>
      </c>
    </row>
    <row r="159" spans="1:17" x14ac:dyDescent="0.35">
      <c r="A159" s="6" t="s">
        <v>176</v>
      </c>
      <c r="B159" s="6" t="s">
        <v>180</v>
      </c>
      <c r="C159" s="6">
        <v>-0.98412492269396634</v>
      </c>
      <c r="D159" s="6">
        <v>1.8127216974016573</v>
      </c>
      <c r="E159" s="6">
        <v>2.5935578110538331</v>
      </c>
      <c r="F159" s="6">
        <v>1.7922892272132238</v>
      </c>
      <c r="G159" s="6">
        <v>1.3162158423916726</v>
      </c>
      <c r="H159" s="6">
        <v>0.66563160937170729</v>
      </c>
      <c r="I159" s="6">
        <v>0.94753462734205607</v>
      </c>
      <c r="J159" s="6">
        <v>1.0212960555877328</v>
      </c>
      <c r="K159" s="6">
        <v>-0.98502003098796342</v>
      </c>
      <c r="L159" s="6">
        <v>9.1544620291523184</v>
      </c>
      <c r="N159" s="8">
        <f>SQRT((C159-Sheet4!$C$525)^2+(D159-Sheet4!$D$525)^2+(E159-Sheet4!$E$525)^2+(F159-Sheet4!$F$525)^2+(G159-Sheet4!$G$525)^2+(H159-Sheet4!$H$525)^2+(I159-Sheet4!$I$525)^2+(J159-Sheet4!$J$525)^2+(K159-Sheet4!$K$525)^2+(L159-Sheet4!$L$525)^2)</f>
        <v>10.788213011048008</v>
      </c>
      <c r="O159" s="8">
        <f>SQRT((C159-Sheet4!$C$526)^2+(D159-Sheet4!$D$526)^2+(E159-Sheet4!$E$526)^2+(F159-Sheet4!$F$526)^2+(G159-Sheet4!$G$526)^2+(H159-Sheet4!$H$526)^2+(I159-Sheet4!$I$526)^2+(J159-Sheet4!$J$526)^2+(K159-Sheet4!$K$526)^2+(L159-Sheet4!$L$526)^2)</f>
        <v>8.735826184321235</v>
      </c>
      <c r="P159" s="12">
        <f t="shared" si="2"/>
        <v>1</v>
      </c>
      <c r="Q159" s="11">
        <f>IF(P159=Sheet1!$M159, 1, 0)</f>
        <v>0</v>
      </c>
    </row>
    <row r="160" spans="1:17" x14ac:dyDescent="0.35">
      <c r="A160" s="6" t="s">
        <v>176</v>
      </c>
      <c r="B160" s="6" t="s">
        <v>181</v>
      </c>
      <c r="C160" s="6">
        <v>-1.0686722936405657</v>
      </c>
      <c r="D160" s="6">
        <v>1.4383173595691123</v>
      </c>
      <c r="E160" s="6">
        <v>3.8593527274535977</v>
      </c>
      <c r="F160" s="6">
        <v>1.8231024973567014</v>
      </c>
      <c r="G160" s="6">
        <v>1.1710404084995587</v>
      </c>
      <c r="H160" s="6">
        <v>1.1067731846678317</v>
      </c>
      <c r="I160" s="6">
        <v>0.94753462734205607</v>
      </c>
      <c r="J160" s="6">
        <v>1.5185623371292858</v>
      </c>
      <c r="K160" s="6">
        <v>-0.97876042635875427</v>
      </c>
      <c r="L160" s="6">
        <v>6.386729963153571</v>
      </c>
      <c r="N160" s="8">
        <f>SQRT((C160-Sheet4!$C$525)^2+(D160-Sheet4!$D$525)^2+(E160-Sheet4!$E$525)^2+(F160-Sheet4!$F$525)^2+(G160-Sheet4!$G$525)^2+(H160-Sheet4!$H$525)^2+(I160-Sheet4!$I$525)^2+(J160-Sheet4!$J$525)^2+(K160-Sheet4!$K$525)^2+(L160-Sheet4!$L$525)^2)</f>
        <v>9.0715565395117039</v>
      </c>
      <c r="O160" s="8">
        <f>SQRT((C160-Sheet4!$C$526)^2+(D160-Sheet4!$D$526)^2+(E160-Sheet4!$E$526)^2+(F160-Sheet4!$F$526)^2+(G160-Sheet4!$G$526)^2+(H160-Sheet4!$H$526)^2+(I160-Sheet4!$I$526)^2+(J160-Sheet4!$J$526)^2+(K160-Sheet4!$K$526)^2+(L160-Sheet4!$L$526)^2)</f>
        <v>6.4937497030359417</v>
      </c>
      <c r="P160" s="12">
        <f t="shared" si="2"/>
        <v>1</v>
      </c>
      <c r="Q160" s="11">
        <f>IF(P160=Sheet1!$M160, 1, 0)</f>
        <v>0</v>
      </c>
    </row>
    <row r="161" spans="1:17" x14ac:dyDescent="0.35">
      <c r="A161" s="6" t="s">
        <v>176</v>
      </c>
      <c r="B161" s="6" t="s">
        <v>182</v>
      </c>
      <c r="C161" s="6">
        <v>-0.67545991765082591</v>
      </c>
      <c r="D161" s="6">
        <v>1.4567306876592383</v>
      </c>
      <c r="E161" s="6">
        <v>3.1082014368426782</v>
      </c>
      <c r="F161" s="6">
        <v>1.6305195589599693</v>
      </c>
      <c r="G161" s="6">
        <v>1.0723211134529202</v>
      </c>
      <c r="H161" s="6">
        <v>0.72218822158915907</v>
      </c>
      <c r="I161" s="6">
        <v>0.94753462734205607</v>
      </c>
      <c r="J161" s="6">
        <v>1.8146445505662405</v>
      </c>
      <c r="K161" s="6">
        <v>-0.57501592777475252</v>
      </c>
      <c r="L161" s="6">
        <v>6.4551088266199272</v>
      </c>
      <c r="N161" s="8">
        <f>SQRT((C161-Sheet4!$C$525)^2+(D161-Sheet4!$D$525)^2+(E161-Sheet4!$E$525)^2+(F161-Sheet4!$F$525)^2+(G161-Sheet4!$G$525)^2+(H161-Sheet4!$H$525)^2+(I161-Sheet4!$I$525)^2+(J161-Sheet4!$J$525)^2+(K161-Sheet4!$K$525)^2+(L161-Sheet4!$L$525)^2)</f>
        <v>8.6600397223939716</v>
      </c>
      <c r="O161" s="8">
        <f>SQRT((C161-Sheet4!$C$526)^2+(D161-Sheet4!$D$526)^2+(E161-Sheet4!$E$526)^2+(F161-Sheet4!$F$526)^2+(G161-Sheet4!$G$526)^2+(H161-Sheet4!$H$526)^2+(I161-Sheet4!$I$526)^2+(J161-Sheet4!$J$526)^2+(K161-Sheet4!$K$526)^2+(L161-Sheet4!$L$526)^2)</f>
        <v>6.2407988004198138</v>
      </c>
      <c r="P161" s="12">
        <f t="shared" si="2"/>
        <v>1</v>
      </c>
      <c r="Q161" s="11">
        <f>IF(P161=Sheet1!$M161, 1, 0)</f>
        <v>0</v>
      </c>
    </row>
    <row r="162" spans="1:17" x14ac:dyDescent="0.35">
      <c r="A162" s="6" t="s">
        <v>183</v>
      </c>
      <c r="B162" s="6" t="s">
        <v>184</v>
      </c>
      <c r="C162" s="6">
        <v>-0.5560199809167411</v>
      </c>
      <c r="D162" s="6">
        <v>-7.771331985118908E-2</v>
      </c>
      <c r="E162" s="6">
        <v>3.139144214802362E-2</v>
      </c>
      <c r="F162" s="6">
        <v>0.10372202335067403</v>
      </c>
      <c r="G162" s="6">
        <v>0.49452288656230869</v>
      </c>
      <c r="H162" s="6">
        <v>-0.71596563194033092</v>
      </c>
      <c r="I162" s="6">
        <v>0.42670052434855654</v>
      </c>
      <c r="J162" s="6">
        <v>2.7180748941302828</v>
      </c>
      <c r="K162" s="6">
        <v>-1.0820439027407085</v>
      </c>
      <c r="L162" s="6">
        <v>2.875542472386635</v>
      </c>
      <c r="N162" s="8">
        <f>SQRT((C162-Sheet4!$C$525)^2+(D162-Sheet4!$D$525)^2+(E162-Sheet4!$E$525)^2+(F162-Sheet4!$F$525)^2+(G162-Sheet4!$G$525)^2+(H162-Sheet4!$H$525)^2+(I162-Sheet4!$I$525)^2+(J162-Sheet4!$J$525)^2+(K162-Sheet4!$K$525)^2+(L162-Sheet4!$L$525)^2)</f>
        <v>4.8373287544844823</v>
      </c>
      <c r="O162" s="8">
        <f>SQRT((C162-Sheet4!$C$526)^2+(D162-Sheet4!$D$526)^2+(E162-Sheet4!$E$526)^2+(F162-Sheet4!$F$526)^2+(G162-Sheet4!$G$526)^2+(H162-Sheet4!$H$526)^2+(I162-Sheet4!$I$526)^2+(J162-Sheet4!$J$526)^2+(K162-Sheet4!$K$526)^2+(L162-Sheet4!$L$526)^2)</f>
        <v>3.6805732585195972</v>
      </c>
      <c r="P162" s="12">
        <f t="shared" si="2"/>
        <v>1</v>
      </c>
      <c r="Q162" s="11">
        <f>IF(P162=Sheet1!$M162, 1, 0)</f>
        <v>0</v>
      </c>
    </row>
    <row r="163" spans="1:17" x14ac:dyDescent="0.35">
      <c r="A163" s="6" t="s">
        <v>183</v>
      </c>
      <c r="B163" s="6" t="s">
        <v>185</v>
      </c>
      <c r="C163" s="6">
        <v>-0.61372691664219781</v>
      </c>
      <c r="D163" s="6">
        <v>-0.82038421948623641</v>
      </c>
      <c r="E163" s="6">
        <v>-0.5433000798495411</v>
      </c>
      <c r="F163" s="6">
        <v>-0.44013219468169812</v>
      </c>
      <c r="G163" s="6">
        <v>0.45097025639467292</v>
      </c>
      <c r="H163" s="6">
        <v>-0.69226571824920835</v>
      </c>
      <c r="I163" s="6">
        <v>-0.24203261401151765</v>
      </c>
      <c r="J163" s="6">
        <v>1.6893789987275287</v>
      </c>
      <c r="K163" s="6">
        <v>-0.70959742730275266</v>
      </c>
      <c r="L163" s="6">
        <v>0.54263195304847733</v>
      </c>
      <c r="N163" s="8">
        <f>SQRT((C163-Sheet4!$C$525)^2+(D163-Sheet4!$D$525)^2+(E163-Sheet4!$E$525)^2+(F163-Sheet4!$F$525)^2+(G163-Sheet4!$G$525)^2+(H163-Sheet4!$H$525)^2+(I163-Sheet4!$I$525)^2+(J163-Sheet4!$J$525)^2+(K163-Sheet4!$K$525)^2+(L163-Sheet4!$L$525)^2)</f>
        <v>2.7304480422315787</v>
      </c>
      <c r="O163" s="8">
        <f>SQRT((C163-Sheet4!$C$526)^2+(D163-Sheet4!$D$526)^2+(E163-Sheet4!$E$526)^2+(F163-Sheet4!$F$526)^2+(G163-Sheet4!$G$526)^2+(H163-Sheet4!$H$526)^2+(I163-Sheet4!$I$526)^2+(J163-Sheet4!$J$526)^2+(K163-Sheet4!$K$526)^2+(L163-Sheet4!$L$526)^2)</f>
        <v>3.4493146610456789</v>
      </c>
      <c r="P163" s="12">
        <f t="shared" si="2"/>
        <v>0</v>
      </c>
      <c r="Q163" s="11">
        <f>IF(P163=Sheet1!$M163, 1, 0)</f>
        <v>1</v>
      </c>
    </row>
    <row r="164" spans="1:17" x14ac:dyDescent="0.35">
      <c r="A164" s="6" t="s">
        <v>183</v>
      </c>
      <c r="B164" s="6" t="s">
        <v>186</v>
      </c>
      <c r="C164" s="6">
        <v>-0.14670334379431585</v>
      </c>
      <c r="D164" s="6">
        <v>-0.76514423521586061</v>
      </c>
      <c r="E164" s="6">
        <v>-0.8372768968713723</v>
      </c>
      <c r="F164" s="6">
        <v>-0.67277238426494923</v>
      </c>
      <c r="G164" s="6">
        <v>0.1925579840667101</v>
      </c>
      <c r="H164" s="6">
        <v>-1.0062895746565834</v>
      </c>
      <c r="I164" s="6">
        <v>7.0977844458259623E-2</v>
      </c>
      <c r="J164" s="6">
        <v>1.6172564082749372</v>
      </c>
      <c r="K164" s="6">
        <v>-0.2323025743255428</v>
      </c>
      <c r="L164" s="6">
        <v>0.22845441766329597</v>
      </c>
      <c r="N164" s="8">
        <f>SQRT((C164-Sheet4!$C$525)^2+(D164-Sheet4!$D$525)^2+(E164-Sheet4!$E$525)^2+(F164-Sheet4!$F$525)^2+(G164-Sheet4!$G$525)^2+(H164-Sheet4!$H$525)^2+(I164-Sheet4!$I$525)^2+(J164-Sheet4!$J$525)^2+(K164-Sheet4!$K$525)^2+(L164-Sheet4!$L$525)^2)</f>
        <v>2.4312773418573879</v>
      </c>
      <c r="O164" s="8">
        <f>SQRT((C164-Sheet4!$C$526)^2+(D164-Sheet4!$D$526)^2+(E164-Sheet4!$E$526)^2+(F164-Sheet4!$F$526)^2+(G164-Sheet4!$G$526)^2+(H164-Sheet4!$H$526)^2+(I164-Sheet4!$I$526)^2+(J164-Sheet4!$J$526)^2+(K164-Sheet4!$K$526)^2+(L164-Sheet4!$L$526)^2)</f>
        <v>3.833803674710174</v>
      </c>
      <c r="P164" s="12">
        <f t="shared" si="2"/>
        <v>0</v>
      </c>
      <c r="Q164" s="11">
        <f>IF(P164=Sheet1!$M164, 1, 0)</f>
        <v>1</v>
      </c>
    </row>
    <row r="165" spans="1:17" x14ac:dyDescent="0.35">
      <c r="A165" s="6" t="s">
        <v>183</v>
      </c>
      <c r="B165" s="6" t="s">
        <v>187</v>
      </c>
      <c r="C165" s="6">
        <v>-0.68753811350034011</v>
      </c>
      <c r="D165" s="6">
        <v>0.38875765843198068</v>
      </c>
      <c r="E165" s="6">
        <v>-6.5529339838668712E-3</v>
      </c>
      <c r="F165" s="6">
        <v>0.43188335037870729</v>
      </c>
      <c r="G165" s="6">
        <v>1.1797509345330859</v>
      </c>
      <c r="H165" s="6">
        <v>-0.68364756781607228</v>
      </c>
      <c r="I165" s="6">
        <v>0.88824751402700619</v>
      </c>
      <c r="J165" s="6">
        <v>1.2376638269455078</v>
      </c>
      <c r="K165" s="6">
        <v>-0.67986430531400877</v>
      </c>
      <c r="L165" s="6">
        <v>1.295137407202702</v>
      </c>
      <c r="N165" s="8">
        <f>SQRT((C165-Sheet4!$C$525)^2+(D165-Sheet4!$D$525)^2+(E165-Sheet4!$E$525)^2+(F165-Sheet4!$F$525)^2+(G165-Sheet4!$G$525)^2+(H165-Sheet4!$H$525)^2+(I165-Sheet4!$I$525)^2+(J165-Sheet4!$J$525)^2+(K165-Sheet4!$K$525)^2+(L165-Sheet4!$L$525)^2)</f>
        <v>3.425289195149837</v>
      </c>
      <c r="O165" s="8">
        <f>SQRT((C165-Sheet4!$C$526)^2+(D165-Sheet4!$D$526)^2+(E165-Sheet4!$E$526)^2+(F165-Sheet4!$F$526)^2+(G165-Sheet4!$G$526)^2+(H165-Sheet4!$H$526)^2+(I165-Sheet4!$I$526)^2+(J165-Sheet4!$J$526)^2+(K165-Sheet4!$K$526)^2+(L165-Sheet4!$L$526)^2)</f>
        <v>2.1302912049544043</v>
      </c>
      <c r="P165" s="12">
        <f t="shared" si="2"/>
        <v>1</v>
      </c>
      <c r="Q165" s="11">
        <f>IF(P165=Sheet1!$M165, 1, 0)</f>
        <v>0</v>
      </c>
    </row>
    <row r="166" spans="1:17" x14ac:dyDescent="0.35">
      <c r="A166" s="6" t="s">
        <v>183</v>
      </c>
      <c r="B166" s="6" t="s">
        <v>188</v>
      </c>
      <c r="C166" s="6">
        <v>-0.21783049713034378</v>
      </c>
      <c r="D166" s="6">
        <v>-0.55645985019444255</v>
      </c>
      <c r="E166" s="6">
        <v>-0.87080056898789693</v>
      </c>
      <c r="F166" s="6">
        <v>-0.53565333212647581</v>
      </c>
      <c r="G166" s="6">
        <v>0.56130358615268228</v>
      </c>
      <c r="H166" s="6">
        <v>-1.8029298553195483</v>
      </c>
      <c r="I166" s="6">
        <v>-0.49639345500834353</v>
      </c>
      <c r="J166" s="6">
        <v>1.3743171562241023</v>
      </c>
      <c r="K166" s="6">
        <v>-1.0491809784373596</v>
      </c>
      <c r="L166" s="6">
        <v>0.37646791478787001</v>
      </c>
      <c r="N166" s="8">
        <f>SQRT((C166-Sheet4!$C$525)^2+(D166-Sheet4!$D$525)^2+(E166-Sheet4!$E$525)^2+(F166-Sheet4!$F$525)^2+(G166-Sheet4!$G$525)^2+(H166-Sheet4!$H$525)^2+(I166-Sheet4!$I$525)^2+(J166-Sheet4!$J$525)^2+(K166-Sheet4!$K$525)^2+(L166-Sheet4!$L$525)^2)</f>
        <v>2.9621095140675338</v>
      </c>
      <c r="O166" s="8">
        <f>SQRT((C166-Sheet4!$C$526)^2+(D166-Sheet4!$D$526)^2+(E166-Sheet4!$E$526)^2+(F166-Sheet4!$F$526)^2+(G166-Sheet4!$G$526)^2+(H166-Sheet4!$H$526)^2+(I166-Sheet4!$I$526)^2+(J166-Sheet4!$J$526)^2+(K166-Sheet4!$K$526)^2+(L166-Sheet4!$L$526)^2)</f>
        <v>4.1659767538577528</v>
      </c>
      <c r="P166" s="12">
        <f t="shared" si="2"/>
        <v>0</v>
      </c>
      <c r="Q166" s="11">
        <f>IF(P166=Sheet1!$M166, 1, 0)</f>
        <v>1</v>
      </c>
    </row>
    <row r="167" spans="1:17" x14ac:dyDescent="0.35">
      <c r="A167" s="6" t="s">
        <v>183</v>
      </c>
      <c r="B167" s="6" t="s">
        <v>189</v>
      </c>
      <c r="C167" s="6">
        <v>-0.15072940907748716</v>
      </c>
      <c r="D167" s="6">
        <v>-0.58714873034465098</v>
      </c>
      <c r="E167" s="6">
        <v>-0.91942831315692164</v>
      </c>
      <c r="F167" s="6">
        <v>-0.62038982502103757</v>
      </c>
      <c r="G167" s="6">
        <v>3.8299200069645666E-3</v>
      </c>
      <c r="H167" s="6">
        <v>-1.5002173213556629</v>
      </c>
      <c r="I167" s="6">
        <v>7.8657560906266067E-3</v>
      </c>
      <c r="J167" s="6">
        <v>0.41774385127394009</v>
      </c>
      <c r="K167" s="6">
        <v>-0.20100455117949576</v>
      </c>
      <c r="L167" s="6">
        <v>6.7185789635758039E-2</v>
      </c>
      <c r="N167" s="8">
        <f>SQRT((C167-Sheet4!$C$525)^2+(D167-Sheet4!$D$525)^2+(E167-Sheet4!$E$525)^2+(F167-Sheet4!$F$525)^2+(G167-Sheet4!$G$525)^2+(H167-Sheet4!$H$525)^2+(I167-Sheet4!$I$525)^2+(J167-Sheet4!$J$525)^2+(K167-Sheet4!$K$525)^2+(L167-Sheet4!$L$525)^2)</f>
        <v>1.7787632938293436</v>
      </c>
      <c r="O167" s="8">
        <f>SQRT((C167-Sheet4!$C$526)^2+(D167-Sheet4!$D$526)^2+(E167-Sheet4!$E$526)^2+(F167-Sheet4!$F$526)^2+(G167-Sheet4!$G$526)^2+(H167-Sheet4!$H$526)^2+(I167-Sheet4!$I$526)^2+(J167-Sheet4!$J$526)^2+(K167-Sheet4!$K$526)^2+(L167-Sheet4!$L$526)^2)</f>
        <v>4.0964324130489196</v>
      </c>
      <c r="P167" s="12">
        <f t="shared" si="2"/>
        <v>0</v>
      </c>
      <c r="Q167" s="11">
        <f>IF(P167=Sheet1!$M167, 1, 0)</f>
        <v>1</v>
      </c>
    </row>
    <row r="168" spans="1:17" x14ac:dyDescent="0.35">
      <c r="A168" s="6" t="s">
        <v>183</v>
      </c>
      <c r="B168" s="6" t="s">
        <v>190</v>
      </c>
      <c r="C168" s="6">
        <v>-0.57749232909365533</v>
      </c>
      <c r="D168" s="6">
        <v>-0.32936213708289924</v>
      </c>
      <c r="E168" s="6">
        <v>-0.39262775132582062</v>
      </c>
      <c r="F168" s="6">
        <v>0.15456391908741327</v>
      </c>
      <c r="G168" s="6">
        <v>0.68615445929989805</v>
      </c>
      <c r="H168" s="6">
        <v>-0.57161161218531054</v>
      </c>
      <c r="I168" s="6">
        <v>0.31768873534991754</v>
      </c>
      <c r="J168" s="6">
        <v>1.9201181156748245E-4</v>
      </c>
      <c r="K168" s="6">
        <v>5.72041397753872E-2</v>
      </c>
      <c r="L168" s="6">
        <v>1.6942861687715773E-2</v>
      </c>
      <c r="N168" s="8">
        <f>SQRT((C168-Sheet4!$C$525)^2+(D168-Sheet4!$D$525)^2+(E168-Sheet4!$E$525)^2+(F168-Sheet4!$F$525)^2+(G168-Sheet4!$G$525)^2+(H168-Sheet4!$H$525)^2+(I168-Sheet4!$I$525)^2+(J168-Sheet4!$J$525)^2+(K168-Sheet4!$K$525)^2+(L168-Sheet4!$L$525)^2)</f>
        <v>1.622261518991696</v>
      </c>
      <c r="O168" s="8">
        <f>SQRT((C168-Sheet4!$C$526)^2+(D168-Sheet4!$D$526)^2+(E168-Sheet4!$E$526)^2+(F168-Sheet4!$F$526)^2+(G168-Sheet4!$G$526)^2+(H168-Sheet4!$H$526)^2+(I168-Sheet4!$I$526)^2+(J168-Sheet4!$J$526)^2+(K168-Sheet4!$K$526)^2+(L168-Sheet4!$L$526)^2)</f>
        <v>2.9391400406324331</v>
      </c>
      <c r="P168" s="12">
        <f t="shared" si="2"/>
        <v>0</v>
      </c>
      <c r="Q168" s="11">
        <f>IF(P168=Sheet1!$M168, 1, 0)</f>
        <v>1</v>
      </c>
    </row>
    <row r="169" spans="1:17" x14ac:dyDescent="0.35">
      <c r="A169" s="6" t="s">
        <v>183</v>
      </c>
      <c r="B169" s="6" t="s">
        <v>191</v>
      </c>
      <c r="C169" s="6">
        <v>0.11096483432865353</v>
      </c>
      <c r="D169" s="6">
        <v>-0.39073989738331666</v>
      </c>
      <c r="E169" s="6">
        <v>-0.3373689511337471</v>
      </c>
      <c r="F169" s="6">
        <v>-3.3397028787799446E-2</v>
      </c>
      <c r="G169" s="6">
        <v>1.1971719866001402</v>
      </c>
      <c r="H169" s="6">
        <v>0.20348329239481522</v>
      </c>
      <c r="I169" s="6">
        <v>0.59053695576756482</v>
      </c>
      <c r="J169" s="6">
        <v>2.5130949002123906</v>
      </c>
      <c r="K169" s="6">
        <v>-0.8833014557633122</v>
      </c>
      <c r="L169" s="6">
        <v>-9.363169405390992E-2</v>
      </c>
      <c r="N169" s="8">
        <f>SQRT((C169-Sheet4!$C$525)^2+(D169-Sheet4!$D$525)^2+(E169-Sheet4!$E$525)^2+(F169-Sheet4!$F$525)^2+(G169-Sheet4!$G$525)^2+(H169-Sheet4!$H$525)^2+(I169-Sheet4!$I$525)^2+(J169-Sheet4!$J$525)^2+(K169-Sheet4!$K$525)^2+(L169-Sheet4!$L$525)^2)</f>
        <v>3.5954413800151439</v>
      </c>
      <c r="O169" s="8">
        <f>SQRT((C169-Sheet4!$C$526)^2+(D169-Sheet4!$D$526)^2+(E169-Sheet4!$E$526)^2+(F169-Sheet4!$F$526)^2+(G169-Sheet4!$G$526)^2+(H169-Sheet4!$H$526)^2+(I169-Sheet4!$I$526)^2+(J169-Sheet4!$J$526)^2+(K169-Sheet4!$K$526)^2+(L169-Sheet4!$L$526)^2)</f>
        <v>3.0118500223676041</v>
      </c>
      <c r="P169" s="12">
        <f t="shared" si="2"/>
        <v>1</v>
      </c>
      <c r="Q169" s="11">
        <f>IF(P169=Sheet1!$M169, 1, 0)</f>
        <v>0</v>
      </c>
    </row>
    <row r="170" spans="1:17" x14ac:dyDescent="0.35">
      <c r="A170" s="6" t="s">
        <v>183</v>
      </c>
      <c r="B170" s="6" t="s">
        <v>192</v>
      </c>
      <c r="C170" s="6">
        <v>3.6030934440831001E-3</v>
      </c>
      <c r="D170" s="6">
        <v>-0.82038421948623641</v>
      </c>
      <c r="E170" s="6">
        <v>1.5918978094243034E-2</v>
      </c>
      <c r="F170" s="6">
        <v>-0.12429617571105542</v>
      </c>
      <c r="G170" s="6">
        <v>0.73261059814537755</v>
      </c>
      <c r="H170" s="6">
        <v>0.33437145209806052</v>
      </c>
      <c r="I170" s="6">
        <v>0.72696106597638843</v>
      </c>
      <c r="J170" s="6">
        <v>2.0196245444841328</v>
      </c>
      <c r="K170" s="6">
        <v>-0.77845307822405707</v>
      </c>
      <c r="L170" s="6">
        <v>0.25417695817825253</v>
      </c>
      <c r="N170" s="8">
        <f>SQRT((C170-Sheet4!$C$525)^2+(D170-Sheet4!$D$525)^2+(E170-Sheet4!$E$525)^2+(F170-Sheet4!$F$525)^2+(G170-Sheet4!$G$525)^2+(H170-Sheet4!$H$525)^2+(I170-Sheet4!$I$525)^2+(J170-Sheet4!$J$525)^2+(K170-Sheet4!$K$525)^2+(L170-Sheet4!$L$525)^2)</f>
        <v>3.1394413600472384</v>
      </c>
      <c r="O170" s="8">
        <f>SQRT((C170-Sheet4!$C$526)^2+(D170-Sheet4!$D$526)^2+(E170-Sheet4!$E$526)^2+(F170-Sheet4!$F$526)^2+(G170-Sheet4!$G$526)^2+(H170-Sheet4!$H$526)^2+(I170-Sheet4!$I$526)^2+(J170-Sheet4!$J$526)^2+(K170-Sheet4!$K$526)^2+(L170-Sheet4!$L$526)^2)</f>
        <v>2.7943217075423208</v>
      </c>
      <c r="P170" s="12">
        <f t="shared" si="2"/>
        <v>1</v>
      </c>
      <c r="Q170" s="11">
        <f>IF(P170=Sheet1!$M170, 1, 0)</f>
        <v>0</v>
      </c>
    </row>
    <row r="171" spans="1:17" x14ac:dyDescent="0.35">
      <c r="A171" s="6" t="s">
        <v>183</v>
      </c>
      <c r="B171" s="6" t="s">
        <v>193</v>
      </c>
      <c r="C171" s="6">
        <v>7.6291587272544108E-3</v>
      </c>
      <c r="D171" s="6">
        <v>-0.69149092285536051</v>
      </c>
      <c r="E171" s="6">
        <v>-0.2703216069006979</v>
      </c>
      <c r="F171" s="6">
        <v>-0.32612309515083121</v>
      </c>
      <c r="G171" s="6">
        <v>0.23320710555650215</v>
      </c>
      <c r="H171" s="6">
        <v>0.18247655071404736</v>
      </c>
      <c r="I171" s="6">
        <v>0.74353595787091786</v>
      </c>
      <c r="J171" s="6">
        <v>0.24692718967569677</v>
      </c>
      <c r="K171" s="6">
        <v>-0.28707411483112566</v>
      </c>
      <c r="L171" s="6">
        <v>1.7231630839184574E-2</v>
      </c>
      <c r="N171" s="8">
        <f>SQRT((C171-Sheet4!$C$525)^2+(D171-Sheet4!$D$525)^2+(E171-Sheet4!$E$525)^2+(F171-Sheet4!$F$525)^2+(G171-Sheet4!$G$525)^2+(H171-Sheet4!$H$525)^2+(I171-Sheet4!$I$525)^2+(J171-Sheet4!$J$525)^2+(K171-Sheet4!$K$525)^2+(L171-Sheet4!$L$525)^2)</f>
        <v>1.531765450064001</v>
      </c>
      <c r="O171" s="8">
        <f>SQRT((C171-Sheet4!$C$526)^2+(D171-Sheet4!$D$526)^2+(E171-Sheet4!$E$526)^2+(F171-Sheet4!$F$526)^2+(G171-Sheet4!$G$526)^2+(H171-Sheet4!$H$526)^2+(I171-Sheet4!$I$526)^2+(J171-Sheet4!$J$526)^2+(K171-Sheet4!$K$526)^2+(L171-Sheet4!$L$526)^2)</f>
        <v>3.0213839891541623</v>
      </c>
      <c r="P171" s="12">
        <f t="shared" si="2"/>
        <v>0</v>
      </c>
      <c r="Q171" s="11">
        <f>IF(P171=Sheet1!$M171, 1, 0)</f>
        <v>1</v>
      </c>
    </row>
    <row r="172" spans="1:17" x14ac:dyDescent="0.35">
      <c r="A172" s="6" t="s">
        <v>183</v>
      </c>
      <c r="B172" s="6" t="s">
        <v>194</v>
      </c>
      <c r="C172" s="6">
        <v>-0.20977836656400092</v>
      </c>
      <c r="D172" s="6">
        <v>5.1179976779686241E-2</v>
      </c>
      <c r="E172" s="6">
        <v>-2.3130574041488931E-2</v>
      </c>
      <c r="F172" s="6">
        <v>0.28860164421153744</v>
      </c>
      <c r="G172" s="6">
        <v>0.86036497997043715</v>
      </c>
      <c r="H172" s="6">
        <v>0.57460239542171354</v>
      </c>
      <c r="I172" s="6">
        <v>0.57523705555722882</v>
      </c>
      <c r="J172" s="6">
        <v>1.5641134468888169</v>
      </c>
      <c r="K172" s="6">
        <v>-0.14936281298851917</v>
      </c>
      <c r="L172" s="6">
        <v>5.1205028979234367E-2</v>
      </c>
      <c r="N172" s="8">
        <f>SQRT((C172-Sheet4!$C$525)^2+(D172-Sheet4!$D$525)^2+(E172-Sheet4!$E$525)^2+(F172-Sheet4!$F$525)^2+(G172-Sheet4!$G$525)^2+(H172-Sheet4!$H$525)^2+(I172-Sheet4!$I$525)^2+(J172-Sheet4!$J$525)^2+(K172-Sheet4!$K$525)^2+(L172-Sheet4!$L$525)^2)</f>
        <v>2.7760338512304799</v>
      </c>
      <c r="O172" s="8">
        <f>SQRT((C172-Sheet4!$C$526)^2+(D172-Sheet4!$D$526)^2+(E172-Sheet4!$E$526)^2+(F172-Sheet4!$F$526)^2+(G172-Sheet4!$G$526)^2+(H172-Sheet4!$H$526)^2+(I172-Sheet4!$I$526)^2+(J172-Sheet4!$J$526)^2+(K172-Sheet4!$K$526)^2+(L172-Sheet4!$L$526)^2)</f>
        <v>1.9776357617320548</v>
      </c>
      <c r="P172" s="12">
        <f t="shared" si="2"/>
        <v>1</v>
      </c>
      <c r="Q172" s="11">
        <f>IF(P172=Sheet1!$M172, 1, 0)</f>
        <v>0</v>
      </c>
    </row>
    <row r="173" spans="1:17" x14ac:dyDescent="0.35">
      <c r="A173" s="6" t="s">
        <v>183</v>
      </c>
      <c r="B173" s="6" t="s">
        <v>195</v>
      </c>
      <c r="C173" s="6">
        <v>0.10291270376231068</v>
      </c>
      <c r="D173" s="6">
        <v>-1.1763752292286556</v>
      </c>
      <c r="E173" s="6">
        <v>-0.18964375862027052</v>
      </c>
      <c r="F173" s="6">
        <v>-0.35231437477278704</v>
      </c>
      <c r="G173" s="6">
        <v>0.6338913030987392</v>
      </c>
      <c r="H173" s="6">
        <v>0.67586566301105566</v>
      </c>
      <c r="I173" s="6">
        <v>0.81684797971210843</v>
      </c>
      <c r="J173" s="6">
        <v>1.2300719753189193</v>
      </c>
      <c r="K173" s="6">
        <v>6.1898843247294361E-2</v>
      </c>
      <c r="L173" s="6">
        <v>0.7852512598936161</v>
      </c>
      <c r="N173" s="8">
        <f>SQRT((C173-Sheet4!$C$525)^2+(D173-Sheet4!$D$525)^2+(E173-Sheet4!$E$525)^2+(F173-Sheet4!$F$525)^2+(G173-Sheet4!$G$525)^2+(H173-Sheet4!$H$525)^2+(I173-Sheet4!$I$525)^2+(J173-Sheet4!$J$525)^2+(K173-Sheet4!$K$525)^2+(L173-Sheet4!$L$525)^2)</f>
        <v>2.6911286748484358</v>
      </c>
      <c r="O173" s="8">
        <f>SQRT((C173-Sheet4!$C$526)^2+(D173-Sheet4!$D$526)^2+(E173-Sheet4!$E$526)^2+(F173-Sheet4!$F$526)^2+(G173-Sheet4!$G$526)^2+(H173-Sheet4!$H$526)^2+(I173-Sheet4!$I$526)^2+(J173-Sheet4!$J$526)^2+(K173-Sheet4!$K$526)^2+(L173-Sheet4!$L$526)^2)</f>
        <v>3.1268683887340045</v>
      </c>
      <c r="P173" s="12">
        <f t="shared" si="2"/>
        <v>0</v>
      </c>
      <c r="Q173" s="11">
        <f>IF(P173=Sheet1!$M173, 1, 0)</f>
        <v>1</v>
      </c>
    </row>
    <row r="174" spans="1:17" x14ac:dyDescent="0.35">
      <c r="A174" s="6" t="s">
        <v>183</v>
      </c>
      <c r="B174" s="6" t="s">
        <v>196</v>
      </c>
      <c r="C174" s="6">
        <v>-0.30103584631588609</v>
      </c>
      <c r="D174" s="6">
        <v>-0.81424644345619435</v>
      </c>
      <c r="E174" s="6">
        <v>0.19495749071656129</v>
      </c>
      <c r="F174" s="6">
        <v>-0.12275551220388296</v>
      </c>
      <c r="G174" s="6">
        <v>0.84875094525906614</v>
      </c>
      <c r="H174" s="6">
        <v>0.4641823429971641</v>
      </c>
      <c r="I174" s="6">
        <v>0.86784764707989281</v>
      </c>
      <c r="J174" s="6">
        <v>1.7880730698731804</v>
      </c>
      <c r="K174" s="6">
        <v>-0.26360059747158981</v>
      </c>
      <c r="L174" s="6">
        <v>0.14750036808109171</v>
      </c>
      <c r="N174" s="8">
        <f>SQRT((C174-Sheet4!$C$525)^2+(D174-Sheet4!$D$525)^2+(E174-Sheet4!$E$525)^2+(F174-Sheet4!$F$525)^2+(G174-Sheet4!$G$525)^2+(H174-Sheet4!$H$525)^2+(I174-Sheet4!$I$525)^2+(J174-Sheet4!$J$525)^2+(K174-Sheet4!$K$525)^2+(L174-Sheet4!$L$525)^2)</f>
        <v>3.0137921248824018</v>
      </c>
      <c r="O174" s="8">
        <f>SQRT((C174-Sheet4!$C$526)^2+(D174-Sheet4!$D$526)^2+(E174-Sheet4!$E$526)^2+(F174-Sheet4!$F$526)^2+(G174-Sheet4!$G$526)^2+(H174-Sheet4!$H$526)^2+(I174-Sheet4!$I$526)^2+(J174-Sheet4!$J$526)^2+(K174-Sheet4!$K$526)^2+(L174-Sheet4!$L$526)^2)</f>
        <v>2.6107792519484261</v>
      </c>
      <c r="P174" s="12">
        <f t="shared" si="2"/>
        <v>1</v>
      </c>
      <c r="Q174" s="11">
        <f>IF(P174=Sheet1!$M174, 1, 0)</f>
        <v>0</v>
      </c>
    </row>
    <row r="175" spans="1:17" x14ac:dyDescent="0.35">
      <c r="A175" s="6" t="s">
        <v>183</v>
      </c>
      <c r="B175" s="6" t="s">
        <v>197</v>
      </c>
      <c r="C175" s="6">
        <v>-0.46207845764274191</v>
      </c>
      <c r="D175" s="6">
        <v>-0.20660661648206549</v>
      </c>
      <c r="E175" s="6">
        <v>0.49519697176016081</v>
      </c>
      <c r="F175" s="6">
        <v>0.16226723662328213</v>
      </c>
      <c r="G175" s="6">
        <v>0.44225973036114985</v>
      </c>
      <c r="H175" s="6">
        <v>-0.24735370213858687</v>
      </c>
      <c r="I175" s="6">
        <v>-0.23183268053796097</v>
      </c>
      <c r="J175" s="6">
        <v>2.1410941705095494</v>
      </c>
      <c r="K175" s="6">
        <v>-1.3042598670776384</v>
      </c>
      <c r="L175" s="6">
        <v>0.51978596700351043</v>
      </c>
      <c r="N175" s="8">
        <f>SQRT((C175-Sheet4!$C$525)^2+(D175-Sheet4!$D$525)^2+(E175-Sheet4!$E$525)^2+(F175-Sheet4!$F$525)^2+(G175-Sheet4!$G$525)^2+(H175-Sheet4!$H$525)^2+(I175-Sheet4!$I$525)^2+(J175-Sheet4!$J$525)^2+(K175-Sheet4!$K$525)^2+(L175-Sheet4!$L$525)^2)</f>
        <v>3.3767800217949908</v>
      </c>
      <c r="O175" s="8">
        <f>SQRT((C175-Sheet4!$C$526)^2+(D175-Sheet4!$D$526)^2+(E175-Sheet4!$E$526)^2+(F175-Sheet4!$F$526)^2+(G175-Sheet4!$G$526)^2+(H175-Sheet4!$H$526)^2+(I175-Sheet4!$I$526)^2+(J175-Sheet4!$J$526)^2+(K175-Sheet4!$K$526)^2+(L175-Sheet4!$L$526)^2)</f>
        <v>2.5401636608879037</v>
      </c>
      <c r="P175" s="12">
        <f t="shared" si="2"/>
        <v>1</v>
      </c>
      <c r="Q175" s="11">
        <f>IF(P175=Sheet1!$M175, 1, 0)</f>
        <v>0</v>
      </c>
    </row>
    <row r="176" spans="1:17" x14ac:dyDescent="0.35">
      <c r="A176" s="6" t="s">
        <v>183</v>
      </c>
      <c r="B176" s="6" t="s">
        <v>198</v>
      </c>
      <c r="C176" s="6">
        <v>-0.44597419651005643</v>
      </c>
      <c r="D176" s="6">
        <v>-0.40301544944339984</v>
      </c>
      <c r="E176" s="6">
        <v>0.44104334757192876</v>
      </c>
      <c r="F176" s="6">
        <v>0.15610458259458573</v>
      </c>
      <c r="G176" s="6">
        <v>0.77616322831300921</v>
      </c>
      <c r="H176" s="6">
        <v>-6.5914599008273019E-4</v>
      </c>
      <c r="I176" s="6">
        <v>0.73269852855526352</v>
      </c>
      <c r="J176" s="6">
        <v>2.5700337874118051</v>
      </c>
      <c r="K176" s="6">
        <v>-0.82540011294312643</v>
      </c>
      <c r="L176" s="6">
        <v>3.0293057143532587</v>
      </c>
      <c r="N176" s="8">
        <f>SQRT((C176-Sheet4!$C$525)^2+(D176-Sheet4!$D$525)^2+(E176-Sheet4!$E$525)^2+(F176-Sheet4!$F$525)^2+(G176-Sheet4!$G$525)^2+(H176-Sheet4!$H$525)^2+(I176-Sheet4!$I$525)^2+(J176-Sheet4!$J$525)^2+(K176-Sheet4!$K$525)^2+(L176-Sheet4!$L$525)^2)</f>
        <v>4.9083204219322658</v>
      </c>
      <c r="O176" s="8">
        <f>SQRT((C176-Sheet4!$C$526)^2+(D176-Sheet4!$D$526)^2+(E176-Sheet4!$E$526)^2+(F176-Sheet4!$F$526)^2+(G176-Sheet4!$G$526)^2+(H176-Sheet4!$H$526)^2+(I176-Sheet4!$I$526)^2+(J176-Sheet4!$J$526)^2+(K176-Sheet4!$K$526)^2+(L176-Sheet4!$L$526)^2)</f>
        <v>3.4582515494019161</v>
      </c>
      <c r="P176" s="12">
        <f t="shared" si="2"/>
        <v>1</v>
      </c>
      <c r="Q176" s="11">
        <f>IF(P176=Sheet1!$M176, 1, 0)</f>
        <v>0</v>
      </c>
    </row>
    <row r="177" spans="1:17" x14ac:dyDescent="0.35">
      <c r="A177" s="6" t="s">
        <v>183</v>
      </c>
      <c r="B177" s="6" t="s">
        <v>199</v>
      </c>
      <c r="C177" s="6">
        <v>-0.94789033514542376</v>
      </c>
      <c r="D177" s="6">
        <v>0.5299265071229402</v>
      </c>
      <c r="E177" s="6">
        <v>0.37436439534016003</v>
      </c>
      <c r="F177" s="6">
        <v>0.69687747361261076</v>
      </c>
      <c r="G177" s="6">
        <v>1.2058825126336674</v>
      </c>
      <c r="H177" s="6">
        <v>0.20563783000309868</v>
      </c>
      <c r="I177" s="6">
        <v>0.63006169797759715</v>
      </c>
      <c r="J177" s="6">
        <v>1.9095426958985979</v>
      </c>
      <c r="K177" s="6">
        <v>-0.56249671851633409</v>
      </c>
      <c r="L177" s="6">
        <v>4.8030228582441232</v>
      </c>
      <c r="N177" s="8">
        <f>SQRT((C177-Sheet4!$C$525)^2+(D177-Sheet4!$D$525)^2+(E177-Sheet4!$E$525)^2+(F177-Sheet4!$F$525)^2+(G177-Sheet4!$G$525)^2+(H177-Sheet4!$H$525)^2+(I177-Sheet4!$I$525)^2+(J177-Sheet4!$J$525)^2+(K177-Sheet4!$K$525)^2+(L177-Sheet4!$L$525)^2)</f>
        <v>6.2022052986282734</v>
      </c>
      <c r="O177" s="8">
        <f>SQRT((C177-Sheet4!$C$526)^2+(D177-Sheet4!$D$526)^2+(E177-Sheet4!$E$526)^2+(F177-Sheet4!$F$526)^2+(G177-Sheet4!$G$526)^2+(H177-Sheet4!$H$526)^2+(I177-Sheet4!$I$526)^2+(J177-Sheet4!$J$526)^2+(K177-Sheet4!$K$526)^2+(L177-Sheet4!$L$526)^2)</f>
        <v>4.4075627983046886</v>
      </c>
      <c r="P177" s="12">
        <f t="shared" si="2"/>
        <v>1</v>
      </c>
      <c r="Q177" s="11">
        <f>IF(P177=Sheet1!$M177, 1, 0)</f>
        <v>0</v>
      </c>
    </row>
    <row r="178" spans="1:17" x14ac:dyDescent="0.35">
      <c r="A178" s="6" t="s">
        <v>183</v>
      </c>
      <c r="B178" s="6" t="s">
        <v>200</v>
      </c>
      <c r="C178" s="6">
        <v>-0.13059908266163012</v>
      </c>
      <c r="D178" s="6">
        <v>-0.14522885618164863</v>
      </c>
      <c r="E178" s="6">
        <v>-0.65529124823881013</v>
      </c>
      <c r="F178" s="6">
        <v>-0.25217124680648539</v>
      </c>
      <c r="G178" s="6">
        <v>0.83132989319201189</v>
      </c>
      <c r="H178" s="6">
        <v>-0.72296787916725325</v>
      </c>
      <c r="I178" s="6">
        <v>0.46750025824278418</v>
      </c>
      <c r="J178" s="6">
        <v>2.5017071227725078</v>
      </c>
      <c r="K178" s="6">
        <v>-1.3637261110551273</v>
      </c>
      <c r="L178" s="6">
        <v>0.20346959666076761</v>
      </c>
      <c r="N178" s="8">
        <f>SQRT((C178-Sheet4!$C$525)^2+(D178-Sheet4!$D$525)^2+(E178-Sheet4!$E$525)^2+(F178-Sheet4!$F$525)^2+(G178-Sheet4!$G$525)^2+(H178-Sheet4!$H$525)^2+(I178-Sheet4!$I$525)^2+(J178-Sheet4!$J$525)^2+(K178-Sheet4!$K$525)^2+(L178-Sheet4!$L$525)^2)</f>
        <v>3.6467112708513065</v>
      </c>
      <c r="O178" s="8">
        <f>SQRT((C178-Sheet4!$C$526)^2+(D178-Sheet4!$D$526)^2+(E178-Sheet4!$E$526)^2+(F178-Sheet4!$F$526)^2+(G178-Sheet4!$G$526)^2+(H178-Sheet4!$H$526)^2+(I178-Sheet4!$I$526)^2+(J178-Sheet4!$J$526)^2+(K178-Sheet4!$K$526)^2+(L178-Sheet4!$L$526)^2)</f>
        <v>3.3909267028188967</v>
      </c>
      <c r="P178" s="12">
        <f t="shared" si="2"/>
        <v>1</v>
      </c>
      <c r="Q178" s="11">
        <f>IF(P178=Sheet1!$M178, 1, 0)</f>
        <v>0</v>
      </c>
    </row>
    <row r="179" spans="1:17" x14ac:dyDescent="0.35">
      <c r="A179" s="6" t="s">
        <v>183</v>
      </c>
      <c r="B179" s="6" t="s">
        <v>201</v>
      </c>
      <c r="C179" s="6">
        <v>-0.35203267323605703</v>
      </c>
      <c r="D179" s="6">
        <v>-0.36005101723310823</v>
      </c>
      <c r="E179" s="6">
        <v>-0.46409579957423575</v>
      </c>
      <c r="F179" s="6">
        <v>-0.25371191031366003</v>
      </c>
      <c r="G179" s="6">
        <v>0.56420709483052189</v>
      </c>
      <c r="H179" s="6">
        <v>0.23095364690043418</v>
      </c>
      <c r="I179" s="6">
        <v>-0.27773238116896698</v>
      </c>
      <c r="J179" s="6">
        <v>-0.68687056039469974</v>
      </c>
      <c r="K179" s="6">
        <v>0.82713550916813339</v>
      </c>
      <c r="L179" s="6">
        <v>-0.29130364367754757</v>
      </c>
      <c r="N179" s="8">
        <f>SQRT((C179-Sheet4!$C$525)^2+(D179-Sheet4!$D$525)^2+(E179-Sheet4!$E$525)^2+(F179-Sheet4!$F$525)^2+(G179-Sheet4!$G$525)^2+(H179-Sheet4!$H$525)^2+(I179-Sheet4!$I$525)^2+(J179-Sheet4!$J$525)^2+(K179-Sheet4!$K$525)^2+(L179-Sheet4!$L$525)^2)</f>
        <v>1.3581013370878998</v>
      </c>
      <c r="O179" s="8">
        <f>SQRT((C179-Sheet4!$C$526)^2+(D179-Sheet4!$D$526)^2+(E179-Sheet4!$E$526)^2+(F179-Sheet4!$F$526)^2+(G179-Sheet4!$G$526)^2+(H179-Sheet4!$H$526)^2+(I179-Sheet4!$I$526)^2+(J179-Sheet4!$J$526)^2+(K179-Sheet4!$K$526)^2+(L179-Sheet4!$L$526)^2)</f>
        <v>3.6709162591559741</v>
      </c>
      <c r="P179" s="12">
        <f t="shared" si="2"/>
        <v>0</v>
      </c>
      <c r="Q179" s="11">
        <f>IF(P179=Sheet1!$M179, 1, 0)</f>
        <v>1</v>
      </c>
    </row>
    <row r="180" spans="1:17" x14ac:dyDescent="0.35">
      <c r="A180" s="6" t="s">
        <v>183</v>
      </c>
      <c r="B180" s="6" t="s">
        <v>202</v>
      </c>
      <c r="C180" s="6">
        <v>-0.67545991765082591</v>
      </c>
      <c r="D180" s="6">
        <v>1.2848729588180696</v>
      </c>
      <c r="E180" s="6">
        <v>0.51251139582034388</v>
      </c>
      <c r="F180" s="6">
        <v>1.0265794641478165</v>
      </c>
      <c r="G180" s="6">
        <v>1.2087860213115069</v>
      </c>
      <c r="H180" s="6">
        <v>-9.9767875971141382E-2</v>
      </c>
      <c r="I180" s="6">
        <v>0.82896040071195709</v>
      </c>
      <c r="J180" s="6">
        <v>2.5548500841586277</v>
      </c>
      <c r="K180" s="6">
        <v>-1.2041061930102892</v>
      </c>
      <c r="L180" s="6">
        <v>0.23837869461065275</v>
      </c>
      <c r="N180" s="8">
        <f>SQRT((C180-Sheet4!$C$525)^2+(D180-Sheet4!$D$525)^2+(E180-Sheet4!$E$525)^2+(F180-Sheet4!$F$525)^2+(G180-Sheet4!$G$525)^2+(H180-Sheet4!$H$525)^2+(I180-Sheet4!$I$525)^2+(J180-Sheet4!$J$525)^2+(K180-Sheet4!$K$525)^2+(L180-Sheet4!$L$525)^2)</f>
        <v>4.5570677167958111</v>
      </c>
      <c r="O180" s="8">
        <f>SQRT((C180-Sheet4!$C$526)^2+(D180-Sheet4!$D$526)^2+(E180-Sheet4!$E$526)^2+(F180-Sheet4!$F$526)^2+(G180-Sheet4!$G$526)^2+(H180-Sheet4!$H$526)^2+(I180-Sheet4!$I$526)^2+(J180-Sheet4!$J$526)^2+(K180-Sheet4!$K$526)^2+(L180-Sheet4!$L$526)^2)</f>
        <v>1.9852583572095455</v>
      </c>
      <c r="P180" s="12">
        <f t="shared" si="2"/>
        <v>1</v>
      </c>
      <c r="Q180" s="11">
        <f>IF(P180=Sheet1!$M180, 1, 0)</f>
        <v>0</v>
      </c>
    </row>
    <row r="181" spans="1:17" x14ac:dyDescent="0.35">
      <c r="A181" s="6" t="s">
        <v>183</v>
      </c>
      <c r="B181" s="6" t="s">
        <v>203</v>
      </c>
      <c r="C181" s="6">
        <v>-0.53991571978405561</v>
      </c>
      <c r="D181" s="6">
        <v>0.84295308465506735</v>
      </c>
      <c r="E181" s="6">
        <v>0.22737598682924443</v>
      </c>
      <c r="F181" s="6">
        <v>0.71998742622021727</v>
      </c>
      <c r="G181" s="6">
        <v>0.84875094525906614</v>
      </c>
      <c r="H181" s="6">
        <v>-2.0232313257665746</v>
      </c>
      <c r="I181" s="6">
        <v>0.84362280508019538</v>
      </c>
      <c r="J181" s="6">
        <v>2.1714615770159038</v>
      </c>
      <c r="K181" s="6">
        <v>-1.9724726612457335</v>
      </c>
      <c r="L181" s="6">
        <v>-0.2739969269563417</v>
      </c>
      <c r="N181" s="8">
        <f>SQRT((C181-Sheet4!$C$525)^2+(D181-Sheet4!$D$525)^2+(E181-Sheet4!$E$525)^2+(F181-Sheet4!$F$525)^2+(G181-Sheet4!$G$525)^2+(H181-Sheet4!$H$525)^2+(I181-Sheet4!$I$525)^2+(J181-Sheet4!$J$525)^2+(K181-Sheet4!$K$525)^2+(L181-Sheet4!$L$525)^2)</f>
        <v>4.551282785793263</v>
      </c>
      <c r="O181" s="8">
        <f>SQRT((C181-Sheet4!$C$526)^2+(D181-Sheet4!$D$526)^2+(E181-Sheet4!$E$526)^2+(F181-Sheet4!$F$526)^2+(G181-Sheet4!$G$526)^2+(H181-Sheet4!$H$526)^2+(I181-Sheet4!$I$526)^2+(J181-Sheet4!$J$526)^2+(K181-Sheet4!$K$526)^2+(L181-Sheet4!$L$526)^2)</f>
        <v>3.5016578450832672</v>
      </c>
      <c r="P181" s="12">
        <f t="shared" si="2"/>
        <v>1</v>
      </c>
      <c r="Q181" s="11">
        <f>IF(P181=Sheet1!$M181, 1, 0)</f>
        <v>0</v>
      </c>
    </row>
    <row r="182" spans="1:17" x14ac:dyDescent="0.35">
      <c r="A182" s="6" t="s">
        <v>183</v>
      </c>
      <c r="B182" s="6" t="s">
        <v>204</v>
      </c>
      <c r="C182" s="6">
        <v>-1.0606201630742229</v>
      </c>
      <c r="D182" s="6">
        <v>1.5672106561999888</v>
      </c>
      <c r="E182" s="6">
        <v>2.4576211625813325</v>
      </c>
      <c r="F182" s="6">
        <v>1.8539157675001769</v>
      </c>
      <c r="G182" s="6">
        <v>1.3946105766934129</v>
      </c>
      <c r="H182" s="6">
        <v>-1.5244558694488566</v>
      </c>
      <c r="I182" s="6">
        <v>0.91629733107928835</v>
      </c>
      <c r="J182" s="6">
        <v>2.4295845323199168</v>
      </c>
      <c r="K182" s="6">
        <v>-0.65013118332526487</v>
      </c>
      <c r="L182" s="6">
        <v>3.7287151094048494</v>
      </c>
      <c r="N182" s="8">
        <f>SQRT((C182-Sheet4!$C$525)^2+(D182-Sheet4!$D$525)^2+(E182-Sheet4!$E$525)^2+(F182-Sheet4!$F$525)^2+(G182-Sheet4!$G$525)^2+(H182-Sheet4!$H$525)^2+(I182-Sheet4!$I$525)^2+(J182-Sheet4!$J$525)^2+(K182-Sheet4!$K$525)^2+(L182-Sheet4!$L$525)^2)</f>
        <v>6.9932228622787571</v>
      </c>
      <c r="O182" s="8">
        <f>SQRT((C182-Sheet4!$C$526)^2+(D182-Sheet4!$D$526)^2+(E182-Sheet4!$E$526)^2+(F182-Sheet4!$F$526)^2+(G182-Sheet4!$G$526)^2+(H182-Sheet4!$H$526)^2+(I182-Sheet4!$I$526)^2+(J182-Sheet4!$J$526)^2+(K182-Sheet4!$K$526)^2+(L182-Sheet4!$L$526)^2)</f>
        <v>4.4028343450360152</v>
      </c>
      <c r="P182" s="12">
        <f t="shared" si="2"/>
        <v>1</v>
      </c>
      <c r="Q182" s="11">
        <f>IF(P182=Sheet1!$M182, 1, 0)</f>
        <v>0</v>
      </c>
    </row>
    <row r="183" spans="1:17" x14ac:dyDescent="0.35">
      <c r="A183" s="6" t="s">
        <v>183</v>
      </c>
      <c r="B183" s="6" t="s">
        <v>205</v>
      </c>
      <c r="C183" s="6">
        <v>-0.30103584631588609</v>
      </c>
      <c r="D183" s="6">
        <v>1.0332241415863594</v>
      </c>
      <c r="E183" s="6">
        <v>0.54714024394070992</v>
      </c>
      <c r="F183" s="6">
        <v>0.82013055418651892</v>
      </c>
      <c r="G183" s="6">
        <v>0.80810182376927409</v>
      </c>
      <c r="H183" s="6">
        <v>0.83530144602406242</v>
      </c>
      <c r="I183" s="6">
        <v>0.90545990176363411</v>
      </c>
      <c r="J183" s="6">
        <v>2.0765634316835468</v>
      </c>
      <c r="K183" s="6">
        <v>-1.0319670657070339</v>
      </c>
      <c r="L183" s="6">
        <v>-0.10049512247078837</v>
      </c>
      <c r="N183" s="8">
        <f>SQRT((C183-Sheet4!$C$525)^2+(D183-Sheet4!$D$525)^2+(E183-Sheet4!$E$525)^2+(F183-Sheet4!$F$525)^2+(G183-Sheet4!$G$525)^2+(H183-Sheet4!$H$525)^2+(I183-Sheet4!$I$525)^2+(J183-Sheet4!$J$525)^2+(K183-Sheet4!$K$525)^2+(L183-Sheet4!$L$525)^2)</f>
        <v>3.9981137157456592</v>
      </c>
      <c r="O183" s="8">
        <f>SQRT((C183-Sheet4!$C$526)^2+(D183-Sheet4!$D$526)^2+(E183-Sheet4!$E$526)^2+(F183-Sheet4!$F$526)^2+(G183-Sheet4!$G$526)^2+(H183-Sheet4!$H$526)^2+(I183-Sheet4!$I$526)^2+(J183-Sheet4!$J$526)^2+(K183-Sheet4!$K$526)^2+(L183-Sheet4!$L$526)^2)</f>
        <v>1.5449207761959027</v>
      </c>
      <c r="P183" s="12">
        <f t="shared" si="2"/>
        <v>1</v>
      </c>
      <c r="Q183" s="11">
        <f>IF(P183=Sheet1!$M183, 1, 0)</f>
        <v>0</v>
      </c>
    </row>
    <row r="184" spans="1:17" x14ac:dyDescent="0.35">
      <c r="A184" s="6" t="s">
        <v>183</v>
      </c>
      <c r="B184" s="6" t="s">
        <v>206</v>
      </c>
      <c r="C184" s="6">
        <v>-1.010965357915109</v>
      </c>
      <c r="D184" s="6">
        <v>1.7636194891613237</v>
      </c>
      <c r="E184" s="6">
        <v>2.0549687051817567</v>
      </c>
      <c r="F184" s="6">
        <v>1.8523751039930043</v>
      </c>
      <c r="G184" s="6">
        <v>1.6065667101759002</v>
      </c>
      <c r="H184" s="6">
        <v>1.0954618622243415</v>
      </c>
      <c r="I184" s="6">
        <v>0.94753462734205607</v>
      </c>
      <c r="J184" s="6">
        <v>2.2094208351488476</v>
      </c>
      <c r="K184" s="6">
        <v>-0.73620074697689253</v>
      </c>
      <c r="L184" s="6">
        <v>0.99946844909034249</v>
      </c>
      <c r="N184" s="8">
        <f>SQRT((C184-Sheet4!$C$525)^2+(D184-Sheet4!$D$525)^2+(E184-Sheet4!$E$525)^2+(F184-Sheet4!$F$525)^2+(G184-Sheet4!$G$525)^2+(H184-Sheet4!$H$525)^2+(I184-Sheet4!$I$525)^2+(J184-Sheet4!$J$525)^2+(K184-Sheet4!$K$525)^2+(L184-Sheet4!$L$525)^2)</f>
        <v>5.7633568097674832</v>
      </c>
      <c r="O184" s="8">
        <f>SQRT((C184-Sheet4!$C$526)^2+(D184-Sheet4!$D$526)^2+(E184-Sheet4!$E$526)^2+(F184-Sheet4!$F$526)^2+(G184-Sheet4!$G$526)^2+(H184-Sheet4!$H$526)^2+(I184-Sheet4!$I$526)^2+(J184-Sheet4!$J$526)^2+(K184-Sheet4!$K$526)^2+(L184-Sheet4!$L$526)^2)</f>
        <v>2.0933479752208277</v>
      </c>
      <c r="P184" s="12">
        <f t="shared" si="2"/>
        <v>1</v>
      </c>
      <c r="Q184" s="11">
        <f>IF(P184=Sheet1!$M184, 1, 0)</f>
        <v>0</v>
      </c>
    </row>
    <row r="185" spans="1:17" x14ac:dyDescent="0.35">
      <c r="A185" s="6" t="s">
        <v>183</v>
      </c>
      <c r="B185" s="6" t="s">
        <v>207</v>
      </c>
      <c r="C185" s="6">
        <v>-1.3008420583034497</v>
      </c>
      <c r="D185" s="6">
        <v>1.8556861296119496</v>
      </c>
      <c r="E185" s="6">
        <v>1.8770353685632797</v>
      </c>
      <c r="F185" s="6">
        <v>1.7630166205769209</v>
      </c>
      <c r="G185" s="6">
        <v>1.4410667155388925</v>
      </c>
      <c r="H185" s="6">
        <v>1.0696074109249347</v>
      </c>
      <c r="I185" s="6">
        <v>0.91693482692138517</v>
      </c>
      <c r="J185" s="6">
        <v>1.7842771440598861</v>
      </c>
      <c r="K185" s="6">
        <v>-1.0710895946395922</v>
      </c>
      <c r="L185" s="6">
        <v>0.58470214984446123</v>
      </c>
      <c r="N185" s="8">
        <f>SQRT((C185-Sheet4!$C$525)^2+(D185-Sheet4!$D$525)^2+(E185-Sheet4!$E$525)^2+(F185-Sheet4!$F$525)^2+(G185-Sheet4!$G$525)^2+(H185-Sheet4!$H$525)^2+(I185-Sheet4!$I$525)^2+(J185-Sheet4!$J$525)^2+(K185-Sheet4!$K$525)^2+(L185-Sheet4!$L$525)^2)</f>
        <v>5.5056243386800485</v>
      </c>
      <c r="O185" s="8">
        <f>SQRT((C185-Sheet4!$C$526)^2+(D185-Sheet4!$D$526)^2+(E185-Sheet4!$E$526)^2+(F185-Sheet4!$F$526)^2+(G185-Sheet4!$G$526)^2+(H185-Sheet4!$H$526)^2+(I185-Sheet4!$I$526)^2+(J185-Sheet4!$J$526)^2+(K185-Sheet4!$K$526)^2+(L185-Sheet4!$L$526)^2)</f>
        <v>1.8534084630691099</v>
      </c>
      <c r="P185" s="12">
        <f t="shared" si="2"/>
        <v>1</v>
      </c>
      <c r="Q185" s="11">
        <f>IF(P185=Sheet1!$M185, 1, 0)</f>
        <v>0</v>
      </c>
    </row>
    <row r="186" spans="1:17" x14ac:dyDescent="0.35">
      <c r="A186" s="6" t="s">
        <v>183</v>
      </c>
      <c r="B186" s="6" t="s">
        <v>208</v>
      </c>
      <c r="C186" s="6">
        <v>-0.92910203049062401</v>
      </c>
      <c r="D186" s="6">
        <v>1.622450640470364</v>
      </c>
      <c r="E186" s="6">
        <v>0.62413417220833245</v>
      </c>
      <c r="F186" s="6">
        <v>1.2530569997023735</v>
      </c>
      <c r="G186" s="6">
        <v>1.322022859747356</v>
      </c>
      <c r="H186" s="6">
        <v>7.9058745516421031E-2</v>
      </c>
      <c r="I186" s="6">
        <v>0.81557298802791411</v>
      </c>
      <c r="J186" s="6">
        <v>3.0407285882602983</v>
      </c>
      <c r="K186" s="6">
        <v>-1.2009763906956852</v>
      </c>
      <c r="L186" s="6">
        <v>2.7408027076094358E-2</v>
      </c>
      <c r="N186" s="8">
        <f>SQRT((C186-Sheet4!$C$525)^2+(D186-Sheet4!$D$525)^2+(E186-Sheet4!$E$525)^2+(F186-Sheet4!$F$525)^2+(G186-Sheet4!$G$525)^2+(H186-Sheet4!$H$525)^2+(I186-Sheet4!$I$525)^2+(J186-Sheet4!$J$525)^2+(K186-Sheet4!$K$525)^2+(L186-Sheet4!$L$525)^2)</f>
        <v>5.1743974073890238</v>
      </c>
      <c r="O186" s="8">
        <f>SQRT((C186-Sheet4!$C$526)^2+(D186-Sheet4!$D$526)^2+(E186-Sheet4!$E$526)^2+(F186-Sheet4!$F$526)^2+(G186-Sheet4!$G$526)^2+(H186-Sheet4!$H$526)^2+(I186-Sheet4!$I$526)^2+(J186-Sheet4!$J$526)^2+(K186-Sheet4!$K$526)^2+(L186-Sheet4!$L$526)^2)</f>
        <v>2.4378246593420778</v>
      </c>
      <c r="P186" s="12">
        <f t="shared" si="2"/>
        <v>1</v>
      </c>
      <c r="Q186" s="11">
        <f>IF(P186=Sheet1!$M186, 1, 0)</f>
        <v>0</v>
      </c>
    </row>
    <row r="187" spans="1:17" x14ac:dyDescent="0.35">
      <c r="A187" s="6" t="s">
        <v>183</v>
      </c>
      <c r="B187" s="6" t="s">
        <v>209</v>
      </c>
      <c r="C187" s="6">
        <v>0.11499089961182508</v>
      </c>
      <c r="D187" s="6">
        <v>0.66495757978385717</v>
      </c>
      <c r="E187" s="6">
        <v>-4.1181782104232956E-2</v>
      </c>
      <c r="F187" s="6">
        <v>0.52124183379479083</v>
      </c>
      <c r="G187" s="6">
        <v>0.77906673699085305</v>
      </c>
      <c r="H187" s="6">
        <v>-1.324083871878456</v>
      </c>
      <c r="I187" s="6">
        <v>0.59053695576756482</v>
      </c>
      <c r="J187" s="6">
        <v>0.98713272326808432</v>
      </c>
      <c r="K187" s="6">
        <v>-0.58127553240396279</v>
      </c>
      <c r="L187" s="6">
        <v>-0.12501126821518033</v>
      </c>
      <c r="N187" s="8">
        <f>SQRT((C187-Sheet4!$C$525)^2+(D187-Sheet4!$D$525)^2+(E187-Sheet4!$E$525)^2+(F187-Sheet4!$F$525)^2+(G187-Sheet4!$G$525)^2+(H187-Sheet4!$H$525)^2+(I187-Sheet4!$I$525)^2+(J187-Sheet4!$J$525)^2+(K187-Sheet4!$K$525)^2+(L187-Sheet4!$L$525)^2)</f>
        <v>2.7652246557521964</v>
      </c>
      <c r="O187" s="8">
        <f>SQRT((C187-Sheet4!$C$526)^2+(D187-Sheet4!$D$526)^2+(E187-Sheet4!$E$526)^2+(F187-Sheet4!$F$526)^2+(G187-Sheet4!$G$526)^2+(H187-Sheet4!$H$526)^2+(I187-Sheet4!$I$526)^2+(J187-Sheet4!$J$526)^2+(K187-Sheet4!$K$526)^2+(L187-Sheet4!$L$526)^2)</f>
        <v>2.6380309442008003</v>
      </c>
      <c r="P187" s="12">
        <f t="shared" si="2"/>
        <v>1</v>
      </c>
      <c r="Q187" s="11">
        <f>IF(P187=Sheet1!$M187, 1, 0)</f>
        <v>0</v>
      </c>
    </row>
    <row r="188" spans="1:17" x14ac:dyDescent="0.35">
      <c r="A188" s="6" t="s">
        <v>183</v>
      </c>
      <c r="B188" s="6" t="s">
        <v>210</v>
      </c>
      <c r="C188" s="6">
        <v>-0.69290620054456864</v>
      </c>
      <c r="D188" s="6">
        <v>0.20462437753072898</v>
      </c>
      <c r="E188" s="6">
        <v>5.5705314232535975E-2</v>
      </c>
      <c r="F188" s="6">
        <v>0.30708960629762444</v>
      </c>
      <c r="G188" s="6">
        <v>0.44516323903898952</v>
      </c>
      <c r="H188" s="6">
        <v>0.25411492618948628</v>
      </c>
      <c r="I188" s="6">
        <v>0.76967328739690721</v>
      </c>
      <c r="J188" s="6">
        <v>0.39117237058087995</v>
      </c>
      <c r="K188" s="6">
        <v>-0.84417892683075513</v>
      </c>
      <c r="L188" s="6">
        <v>-0.38864350384400503</v>
      </c>
      <c r="N188" s="8">
        <f>SQRT((C188-Sheet4!$C$525)^2+(D188-Sheet4!$D$525)^2+(E188-Sheet4!$E$525)^2+(F188-Sheet4!$F$525)^2+(G188-Sheet4!$G$525)^2+(H188-Sheet4!$H$525)^2+(I188-Sheet4!$I$525)^2+(J188-Sheet4!$J$525)^2+(K188-Sheet4!$K$525)^2+(L188-Sheet4!$L$525)^2)</f>
        <v>2.3422913604227813</v>
      </c>
      <c r="O188" s="8">
        <f>SQRT((C188-Sheet4!$C$526)^2+(D188-Sheet4!$D$526)^2+(E188-Sheet4!$E$526)^2+(F188-Sheet4!$F$526)^2+(G188-Sheet4!$G$526)^2+(H188-Sheet4!$H$526)^2+(I188-Sheet4!$I$526)^2+(J188-Sheet4!$J$526)^2+(K188-Sheet4!$K$526)^2+(L188-Sheet4!$L$526)^2)</f>
        <v>2.0898266212135481</v>
      </c>
      <c r="P188" s="12">
        <f t="shared" si="2"/>
        <v>1</v>
      </c>
      <c r="Q188" s="11">
        <f>IF(P188=Sheet1!$M188, 1, 0)</f>
        <v>0</v>
      </c>
    </row>
    <row r="189" spans="1:17" x14ac:dyDescent="0.35">
      <c r="A189" s="6" t="s">
        <v>211</v>
      </c>
      <c r="B189" s="6" t="s">
        <v>212</v>
      </c>
      <c r="C189" s="6">
        <v>-8.0944277502516343E-2</v>
      </c>
      <c r="D189" s="6">
        <v>-0.82652199551627803</v>
      </c>
      <c r="E189" s="6">
        <v>7.7072050306804418E-2</v>
      </c>
      <c r="F189" s="6">
        <v>7.5990080221545714E-2</v>
      </c>
      <c r="G189" s="6">
        <v>1.2320140907342489</v>
      </c>
      <c r="H189" s="6">
        <v>-4.2133994949547199E-2</v>
      </c>
      <c r="I189" s="6">
        <v>0.52487488403154214</v>
      </c>
      <c r="J189" s="6">
        <v>1.8639915861390666</v>
      </c>
      <c r="K189" s="6">
        <v>-1.0257074610778247</v>
      </c>
      <c r="L189" s="6">
        <v>1.4622440406291495</v>
      </c>
      <c r="N189" s="8">
        <f>SQRT((C189-Sheet4!$C$525)^2+(D189-Sheet4!$D$525)^2+(E189-Sheet4!$E$525)^2+(F189-Sheet4!$F$525)^2+(G189-Sheet4!$G$525)^2+(H189-Sheet4!$H$525)^2+(I189-Sheet4!$I$525)^2+(J189-Sheet4!$J$525)^2+(K189-Sheet4!$K$525)^2+(L189-Sheet4!$L$525)^2)</f>
        <v>3.6356165754531551</v>
      </c>
      <c r="O189" s="8">
        <f>SQRT((C189-Sheet4!$C$526)^2+(D189-Sheet4!$D$526)^2+(E189-Sheet4!$E$526)^2+(F189-Sheet4!$F$526)^2+(G189-Sheet4!$G$526)^2+(H189-Sheet4!$H$526)^2+(I189-Sheet4!$I$526)^2+(J189-Sheet4!$J$526)^2+(K189-Sheet4!$K$526)^2+(L189-Sheet4!$L$526)^2)</f>
        <v>2.843825645285766</v>
      </c>
      <c r="P189" s="12">
        <f t="shared" si="2"/>
        <v>1</v>
      </c>
      <c r="Q189" s="11">
        <f>IF(P189=Sheet1!$M189, 1, 0)</f>
        <v>0</v>
      </c>
    </row>
    <row r="190" spans="1:17" x14ac:dyDescent="0.35">
      <c r="A190" s="6" t="s">
        <v>211</v>
      </c>
      <c r="B190" s="6" t="s">
        <v>213</v>
      </c>
      <c r="C190" s="6">
        <v>0.18611805294785302</v>
      </c>
      <c r="D190" s="6">
        <v>-0.49508208989402569</v>
      </c>
      <c r="E190" s="6">
        <v>0.4498847556026605</v>
      </c>
      <c r="F190" s="6">
        <v>0.38720410867066446</v>
      </c>
      <c r="G190" s="6">
        <v>1.2029790039558237</v>
      </c>
      <c r="H190" s="6">
        <v>0.14908121778564698</v>
      </c>
      <c r="I190" s="6">
        <v>0.40502566571724791</v>
      </c>
      <c r="J190" s="6">
        <v>0.37598866732770275</v>
      </c>
      <c r="K190" s="6">
        <v>-0.68768881110052227</v>
      </c>
      <c r="L190" s="6">
        <v>0.39121179484228114</v>
      </c>
      <c r="N190" s="8">
        <f>SQRT((C190-Sheet4!$C$525)^2+(D190-Sheet4!$D$525)^2+(E190-Sheet4!$E$525)^2+(F190-Sheet4!$F$525)^2+(G190-Sheet4!$G$525)^2+(H190-Sheet4!$H$525)^2+(I190-Sheet4!$I$525)^2+(J190-Sheet4!$J$525)^2+(K190-Sheet4!$K$525)^2+(L190-Sheet4!$L$525)^2)</f>
        <v>2.4500231304396349</v>
      </c>
      <c r="O190" s="8">
        <f>SQRT((C190-Sheet4!$C$526)^2+(D190-Sheet4!$D$526)^2+(E190-Sheet4!$E$526)^2+(F190-Sheet4!$F$526)^2+(G190-Sheet4!$G$526)^2+(H190-Sheet4!$H$526)^2+(I190-Sheet4!$I$526)^2+(J190-Sheet4!$J$526)^2+(K190-Sheet4!$K$526)^2+(L190-Sheet4!$L$526)^2)</f>
        <v>2.2314365313424802</v>
      </c>
      <c r="P190" s="12">
        <f t="shared" si="2"/>
        <v>1</v>
      </c>
      <c r="Q190" s="11">
        <f>IF(P190=Sheet1!$M190, 1, 0)</f>
        <v>0</v>
      </c>
    </row>
    <row r="191" spans="1:17" x14ac:dyDescent="0.35">
      <c r="A191" s="6" t="s">
        <v>211</v>
      </c>
      <c r="B191" s="6" t="s">
        <v>214</v>
      </c>
      <c r="C191" s="6">
        <v>0.53235966730059292</v>
      </c>
      <c r="D191" s="6">
        <v>-0.72831757903561056</v>
      </c>
      <c r="E191" s="6">
        <v>-0.10786073433600168</v>
      </c>
      <c r="F191" s="6">
        <v>-0.11967418518953367</v>
      </c>
      <c r="G191" s="6">
        <v>1.0316719919631283</v>
      </c>
      <c r="H191" s="6">
        <v>-4.6981704568186115E-2</v>
      </c>
      <c r="I191" s="6">
        <v>2.765789353848263E-3</v>
      </c>
      <c r="J191" s="6">
        <v>0.37598866732770275</v>
      </c>
      <c r="K191" s="6">
        <v>8.6922038990146413E-3</v>
      </c>
      <c r="L191" s="6">
        <v>-8.8441079003767298E-2</v>
      </c>
      <c r="N191" s="8">
        <f>SQRT((C191-Sheet4!$C$525)^2+(D191-Sheet4!$D$525)^2+(E191-Sheet4!$E$525)^2+(F191-Sheet4!$F$525)^2+(G191-Sheet4!$G$525)^2+(H191-Sheet4!$H$525)^2+(I191-Sheet4!$I$525)^2+(J191-Sheet4!$J$525)^2+(K191-Sheet4!$K$525)^2+(L191-Sheet4!$L$525)^2)</f>
        <v>1.7107739621143143</v>
      </c>
      <c r="O191" s="8">
        <f>SQRT((C191-Sheet4!$C$526)^2+(D191-Sheet4!$D$526)^2+(E191-Sheet4!$E$526)^2+(F191-Sheet4!$F$526)^2+(G191-Sheet4!$G$526)^2+(H191-Sheet4!$H$526)^2+(I191-Sheet4!$I$526)^2+(J191-Sheet4!$J$526)^2+(K191-Sheet4!$K$526)^2+(L191-Sheet4!$L$526)^2)</f>
        <v>3.1361109382771577</v>
      </c>
      <c r="P191" s="12">
        <f t="shared" si="2"/>
        <v>0</v>
      </c>
      <c r="Q191" s="11">
        <f>IF(P191=Sheet1!$M191, 1, 0)</f>
        <v>1</v>
      </c>
    </row>
    <row r="192" spans="1:17" x14ac:dyDescent="0.35">
      <c r="A192" s="6" t="s">
        <v>211</v>
      </c>
      <c r="B192" s="6" t="s">
        <v>215</v>
      </c>
      <c r="C192" s="6">
        <v>0.53101764553953601</v>
      </c>
      <c r="D192" s="6">
        <v>-1.0352063805376961</v>
      </c>
      <c r="E192" s="6">
        <v>-0.33810573513630809</v>
      </c>
      <c r="F192" s="6">
        <v>-0.31841977761496232</v>
      </c>
      <c r="G192" s="6">
        <v>1.3423474204922541</v>
      </c>
      <c r="H192" s="6">
        <v>-1.963442907136697</v>
      </c>
      <c r="I192" s="6">
        <v>-0.16107064206515997</v>
      </c>
      <c r="J192" s="6">
        <v>0.30386607687511136</v>
      </c>
      <c r="K192" s="6">
        <v>4.6249831674271963E-2</v>
      </c>
      <c r="L192" s="6">
        <v>-0.13430480814327245</v>
      </c>
      <c r="N192" s="8">
        <f>SQRT((C192-Sheet4!$C$525)^2+(D192-Sheet4!$D$525)^2+(E192-Sheet4!$E$525)^2+(F192-Sheet4!$F$525)^2+(G192-Sheet4!$G$525)^2+(H192-Sheet4!$H$525)^2+(I192-Sheet4!$I$525)^2+(J192-Sheet4!$J$525)^2+(K192-Sheet4!$K$525)^2+(L192-Sheet4!$L$525)^2)</f>
        <v>2.6013114203608141</v>
      </c>
      <c r="O192" s="8">
        <f>SQRT((C192-Sheet4!$C$526)^2+(D192-Sheet4!$D$526)^2+(E192-Sheet4!$E$526)^2+(F192-Sheet4!$F$526)^2+(G192-Sheet4!$G$526)^2+(H192-Sheet4!$H$526)^2+(I192-Sheet4!$I$526)^2+(J192-Sheet4!$J$526)^2+(K192-Sheet4!$K$526)^2+(L192-Sheet4!$L$526)^2)</f>
        <v>4.3849238373125328</v>
      </c>
      <c r="P192" s="12">
        <f t="shared" si="2"/>
        <v>0</v>
      </c>
      <c r="Q192" s="11">
        <f>IF(P192=Sheet1!$M192, 1, 0)</f>
        <v>1</v>
      </c>
    </row>
    <row r="193" spans="1:17" x14ac:dyDescent="0.35">
      <c r="A193" s="6" t="s">
        <v>211</v>
      </c>
      <c r="B193" s="6" t="s">
        <v>216</v>
      </c>
      <c r="C193" s="6">
        <v>0.74574112730867692</v>
      </c>
      <c r="D193" s="6">
        <v>-0.54418429813435942</v>
      </c>
      <c r="E193" s="6">
        <v>-0.47772630362161389</v>
      </c>
      <c r="F193" s="6">
        <v>1.898553045611226E-2</v>
      </c>
      <c r="G193" s="6">
        <v>1.1303912870097668</v>
      </c>
      <c r="H193" s="6">
        <v>0.63492944845366162</v>
      </c>
      <c r="I193" s="6">
        <v>7.7990298721329954E-2</v>
      </c>
      <c r="J193" s="6">
        <v>0.36839681570111432</v>
      </c>
      <c r="K193" s="6">
        <v>-0.26673039978619384</v>
      </c>
      <c r="L193" s="6">
        <v>-3.5751762325336653E-2</v>
      </c>
      <c r="N193" s="8">
        <f>SQRT((C193-Sheet4!$C$525)^2+(D193-Sheet4!$D$525)^2+(E193-Sheet4!$E$525)^2+(F193-Sheet4!$F$525)^2+(G193-Sheet4!$G$525)^2+(H193-Sheet4!$H$525)^2+(I193-Sheet4!$I$525)^2+(J193-Sheet4!$J$525)^2+(K193-Sheet4!$K$525)^2+(L193-Sheet4!$L$525)^2)</f>
        <v>2.0643143397569843</v>
      </c>
      <c r="O193" s="8">
        <f>SQRT((C193-Sheet4!$C$526)^2+(D193-Sheet4!$D$526)^2+(E193-Sheet4!$E$526)^2+(F193-Sheet4!$F$526)^2+(G193-Sheet4!$G$526)^2+(H193-Sheet4!$H$526)^2+(I193-Sheet4!$I$526)^2+(J193-Sheet4!$J$526)^2+(K193-Sheet4!$K$526)^2+(L193-Sheet4!$L$526)^2)</f>
        <v>3.0990420114631227</v>
      </c>
      <c r="P193" s="12">
        <f t="shared" si="2"/>
        <v>0</v>
      </c>
      <c r="Q193" s="11">
        <f>IF(P193=Sheet1!$M193, 1, 0)</f>
        <v>1</v>
      </c>
    </row>
    <row r="194" spans="1:17" x14ac:dyDescent="0.35">
      <c r="A194" s="6" t="s">
        <v>211</v>
      </c>
      <c r="B194" s="6" t="s">
        <v>217</v>
      </c>
      <c r="C194" s="6">
        <v>1.7023311054654374E-2</v>
      </c>
      <c r="D194" s="6">
        <v>-0.13909108015160596</v>
      </c>
      <c r="E194" s="6">
        <v>-1.834147802484256E-2</v>
      </c>
      <c r="F194" s="6">
        <v>0.47039993805805375</v>
      </c>
      <c r="G194" s="6">
        <v>1.5136544324849495</v>
      </c>
      <c r="H194" s="6">
        <v>0.14046306735251163</v>
      </c>
      <c r="I194" s="6">
        <v>5.4402952563729332E-2</v>
      </c>
      <c r="J194" s="6">
        <v>-0.55780908274269381</v>
      </c>
      <c r="K194" s="6">
        <v>0.59865994020199431</v>
      </c>
      <c r="L194" s="6">
        <v>-0.17513204388684872</v>
      </c>
      <c r="N194" s="8">
        <f>SQRT((C194-Sheet4!$C$525)^2+(D194-Sheet4!$D$525)^2+(E194-Sheet4!$E$525)^2+(F194-Sheet4!$F$525)^2+(G194-Sheet4!$G$525)^2+(H194-Sheet4!$H$525)^2+(I194-Sheet4!$I$525)^2+(J194-Sheet4!$J$525)^2+(K194-Sheet4!$K$525)^2+(L194-Sheet4!$L$525)^2)</f>
        <v>2.1841953261541502</v>
      </c>
      <c r="O194" s="8">
        <f>SQRT((C194-Sheet4!$C$526)^2+(D194-Sheet4!$D$526)^2+(E194-Sheet4!$E$526)^2+(F194-Sheet4!$F$526)^2+(G194-Sheet4!$G$526)^2+(H194-Sheet4!$H$526)^2+(I194-Sheet4!$I$526)^2+(J194-Sheet4!$J$526)^2+(K194-Sheet4!$K$526)^2+(L194-Sheet4!$L$526)^2)</f>
        <v>3.0404114347810656</v>
      </c>
      <c r="P194" s="12">
        <f t="shared" si="2"/>
        <v>0</v>
      </c>
      <c r="Q194" s="11">
        <f>IF(P194=Sheet1!$M194, 1, 0)</f>
        <v>1</v>
      </c>
    </row>
    <row r="195" spans="1:17" x14ac:dyDescent="0.35">
      <c r="A195" s="6" t="s">
        <v>211</v>
      </c>
      <c r="B195" s="6" t="s">
        <v>218</v>
      </c>
      <c r="C195" s="6">
        <v>0.72426877913176324</v>
      </c>
      <c r="D195" s="6">
        <v>-0.99224194832740387</v>
      </c>
      <c r="E195" s="6">
        <v>0.1603286425961952</v>
      </c>
      <c r="F195" s="6">
        <v>-0.23060195770605127</v>
      </c>
      <c r="G195" s="6">
        <v>0.66292638987716024</v>
      </c>
      <c r="H195" s="6">
        <v>-1.2890726357438425</v>
      </c>
      <c r="I195" s="6">
        <v>0.66958644018763047</v>
      </c>
      <c r="J195" s="6">
        <v>7.6110528077453443E-2</v>
      </c>
      <c r="K195" s="6">
        <v>0.20430484856180578</v>
      </c>
      <c r="L195" s="6">
        <v>-0.16505627805757092</v>
      </c>
      <c r="N195" s="8">
        <f>SQRT((C195-Sheet4!$C$525)^2+(D195-Sheet4!$D$525)^2+(E195-Sheet4!$E$525)^2+(F195-Sheet4!$F$525)^2+(G195-Sheet4!$G$525)^2+(H195-Sheet4!$H$525)^2+(I195-Sheet4!$I$525)^2+(J195-Sheet4!$J$525)^2+(K195-Sheet4!$K$525)^2+(L195-Sheet4!$L$525)^2)</f>
        <v>2.0216419407762314</v>
      </c>
      <c r="O195" s="8">
        <f>SQRT((C195-Sheet4!$C$526)^2+(D195-Sheet4!$D$526)^2+(E195-Sheet4!$E$526)^2+(F195-Sheet4!$F$526)^2+(G195-Sheet4!$G$526)^2+(H195-Sheet4!$H$526)^2+(I195-Sheet4!$I$526)^2+(J195-Sheet4!$J$526)^2+(K195-Sheet4!$K$526)^2+(L195-Sheet4!$L$526)^2)</f>
        <v>3.8420270736627318</v>
      </c>
      <c r="P195" s="12">
        <f t="shared" ref="P195:P258" si="3">IF(N195&lt;=O195, 0, 1)</f>
        <v>0</v>
      </c>
      <c r="Q195" s="11">
        <f>IF(P195=Sheet1!$M195, 1, 0)</f>
        <v>1</v>
      </c>
    </row>
    <row r="196" spans="1:17" x14ac:dyDescent="0.35">
      <c r="A196" s="6" t="s">
        <v>211</v>
      </c>
      <c r="B196" s="6" t="s">
        <v>219</v>
      </c>
      <c r="C196" s="6">
        <v>-4.8735755237145136E-2</v>
      </c>
      <c r="D196" s="6">
        <v>-0.39687767341335822</v>
      </c>
      <c r="E196" s="6">
        <v>-0.32594879909405189</v>
      </c>
      <c r="F196" s="6">
        <v>2.9770175006330404E-2</v>
      </c>
      <c r="G196" s="6">
        <v>1.2262070733785613</v>
      </c>
      <c r="H196" s="6">
        <v>6.4515616660505065E-2</v>
      </c>
      <c r="I196" s="6">
        <v>0.5739620638730345</v>
      </c>
      <c r="J196" s="6">
        <v>-1.1195765628315158E-2</v>
      </c>
      <c r="K196" s="6">
        <v>0.98832032837027339</v>
      </c>
      <c r="L196" s="6">
        <v>3.547212502855171E-2</v>
      </c>
      <c r="N196" s="8">
        <f>SQRT((C196-Sheet4!$C$525)^2+(D196-Sheet4!$D$525)^2+(E196-Sheet4!$E$525)^2+(F196-Sheet4!$F$525)^2+(G196-Sheet4!$G$525)^2+(H196-Sheet4!$H$525)^2+(I196-Sheet4!$I$525)^2+(J196-Sheet4!$J$525)^2+(K196-Sheet4!$K$525)^2+(L196-Sheet4!$L$525)^2)</f>
        <v>2.058432137750652</v>
      </c>
      <c r="O196" s="8">
        <f>SQRT((C196-Sheet4!$C$526)^2+(D196-Sheet4!$D$526)^2+(E196-Sheet4!$E$526)^2+(F196-Sheet4!$F$526)^2+(G196-Sheet4!$G$526)^2+(H196-Sheet4!$H$526)^2+(I196-Sheet4!$I$526)^2+(J196-Sheet4!$J$526)^2+(K196-Sheet4!$K$526)^2+(L196-Sheet4!$L$526)^2)</f>
        <v>3.1738711163969682</v>
      </c>
      <c r="P196" s="12">
        <f t="shared" si="3"/>
        <v>0</v>
      </c>
      <c r="Q196" s="11">
        <f>IF(P196=Sheet1!$M196, 1, 0)</f>
        <v>1</v>
      </c>
    </row>
    <row r="197" spans="1:17" x14ac:dyDescent="0.35">
      <c r="A197" s="6" t="s">
        <v>211</v>
      </c>
      <c r="B197" s="6" t="s">
        <v>220</v>
      </c>
      <c r="C197" s="6">
        <v>-0.22185656241351531</v>
      </c>
      <c r="D197" s="6">
        <v>-0.36005101723310823</v>
      </c>
      <c r="E197" s="6">
        <v>0.99694687750418853</v>
      </c>
      <c r="F197" s="6">
        <v>0.68917415607674193</v>
      </c>
      <c r="G197" s="6">
        <v>1.8504614391146526</v>
      </c>
      <c r="H197" s="6">
        <v>0.56652287939064871</v>
      </c>
      <c r="I197" s="6">
        <v>0.52806236324202849</v>
      </c>
      <c r="J197" s="6">
        <v>1.1579789251450461E-2</v>
      </c>
      <c r="K197" s="6">
        <v>0.98988522952757652</v>
      </c>
      <c r="L197" s="6">
        <v>3.0993340563292428E-2</v>
      </c>
      <c r="N197" s="8">
        <f>SQRT((C197-Sheet4!$C$525)^2+(D197-Sheet4!$D$525)^2+(E197-Sheet4!$E$525)^2+(F197-Sheet4!$F$525)^2+(G197-Sheet4!$G$525)^2+(H197-Sheet4!$H$525)^2+(I197-Sheet4!$I$525)^2+(J197-Sheet4!$J$525)^2+(K197-Sheet4!$K$525)^2+(L197-Sheet4!$L$525)^2)</f>
        <v>3.1813112269959798</v>
      </c>
      <c r="O197" s="8">
        <f>SQRT((C197-Sheet4!$C$526)^2+(D197-Sheet4!$D$526)^2+(E197-Sheet4!$E$526)^2+(F197-Sheet4!$F$526)^2+(G197-Sheet4!$G$526)^2+(H197-Sheet4!$H$526)^2+(I197-Sheet4!$I$526)^2+(J197-Sheet4!$J$526)^2+(K197-Sheet4!$K$526)^2+(L197-Sheet4!$L$526)^2)</f>
        <v>2.6859443473556204</v>
      </c>
      <c r="P197" s="12">
        <f t="shared" si="3"/>
        <v>1</v>
      </c>
      <c r="Q197" s="11">
        <f>IF(P197=Sheet1!$M197, 1, 0)</f>
        <v>0</v>
      </c>
    </row>
    <row r="198" spans="1:17" x14ac:dyDescent="0.35">
      <c r="A198" s="6" t="s">
        <v>211</v>
      </c>
      <c r="B198" s="6" t="s">
        <v>221</v>
      </c>
      <c r="C198" s="6">
        <v>0.16330368300988177</v>
      </c>
      <c r="D198" s="6">
        <v>0.22917548165089638</v>
      </c>
      <c r="E198" s="6">
        <v>0.6233973882057714</v>
      </c>
      <c r="F198" s="6">
        <v>0.9541682793106453</v>
      </c>
      <c r="G198" s="6">
        <v>2.0914526593755611</v>
      </c>
      <c r="H198" s="6">
        <v>0.97857819697494097</v>
      </c>
      <c r="I198" s="6">
        <v>0.80983552544903814</v>
      </c>
      <c r="J198" s="6">
        <v>0.15962089596992818</v>
      </c>
      <c r="K198" s="6">
        <v>-0.40287680047149721</v>
      </c>
      <c r="L198" s="6">
        <v>0.13721824305211014</v>
      </c>
      <c r="N198" s="8">
        <f>SQRT((C198-Sheet4!$C$525)^2+(D198-Sheet4!$D$525)^2+(E198-Sheet4!$E$525)^2+(F198-Sheet4!$F$525)^2+(G198-Sheet4!$G$525)^2+(H198-Sheet4!$H$525)^2+(I198-Sheet4!$I$525)^2+(J198-Sheet4!$J$525)^2+(K198-Sheet4!$K$525)^2+(L198-Sheet4!$L$525)^2)</f>
        <v>3.5274429882139535</v>
      </c>
      <c r="O198" s="8">
        <f>SQRT((C198-Sheet4!$C$526)^2+(D198-Sheet4!$D$526)^2+(E198-Sheet4!$E$526)^2+(F198-Sheet4!$F$526)^2+(G198-Sheet4!$G$526)^2+(H198-Sheet4!$H$526)^2+(I198-Sheet4!$I$526)^2+(J198-Sheet4!$J$526)^2+(K198-Sheet4!$K$526)^2+(L198-Sheet4!$L$526)^2)</f>
        <v>2.0582714793152634</v>
      </c>
      <c r="P198" s="12">
        <f t="shared" si="3"/>
        <v>1</v>
      </c>
      <c r="Q198" s="11">
        <f>IF(P198=Sheet1!$M198, 1, 0)</f>
        <v>0</v>
      </c>
    </row>
    <row r="199" spans="1:17" x14ac:dyDescent="0.35">
      <c r="A199" s="6" t="s">
        <v>211</v>
      </c>
      <c r="B199" s="6" t="s">
        <v>222</v>
      </c>
      <c r="C199" s="6">
        <v>-0.54259976330616977</v>
      </c>
      <c r="D199" s="6">
        <v>0.56061538727314819</v>
      </c>
      <c r="E199" s="6">
        <v>0.40641449945156266</v>
      </c>
      <c r="F199" s="6">
        <v>1.1097752935352037</v>
      </c>
      <c r="G199" s="6">
        <v>2.3440579143478404</v>
      </c>
      <c r="H199" s="6">
        <v>0.91932841274713384</v>
      </c>
      <c r="I199" s="6">
        <v>0.82067295476469238</v>
      </c>
      <c r="J199" s="6">
        <v>-0.6602990797016397</v>
      </c>
      <c r="K199" s="6">
        <v>-0.10711048174135691</v>
      </c>
      <c r="L199" s="6">
        <v>0.1184755997854566</v>
      </c>
      <c r="N199" s="8">
        <f>SQRT((C199-Sheet4!$C$525)^2+(D199-Sheet4!$D$525)^2+(E199-Sheet4!$E$525)^2+(F199-Sheet4!$F$525)^2+(G199-Sheet4!$G$525)^2+(H199-Sheet4!$H$525)^2+(I199-Sheet4!$I$525)^2+(J199-Sheet4!$J$525)^2+(K199-Sheet4!$K$525)^2+(L199-Sheet4!$L$525)^2)</f>
        <v>3.7759074018382024</v>
      </c>
      <c r="O199" s="8">
        <f>SQRT((C199-Sheet4!$C$526)^2+(D199-Sheet4!$D$526)^2+(E199-Sheet4!$E$526)^2+(F199-Sheet4!$F$526)^2+(G199-Sheet4!$G$526)^2+(H199-Sheet4!$H$526)^2+(I199-Sheet4!$I$526)^2+(J199-Sheet4!$J$526)^2+(K199-Sheet4!$K$526)^2+(L199-Sheet4!$L$526)^2)</f>
        <v>2.5304416513560026</v>
      </c>
      <c r="P199" s="12">
        <f t="shared" si="3"/>
        <v>1</v>
      </c>
      <c r="Q199" s="11">
        <f>IF(P199=Sheet1!$M199, 1, 0)</f>
        <v>0</v>
      </c>
    </row>
    <row r="200" spans="1:17" x14ac:dyDescent="0.35">
      <c r="A200" s="6" t="s">
        <v>211</v>
      </c>
      <c r="B200" s="6" t="s">
        <v>223</v>
      </c>
      <c r="C200" s="6">
        <v>-9.7048538635201825E-2</v>
      </c>
      <c r="D200" s="6">
        <v>-0.67307759476523532</v>
      </c>
      <c r="E200" s="6">
        <v>-0.33000111110813729</v>
      </c>
      <c r="F200" s="6">
        <v>8.6774724771761666E-2</v>
      </c>
      <c r="G200" s="6">
        <v>1.9230491560607095</v>
      </c>
      <c r="H200" s="6">
        <v>0.84930594047790786</v>
      </c>
      <c r="I200" s="6">
        <v>0.87231011797457347</v>
      </c>
      <c r="J200" s="6">
        <v>-0.99813647708483189</v>
      </c>
      <c r="K200" s="6">
        <v>0.5673619170559473</v>
      </c>
      <c r="L200" s="6">
        <v>-1.4899683391723529E-2</v>
      </c>
      <c r="N200" s="8">
        <f>SQRT((C200-Sheet4!$C$525)^2+(D200-Sheet4!$D$525)^2+(E200-Sheet4!$E$525)^2+(F200-Sheet4!$F$525)^2+(G200-Sheet4!$G$525)^2+(H200-Sheet4!$H$525)^2+(I200-Sheet4!$I$525)^2+(J200-Sheet4!$J$525)^2+(K200-Sheet4!$K$525)^2+(L200-Sheet4!$L$525)^2)</f>
        <v>2.9083748049696392</v>
      </c>
      <c r="O200" s="8">
        <f>SQRT((C200-Sheet4!$C$526)^2+(D200-Sheet4!$D$526)^2+(E200-Sheet4!$E$526)^2+(F200-Sheet4!$F$526)^2+(G200-Sheet4!$G$526)^2+(H200-Sheet4!$H$526)^2+(I200-Sheet4!$I$526)^2+(J200-Sheet4!$J$526)^2+(K200-Sheet4!$K$526)^2+(L200-Sheet4!$L$526)^2)</f>
        <v>3.6660618772162969</v>
      </c>
      <c r="P200" s="12">
        <f t="shared" si="3"/>
        <v>0</v>
      </c>
      <c r="Q200" s="11">
        <f>IF(P200=Sheet1!$M200, 1, 0)</f>
        <v>1</v>
      </c>
    </row>
    <row r="201" spans="1:17" x14ac:dyDescent="0.35">
      <c r="A201" s="6" t="s">
        <v>211</v>
      </c>
      <c r="B201" s="6" t="s">
        <v>224</v>
      </c>
      <c r="C201" s="6">
        <v>-0.21380443184717246</v>
      </c>
      <c r="D201" s="6">
        <v>8.186885692989522E-2</v>
      </c>
      <c r="E201" s="6">
        <v>0.43625425155528241</v>
      </c>
      <c r="F201" s="6">
        <v>0.93413965371738372</v>
      </c>
      <c r="G201" s="6">
        <v>2.2917947581466773</v>
      </c>
      <c r="H201" s="6">
        <v>0.97911683137701144</v>
      </c>
      <c r="I201" s="6">
        <v>0.86147268865892002</v>
      </c>
      <c r="J201" s="6">
        <v>0.31525385431499398</v>
      </c>
      <c r="K201" s="6">
        <v>0.57675132399976159</v>
      </c>
      <c r="L201" s="6">
        <v>0.10593837991767109</v>
      </c>
      <c r="N201" s="8">
        <f>SQRT((C201-Sheet4!$C$525)^2+(D201-Sheet4!$D$525)^2+(E201-Sheet4!$E$525)^2+(F201-Sheet4!$F$525)^2+(G201-Sheet4!$G$525)^2+(H201-Sheet4!$H$525)^2+(I201-Sheet4!$I$525)^2+(J201-Sheet4!$J$525)^2+(K201-Sheet4!$K$525)^2+(L201-Sheet4!$L$525)^2)</f>
        <v>3.6241608739837403</v>
      </c>
      <c r="O201" s="8">
        <f>SQRT((C201-Sheet4!$C$526)^2+(D201-Sheet4!$D$526)^2+(E201-Sheet4!$E$526)^2+(F201-Sheet4!$F$526)^2+(G201-Sheet4!$G$526)^2+(H201-Sheet4!$H$526)^2+(I201-Sheet4!$I$526)^2+(J201-Sheet4!$J$526)^2+(K201-Sheet4!$K$526)^2+(L201-Sheet4!$L$526)^2)</f>
        <v>2.4215194611074953</v>
      </c>
      <c r="P201" s="12">
        <f t="shared" si="3"/>
        <v>1</v>
      </c>
      <c r="Q201" s="11">
        <f>IF(P201=Sheet1!$M201, 1, 0)</f>
        <v>0</v>
      </c>
    </row>
    <row r="202" spans="1:17" x14ac:dyDescent="0.35">
      <c r="A202" s="6" t="s">
        <v>211</v>
      </c>
      <c r="B202" s="6" t="s">
        <v>225</v>
      </c>
      <c r="C202" s="6">
        <v>0.20893242288582425</v>
      </c>
      <c r="D202" s="6">
        <v>-0.47666876180390039</v>
      </c>
      <c r="E202" s="6">
        <v>0.86727289305345601</v>
      </c>
      <c r="F202" s="6">
        <v>0.63987292384717731</v>
      </c>
      <c r="G202" s="6">
        <v>1.7807772308464394</v>
      </c>
      <c r="H202" s="6">
        <v>0.68340654464004924</v>
      </c>
      <c r="I202" s="6">
        <v>0.84107282171180575</v>
      </c>
      <c r="J202" s="6">
        <v>-0.11368576258726129</v>
      </c>
      <c r="K202" s="6">
        <v>0.35610026082013152</v>
      </c>
      <c r="L202" s="6">
        <v>0.11264647476928044</v>
      </c>
      <c r="N202" s="8">
        <f>SQRT((C202-Sheet4!$C$525)^2+(D202-Sheet4!$D$525)^2+(E202-Sheet4!$E$525)^2+(F202-Sheet4!$F$525)^2+(G202-Sheet4!$G$525)^2+(H202-Sheet4!$H$525)^2+(I202-Sheet4!$I$525)^2+(J202-Sheet4!$J$525)^2+(K202-Sheet4!$K$525)^2+(L202-Sheet4!$L$525)^2)</f>
        <v>3.0568546583799043</v>
      </c>
      <c r="O202" s="8">
        <f>SQRT((C202-Sheet4!$C$526)^2+(D202-Sheet4!$D$526)^2+(E202-Sheet4!$E$526)^2+(F202-Sheet4!$F$526)^2+(G202-Sheet4!$G$526)^2+(H202-Sheet4!$H$526)^2+(I202-Sheet4!$I$526)^2+(J202-Sheet4!$J$526)^2+(K202-Sheet4!$K$526)^2+(L202-Sheet4!$L$526)^2)</f>
        <v>2.5773470002040164</v>
      </c>
      <c r="P202" s="12">
        <f t="shared" si="3"/>
        <v>1</v>
      </c>
      <c r="Q202" s="11">
        <f>IF(P202=Sheet1!$M202, 1, 0)</f>
        <v>0</v>
      </c>
    </row>
    <row r="203" spans="1:17" x14ac:dyDescent="0.35">
      <c r="A203" s="6" t="s">
        <v>211</v>
      </c>
      <c r="B203" s="6" t="s">
        <v>226</v>
      </c>
      <c r="C203" s="6">
        <v>6.265205093059685E-2</v>
      </c>
      <c r="D203" s="6">
        <v>-0.81424644345619435</v>
      </c>
      <c r="E203" s="6">
        <v>-1.1342030000513243E-2</v>
      </c>
      <c r="F203" s="6">
        <v>7.4449416714371067E-2</v>
      </c>
      <c r="G203" s="6">
        <v>1.5049439064514223</v>
      </c>
      <c r="H203" s="6">
        <v>0.65539755573235903</v>
      </c>
      <c r="I203" s="6">
        <v>-0.57353045190211727</v>
      </c>
      <c r="J203" s="6">
        <v>-0.25793094349244444</v>
      </c>
      <c r="K203" s="6">
        <v>0.53449899275259716</v>
      </c>
      <c r="L203" s="6">
        <v>-3.8625349702742368E-2</v>
      </c>
      <c r="N203" s="8">
        <f>SQRT((C203-Sheet4!$C$525)^2+(D203-Sheet4!$D$525)^2+(E203-Sheet4!$E$525)^2+(F203-Sheet4!$F$525)^2+(G203-Sheet4!$G$525)^2+(H203-Sheet4!$H$525)^2+(I203-Sheet4!$I$525)^2+(J203-Sheet4!$J$525)^2+(K203-Sheet4!$K$525)^2+(L203-Sheet4!$L$525)^2)</f>
        <v>2.2303796106291287</v>
      </c>
      <c r="O203" s="8">
        <f>SQRT((C203-Sheet4!$C$526)^2+(D203-Sheet4!$D$526)^2+(E203-Sheet4!$E$526)^2+(F203-Sheet4!$F$526)^2+(G203-Sheet4!$G$526)^2+(H203-Sheet4!$H$526)^2+(I203-Sheet4!$I$526)^2+(J203-Sheet4!$J$526)^2+(K203-Sheet4!$K$526)^2+(L203-Sheet4!$L$526)^2)</f>
        <v>3.417536771566493</v>
      </c>
      <c r="P203" s="12">
        <f t="shared" si="3"/>
        <v>0</v>
      </c>
      <c r="Q203" s="11">
        <f>IF(P203=Sheet1!$M203, 1, 0)</f>
        <v>1</v>
      </c>
    </row>
    <row r="204" spans="1:17" x14ac:dyDescent="0.35">
      <c r="A204" s="6" t="s">
        <v>211</v>
      </c>
      <c r="B204" s="6" t="s">
        <v>227</v>
      </c>
      <c r="C204" s="6">
        <v>1.5681289293597273E-2</v>
      </c>
      <c r="D204" s="6">
        <v>-0.88789975581669489</v>
      </c>
      <c r="E204" s="6">
        <v>-0.24158703080081964</v>
      </c>
      <c r="F204" s="6">
        <v>-8.5779588031708959E-2</v>
      </c>
      <c r="G204" s="6">
        <v>1.4091281200826276</v>
      </c>
      <c r="H204" s="6">
        <v>0.7168018775684496</v>
      </c>
      <c r="I204" s="6">
        <v>0.61858677281984609</v>
      </c>
      <c r="J204" s="6">
        <v>-0.47429871485021918</v>
      </c>
      <c r="K204" s="6">
        <v>0.16831212194385381</v>
      </c>
      <c r="L204" s="6">
        <v>-8.0187358761181202E-2</v>
      </c>
      <c r="N204" s="8">
        <f>SQRT((C204-Sheet4!$C$525)^2+(D204-Sheet4!$D$525)^2+(E204-Sheet4!$E$525)^2+(F204-Sheet4!$F$525)^2+(G204-Sheet4!$G$525)^2+(H204-Sheet4!$H$525)^2+(I204-Sheet4!$I$525)^2+(J204-Sheet4!$J$525)^2+(K204-Sheet4!$K$525)^2+(L204-Sheet4!$L$525)^2)</f>
        <v>2.2620352725388404</v>
      </c>
      <c r="O204" s="8">
        <f>SQRT((C204-Sheet4!$C$526)^2+(D204-Sheet4!$D$526)^2+(E204-Sheet4!$E$526)^2+(F204-Sheet4!$F$526)^2+(G204-Sheet4!$G$526)^2+(H204-Sheet4!$H$526)^2+(I204-Sheet4!$I$526)^2+(J204-Sheet4!$J$526)^2+(K204-Sheet4!$K$526)^2+(L204-Sheet4!$L$526)^2)</f>
        <v>3.3289821856783943</v>
      </c>
      <c r="P204" s="12">
        <f t="shared" si="3"/>
        <v>0</v>
      </c>
      <c r="Q204" s="11">
        <f>IF(P204=Sheet1!$M204, 1, 0)</f>
        <v>1</v>
      </c>
    </row>
    <row r="205" spans="1:17" x14ac:dyDescent="0.35">
      <c r="A205" s="6" t="s">
        <v>211</v>
      </c>
      <c r="B205" s="6" t="s">
        <v>228</v>
      </c>
      <c r="C205" s="6">
        <v>0.47331070981407941</v>
      </c>
      <c r="D205" s="6">
        <v>-0.69762869888540213</v>
      </c>
      <c r="E205" s="6">
        <v>7.1546170287597063E-2</v>
      </c>
      <c r="F205" s="6">
        <v>7.7530743728720361E-2</v>
      </c>
      <c r="G205" s="6">
        <v>1.4381632068610488</v>
      </c>
      <c r="H205" s="6">
        <v>0.68609971665040392</v>
      </c>
      <c r="I205" s="6">
        <v>0.65173655660890584</v>
      </c>
      <c r="J205" s="6">
        <v>-0.52744167623633942</v>
      </c>
      <c r="K205" s="6">
        <v>0.18865583698878338</v>
      </c>
      <c r="L205" s="6">
        <v>-0.16796588844634655</v>
      </c>
      <c r="N205" s="8">
        <f>SQRT((C205-Sheet4!$C$525)^2+(D205-Sheet4!$D$525)^2+(E205-Sheet4!$E$525)^2+(F205-Sheet4!$F$525)^2+(G205-Sheet4!$G$525)^2+(H205-Sheet4!$H$525)^2+(I205-Sheet4!$I$525)^2+(J205-Sheet4!$J$525)^2+(K205-Sheet4!$K$525)^2+(L205-Sheet4!$L$525)^2)</f>
        <v>2.3208990738283255</v>
      </c>
      <c r="O205" s="8">
        <f>SQRT((C205-Sheet4!$C$526)^2+(D205-Sheet4!$D$526)^2+(E205-Sheet4!$E$526)^2+(F205-Sheet4!$F$526)^2+(G205-Sheet4!$G$526)^2+(H205-Sheet4!$H$526)^2+(I205-Sheet4!$I$526)^2+(J205-Sheet4!$J$526)^2+(K205-Sheet4!$K$526)^2+(L205-Sheet4!$L$526)^2)</f>
        <v>3.2328554749630611</v>
      </c>
      <c r="P205" s="12">
        <f t="shared" si="3"/>
        <v>0</v>
      </c>
      <c r="Q205" s="11">
        <f>IF(P205=Sheet1!$M205, 1, 0)</f>
        <v>1</v>
      </c>
    </row>
    <row r="206" spans="1:17" x14ac:dyDescent="0.35">
      <c r="A206" s="6" t="s">
        <v>211</v>
      </c>
      <c r="B206" s="6" t="s">
        <v>229</v>
      </c>
      <c r="C206" s="6">
        <v>-0.27687945461685753</v>
      </c>
      <c r="D206" s="6">
        <v>-0.58714873034465098</v>
      </c>
      <c r="E206" s="6">
        <v>6.6757074270950678E-2</v>
      </c>
      <c r="F206" s="6">
        <v>0.36255349255588326</v>
      </c>
      <c r="G206" s="6">
        <v>1.9201456473828658</v>
      </c>
      <c r="H206" s="6">
        <v>0.779283468208682</v>
      </c>
      <c r="I206" s="6">
        <v>0.92968474376333143</v>
      </c>
      <c r="J206" s="6">
        <v>-0.17442057559997007</v>
      </c>
      <c r="K206" s="6">
        <v>-7.4247557438008982E-2</v>
      </c>
      <c r="L206" s="6">
        <v>0.20048773129907019</v>
      </c>
      <c r="N206" s="8">
        <f>SQRT((C206-Sheet4!$C$525)^2+(D206-Sheet4!$D$525)^2+(E206-Sheet4!$E$525)^2+(F206-Sheet4!$F$525)^2+(G206-Sheet4!$G$525)^2+(H206-Sheet4!$H$525)^2+(I206-Sheet4!$I$525)^2+(J206-Sheet4!$J$525)^2+(K206-Sheet4!$K$525)^2+(L206-Sheet4!$L$525)^2)</f>
        <v>2.973656059347368</v>
      </c>
      <c r="O206" s="8">
        <f>SQRT((C206-Sheet4!$C$526)^2+(D206-Sheet4!$D$526)^2+(E206-Sheet4!$E$526)^2+(F206-Sheet4!$F$526)^2+(G206-Sheet4!$G$526)^2+(H206-Sheet4!$H$526)^2+(I206-Sheet4!$I$526)^2+(J206-Sheet4!$J$526)^2+(K206-Sheet4!$K$526)^2+(L206-Sheet4!$L$526)^2)</f>
        <v>2.7411223456950773</v>
      </c>
      <c r="P206" s="12">
        <f t="shared" si="3"/>
        <v>1</v>
      </c>
      <c r="Q206" s="11">
        <f>IF(P206=Sheet1!$M206, 1, 0)</f>
        <v>0</v>
      </c>
    </row>
    <row r="207" spans="1:17" x14ac:dyDescent="0.35">
      <c r="A207" s="6" t="s">
        <v>211</v>
      </c>
      <c r="B207" s="6" t="s">
        <v>230</v>
      </c>
      <c r="C207" s="6">
        <v>-0.62714713425276924</v>
      </c>
      <c r="D207" s="6">
        <v>0.19848660150068739</v>
      </c>
      <c r="E207" s="6">
        <v>0.3489453472518062</v>
      </c>
      <c r="F207" s="6">
        <v>0.80626458262195366</v>
      </c>
      <c r="G207" s="6">
        <v>2.0391895031744021</v>
      </c>
      <c r="H207" s="6">
        <v>0.89401259584979831</v>
      </c>
      <c r="I207" s="6">
        <v>0.87741008471135273</v>
      </c>
      <c r="J207" s="6">
        <v>-0.48948241810339638</v>
      </c>
      <c r="K207" s="6">
        <v>0.83026531148273741</v>
      </c>
      <c r="L207" s="6">
        <v>0.9944534775631555</v>
      </c>
      <c r="N207" s="8">
        <f>SQRT((C207-Sheet4!$C$525)^2+(D207-Sheet4!$D$525)^2+(E207-Sheet4!$E$525)^2+(F207-Sheet4!$F$525)^2+(G207-Sheet4!$G$525)^2+(H207-Sheet4!$H$525)^2+(I207-Sheet4!$I$525)^2+(J207-Sheet4!$J$525)^2+(K207-Sheet4!$K$525)^2+(L207-Sheet4!$L$525)^2)</f>
        <v>3.6166389641530183</v>
      </c>
      <c r="O207" s="8">
        <f>SQRT((C207-Sheet4!$C$526)^2+(D207-Sheet4!$D$526)^2+(E207-Sheet4!$E$526)^2+(F207-Sheet4!$F$526)^2+(G207-Sheet4!$G$526)^2+(H207-Sheet4!$H$526)^2+(I207-Sheet4!$I$526)^2+(J207-Sheet4!$J$526)^2+(K207-Sheet4!$K$526)^2+(L207-Sheet4!$L$526)^2)</f>
        <v>2.7005333899587667</v>
      </c>
      <c r="P207" s="12">
        <f t="shared" si="3"/>
        <v>1</v>
      </c>
      <c r="Q207" s="11">
        <f>IF(P207=Sheet1!$M207, 1, 0)</f>
        <v>0</v>
      </c>
    </row>
    <row r="208" spans="1:17" x14ac:dyDescent="0.35">
      <c r="A208" s="6" t="s">
        <v>211</v>
      </c>
      <c r="B208" s="6" t="s">
        <v>231</v>
      </c>
      <c r="C208" s="6">
        <v>-0.64861948242968326</v>
      </c>
      <c r="D208" s="6">
        <v>-0.39687767341335822</v>
      </c>
      <c r="E208" s="6">
        <v>7.7808834309365388E-2</v>
      </c>
      <c r="F208" s="6">
        <v>0.37487880061327383</v>
      </c>
      <c r="G208" s="6">
        <v>1.8156193349805438</v>
      </c>
      <c r="H208" s="6">
        <v>-0.57161161218531054</v>
      </c>
      <c r="I208" s="6">
        <v>-0.23310767222215534</v>
      </c>
      <c r="J208" s="6">
        <v>-0.3148698306918587</v>
      </c>
      <c r="K208" s="6">
        <v>1.3386907370921807E-2</v>
      </c>
      <c r="L208" s="6">
        <v>-4.1467171774273631E-4</v>
      </c>
      <c r="N208" s="8">
        <f>SQRT((C208-Sheet4!$C$525)^2+(D208-Sheet4!$D$525)^2+(E208-Sheet4!$E$525)^2+(F208-Sheet4!$F$525)^2+(G208-Sheet4!$G$525)^2+(H208-Sheet4!$H$525)^2+(I208-Sheet4!$I$525)^2+(J208-Sheet4!$J$525)^2+(K208-Sheet4!$K$525)^2+(L208-Sheet4!$L$525)^2)</f>
        <v>2.5192139080318237</v>
      </c>
      <c r="O208" s="8">
        <f>SQRT((C208-Sheet4!$C$526)^2+(D208-Sheet4!$D$526)^2+(E208-Sheet4!$E$526)^2+(F208-Sheet4!$F$526)^2+(G208-Sheet4!$G$526)^2+(H208-Sheet4!$H$526)^2+(I208-Sheet4!$I$526)^2+(J208-Sheet4!$J$526)^2+(K208-Sheet4!$K$526)^2+(L208-Sheet4!$L$526)^2)</f>
        <v>3.0943623666771782</v>
      </c>
      <c r="P208" s="12">
        <f t="shared" si="3"/>
        <v>0</v>
      </c>
      <c r="Q208" s="11">
        <f>IF(P208=Sheet1!$M208, 1, 0)</f>
        <v>1</v>
      </c>
    </row>
    <row r="209" spans="1:17" x14ac:dyDescent="0.35">
      <c r="A209" s="6" t="s">
        <v>211</v>
      </c>
      <c r="B209" s="6" t="s">
        <v>232</v>
      </c>
      <c r="C209" s="6">
        <v>8.6808442629625199E-2</v>
      </c>
      <c r="D209" s="6">
        <v>-0.35391324120306611</v>
      </c>
      <c r="E209" s="6">
        <v>-2.8288062059415794E-2</v>
      </c>
      <c r="F209" s="6">
        <v>0.40723273426392392</v>
      </c>
      <c r="G209" s="6">
        <v>1.6849614444776406</v>
      </c>
      <c r="H209" s="6">
        <v>0.76366307054862348</v>
      </c>
      <c r="I209" s="6">
        <v>0.73779849529204189</v>
      </c>
      <c r="J209" s="6">
        <v>8.3702379704042207E-2</v>
      </c>
      <c r="K209" s="6">
        <v>-0.50616027685345033</v>
      </c>
      <c r="L209" s="6">
        <v>-6.4934643223660951E-2</v>
      </c>
      <c r="N209" s="8">
        <f>SQRT((C209-Sheet4!$C$525)^2+(D209-Sheet4!$D$525)^2+(E209-Sheet4!$E$525)^2+(F209-Sheet4!$F$525)^2+(G209-Sheet4!$G$525)^2+(H209-Sheet4!$H$525)^2+(I209-Sheet4!$I$525)^2+(J209-Sheet4!$J$525)^2+(K209-Sheet4!$K$525)^2+(L209-Sheet4!$L$525)^2)</f>
        <v>2.7473991473722035</v>
      </c>
      <c r="O209" s="8">
        <f>SQRT((C209-Sheet4!$C$526)^2+(D209-Sheet4!$D$526)^2+(E209-Sheet4!$E$526)^2+(F209-Sheet4!$F$526)^2+(G209-Sheet4!$G$526)^2+(H209-Sheet4!$H$526)^2+(I209-Sheet4!$I$526)^2+(J209-Sheet4!$J$526)^2+(K209-Sheet4!$K$526)^2+(L209-Sheet4!$L$526)^2)</f>
        <v>2.5209189026638312</v>
      </c>
      <c r="P209" s="12">
        <f t="shared" si="3"/>
        <v>1</v>
      </c>
      <c r="Q209" s="11">
        <f>IF(P209=Sheet1!$M209, 1, 0)</f>
        <v>0</v>
      </c>
    </row>
    <row r="210" spans="1:17" x14ac:dyDescent="0.35">
      <c r="A210" s="6" t="s">
        <v>211</v>
      </c>
      <c r="B210" s="6" t="s">
        <v>233</v>
      </c>
      <c r="C210" s="6">
        <v>-0.59762265550951221</v>
      </c>
      <c r="D210" s="6">
        <v>-0.24957104869235763</v>
      </c>
      <c r="E210" s="6">
        <v>0.64292216427363735</v>
      </c>
      <c r="F210" s="6">
        <v>0.66452353996195845</v>
      </c>
      <c r="G210" s="6">
        <v>1.7807772308464394</v>
      </c>
      <c r="H210" s="6">
        <v>0.74373359767199809</v>
      </c>
      <c r="I210" s="6">
        <v>0.83597285497502749</v>
      </c>
      <c r="J210" s="6">
        <v>-1.499169144160971E-2</v>
      </c>
      <c r="K210" s="6">
        <v>0.72541693394348106</v>
      </c>
      <c r="L210" s="6">
        <v>0.29215461492033029</v>
      </c>
      <c r="N210" s="8">
        <f>SQRT((C210-Sheet4!$C$525)^2+(D210-Sheet4!$D$525)^2+(E210-Sheet4!$E$525)^2+(F210-Sheet4!$F$525)^2+(G210-Sheet4!$G$525)^2+(H210-Sheet4!$H$525)^2+(I210-Sheet4!$I$525)^2+(J210-Sheet4!$J$525)^2+(K210-Sheet4!$K$525)^2+(L210-Sheet4!$L$525)^2)</f>
        <v>3.1843095755521071</v>
      </c>
      <c r="O210" s="8">
        <f>SQRT((C210-Sheet4!$C$526)^2+(D210-Sheet4!$D$526)^2+(E210-Sheet4!$E$526)^2+(F210-Sheet4!$F$526)^2+(G210-Sheet4!$G$526)^2+(H210-Sheet4!$H$526)^2+(I210-Sheet4!$I$526)^2+(J210-Sheet4!$J$526)^2+(K210-Sheet4!$K$526)^2+(L210-Sheet4!$L$526)^2)</f>
        <v>2.4214856187201366</v>
      </c>
      <c r="P210" s="12">
        <f t="shared" si="3"/>
        <v>1</v>
      </c>
      <c r="Q210" s="11">
        <f>IF(P210=Sheet1!$M210, 1, 0)</f>
        <v>0</v>
      </c>
    </row>
    <row r="211" spans="1:17" x14ac:dyDescent="0.35">
      <c r="A211" s="6" t="s">
        <v>211</v>
      </c>
      <c r="B211" s="6" t="s">
        <v>234</v>
      </c>
      <c r="C211" s="6">
        <v>-0.28224754166108618</v>
      </c>
      <c r="D211" s="6">
        <v>-0.72831757903561056</v>
      </c>
      <c r="E211" s="6">
        <v>-0.33773734313502757</v>
      </c>
      <c r="F211" s="6">
        <v>-7.2057491658435932E-3</v>
      </c>
      <c r="G211" s="6">
        <v>1.7372246006788037</v>
      </c>
      <c r="H211" s="6">
        <v>-0.49297098948294932</v>
      </c>
      <c r="I211" s="6">
        <v>0.42925050771694617</v>
      </c>
      <c r="J211" s="6">
        <v>-0.92601388663224027</v>
      </c>
      <c r="K211" s="6">
        <v>0.71133282352776184</v>
      </c>
      <c r="L211" s="6">
        <v>-0.13740872130625273</v>
      </c>
      <c r="N211" s="8">
        <f>SQRT((C211-Sheet4!$C$525)^2+(D211-Sheet4!$D$525)^2+(E211-Sheet4!$E$525)^2+(F211-Sheet4!$F$525)^2+(G211-Sheet4!$G$525)^2+(H211-Sheet4!$H$525)^2+(I211-Sheet4!$I$525)^2+(J211-Sheet4!$J$525)^2+(K211-Sheet4!$K$525)^2+(L211-Sheet4!$L$525)^2)</f>
        <v>2.4186370644427897</v>
      </c>
      <c r="O211" s="8">
        <f>SQRT((C211-Sheet4!$C$526)^2+(D211-Sheet4!$D$526)^2+(E211-Sheet4!$E$526)^2+(F211-Sheet4!$F$526)^2+(G211-Sheet4!$G$526)^2+(H211-Sheet4!$H$526)^2+(I211-Sheet4!$I$526)^2+(J211-Sheet4!$J$526)^2+(K211-Sheet4!$K$526)^2+(L211-Sheet4!$L$526)^2)</f>
        <v>3.8632076532639195</v>
      </c>
      <c r="P211" s="12">
        <f t="shared" si="3"/>
        <v>0</v>
      </c>
      <c r="Q211" s="11">
        <f>IF(P211=Sheet1!$M211, 1, 0)</f>
        <v>1</v>
      </c>
    </row>
    <row r="212" spans="1:17" x14ac:dyDescent="0.35">
      <c r="A212" s="6" t="s">
        <v>211</v>
      </c>
      <c r="B212" s="6" t="s">
        <v>235</v>
      </c>
      <c r="C212" s="6">
        <v>-0.27285338933368619</v>
      </c>
      <c r="D212" s="6">
        <v>-0.59942428240473467</v>
      </c>
      <c r="E212" s="6">
        <v>0.47272505968205092</v>
      </c>
      <c r="F212" s="6">
        <v>0.39644808971370793</v>
      </c>
      <c r="G212" s="6">
        <v>1.4004175940491004</v>
      </c>
      <c r="H212" s="6">
        <v>0.35591682818089965</v>
      </c>
      <c r="I212" s="6">
        <v>0.47897518340053613</v>
      </c>
      <c r="J212" s="6">
        <v>0.94537753932184698</v>
      </c>
      <c r="K212" s="6">
        <v>7.2853151348411818E-2</v>
      </c>
      <c r="L212" s="6">
        <v>0.20201718394596324</v>
      </c>
      <c r="N212" s="8">
        <f>SQRT((C212-Sheet4!$C$525)^2+(D212-Sheet4!$D$525)^2+(E212-Sheet4!$E$525)^2+(F212-Sheet4!$F$525)^2+(G212-Sheet4!$G$525)^2+(H212-Sheet4!$H$525)^2+(I212-Sheet4!$I$525)^2+(J212-Sheet4!$J$525)^2+(K212-Sheet4!$K$525)^2+(L212-Sheet4!$L$525)^2)</f>
        <v>2.7378043385115149</v>
      </c>
      <c r="O212" s="8">
        <f>SQRT((C212-Sheet4!$C$526)^2+(D212-Sheet4!$D$526)^2+(E212-Sheet4!$E$526)^2+(F212-Sheet4!$F$526)^2+(G212-Sheet4!$G$526)^2+(H212-Sheet4!$H$526)^2+(I212-Sheet4!$I$526)^2+(J212-Sheet4!$J$526)^2+(K212-Sheet4!$K$526)^2+(L212-Sheet4!$L$526)^2)</f>
        <v>2.1806875450736043</v>
      </c>
      <c r="P212" s="12">
        <f t="shared" si="3"/>
        <v>1</v>
      </c>
      <c r="Q212" s="11">
        <f>IF(P212=Sheet1!$M212, 1, 0)</f>
        <v>0</v>
      </c>
    </row>
    <row r="213" spans="1:17" x14ac:dyDescent="0.35">
      <c r="A213" s="6" t="s">
        <v>211</v>
      </c>
      <c r="B213" s="6" t="s">
        <v>236</v>
      </c>
      <c r="C213" s="6">
        <v>-0.34800660795288568</v>
      </c>
      <c r="D213" s="6">
        <v>-0.95541529214715393</v>
      </c>
      <c r="E213" s="6">
        <v>-0.29500387098649072</v>
      </c>
      <c r="F213" s="6">
        <v>-0.15510944585453301</v>
      </c>
      <c r="G213" s="6">
        <v>1.475908819672997</v>
      </c>
      <c r="H213" s="6">
        <v>-0.55168213930868515</v>
      </c>
      <c r="I213" s="6">
        <v>0.8442603009222921</v>
      </c>
      <c r="J213" s="6">
        <v>0.58096866124559465</v>
      </c>
      <c r="K213" s="6">
        <v>0.302893621471854</v>
      </c>
      <c r="L213" s="6">
        <v>-0.12954517373844066</v>
      </c>
      <c r="N213" s="8">
        <f>SQRT((C213-Sheet4!$C$525)^2+(D213-Sheet4!$D$525)^2+(E213-Sheet4!$E$525)^2+(F213-Sheet4!$F$525)^2+(G213-Sheet4!$G$525)^2+(H213-Sheet4!$H$525)^2+(I213-Sheet4!$I$525)^2+(J213-Sheet4!$J$525)^2+(K213-Sheet4!$K$525)^2+(L213-Sheet4!$L$525)^2)</f>
        <v>2.489959716752185</v>
      </c>
      <c r="O213" s="8">
        <f>SQRT((C213-Sheet4!$C$526)^2+(D213-Sheet4!$D$526)^2+(E213-Sheet4!$E$526)^2+(F213-Sheet4!$F$526)^2+(G213-Sheet4!$G$526)^2+(H213-Sheet4!$H$526)^2+(I213-Sheet4!$I$526)^2+(J213-Sheet4!$J$526)^2+(K213-Sheet4!$K$526)^2+(L213-Sheet4!$L$526)^2)</f>
        <v>3.3254794490595554</v>
      </c>
      <c r="P213" s="12">
        <f t="shared" si="3"/>
        <v>0</v>
      </c>
      <c r="Q213" s="11">
        <f>IF(P213=Sheet1!$M213, 1, 0)</f>
        <v>1</v>
      </c>
    </row>
    <row r="214" spans="1:17" x14ac:dyDescent="0.35">
      <c r="A214" s="6" t="s">
        <v>211</v>
      </c>
      <c r="B214" s="6" t="s">
        <v>237</v>
      </c>
      <c r="C214" s="6">
        <v>-0.22856667121880084</v>
      </c>
      <c r="D214" s="6">
        <v>-0.7774197872759443</v>
      </c>
      <c r="E214" s="6">
        <v>3.1023050146743131E-2</v>
      </c>
      <c r="F214" s="6">
        <v>2.8229511499155757E-2</v>
      </c>
      <c r="G214" s="6">
        <v>1.1855579518887693</v>
      </c>
      <c r="H214" s="6">
        <v>7.3672401495710874E-2</v>
      </c>
      <c r="I214" s="6">
        <v>0.70528620734507974</v>
      </c>
      <c r="J214" s="6">
        <v>-0.29589020162538726</v>
      </c>
      <c r="K214" s="6">
        <v>0.31228302841566613</v>
      </c>
      <c r="L214" s="6">
        <v>-0.11176769225727883</v>
      </c>
      <c r="N214" s="8">
        <f>SQRT((C214-Sheet4!$C$525)^2+(D214-Sheet4!$D$525)^2+(E214-Sheet4!$E$525)^2+(F214-Sheet4!$F$525)^2+(G214-Sheet4!$G$525)^2+(H214-Sheet4!$H$525)^2+(I214-Sheet4!$I$525)^2+(J214-Sheet4!$J$525)^2+(K214-Sheet4!$K$525)^2+(L214-Sheet4!$L$525)^2)</f>
        <v>2.0111497609785687</v>
      </c>
      <c r="O214" s="8">
        <f>SQRT((C214-Sheet4!$C$526)^2+(D214-Sheet4!$D$526)^2+(E214-Sheet4!$E$526)^2+(F214-Sheet4!$F$526)^2+(G214-Sheet4!$G$526)^2+(H214-Sheet4!$H$526)^2+(I214-Sheet4!$I$526)^2+(J214-Sheet4!$J$526)^2+(K214-Sheet4!$K$526)^2+(L214-Sheet4!$L$526)^2)</f>
        <v>3.0669860036947343</v>
      </c>
      <c r="P214" s="12">
        <f t="shared" si="3"/>
        <v>0</v>
      </c>
      <c r="Q214" s="11">
        <f>IF(P214=Sheet1!$M214, 1, 0)</f>
        <v>1</v>
      </c>
    </row>
    <row r="215" spans="1:17" x14ac:dyDescent="0.35">
      <c r="A215" s="6" t="s">
        <v>211</v>
      </c>
      <c r="B215" s="6" t="s">
        <v>238</v>
      </c>
      <c r="C215" s="6">
        <v>0.57530436365442117</v>
      </c>
      <c r="D215" s="6">
        <v>-1.2193396614389471</v>
      </c>
      <c r="E215" s="6">
        <v>-0.64534466420423697</v>
      </c>
      <c r="F215" s="6">
        <v>-0.51870603354756351</v>
      </c>
      <c r="G215" s="6">
        <v>1.1245842696540833</v>
      </c>
      <c r="H215" s="6">
        <v>3.7045262154885322E-2</v>
      </c>
      <c r="I215" s="6">
        <v>0.63771164808276515</v>
      </c>
      <c r="J215" s="6">
        <v>0.62651977100512624</v>
      </c>
      <c r="K215" s="6">
        <v>-0.55780201504442695</v>
      </c>
      <c r="L215" s="6">
        <v>-6.368415996470278E-2</v>
      </c>
      <c r="N215" s="8">
        <f>SQRT((C215-Sheet4!$C$525)^2+(D215-Sheet4!$D$525)^2+(E215-Sheet4!$E$525)^2+(F215-Sheet4!$F$525)^2+(G215-Sheet4!$G$525)^2+(H215-Sheet4!$H$525)^2+(I215-Sheet4!$I$525)^2+(J215-Sheet4!$J$525)^2+(K215-Sheet4!$K$525)^2+(L215-Sheet4!$L$525)^2)</f>
        <v>2.3411107808272127</v>
      </c>
      <c r="O215" s="8">
        <f>SQRT((C215-Sheet4!$C$526)^2+(D215-Sheet4!$D$526)^2+(E215-Sheet4!$E$526)^2+(F215-Sheet4!$F$526)^2+(G215-Sheet4!$G$526)^2+(H215-Sheet4!$H$526)^2+(I215-Sheet4!$I$526)^2+(J215-Sheet4!$J$526)^2+(K215-Sheet4!$K$526)^2+(L215-Sheet4!$L$526)^2)</f>
        <v>3.6640212573262239</v>
      </c>
      <c r="P215" s="12">
        <f t="shared" si="3"/>
        <v>0</v>
      </c>
      <c r="Q215" s="11">
        <f>IF(P215=Sheet1!$M215, 1, 0)</f>
        <v>1</v>
      </c>
    </row>
    <row r="216" spans="1:17" x14ac:dyDescent="0.35">
      <c r="A216" s="6" t="s">
        <v>211</v>
      </c>
      <c r="B216" s="6" t="s">
        <v>239</v>
      </c>
      <c r="C216" s="6">
        <v>-0.49294495814705597</v>
      </c>
      <c r="D216" s="6">
        <v>-0.88789975581669489</v>
      </c>
      <c r="E216" s="6">
        <v>-0.23016687876112443</v>
      </c>
      <c r="F216" s="6">
        <v>-0.17513807144779248</v>
      </c>
      <c r="G216" s="6">
        <v>0.59904919896463049</v>
      </c>
      <c r="H216" s="6">
        <v>0.37853947306788044</v>
      </c>
      <c r="I216" s="6">
        <v>0.87549759718506071</v>
      </c>
      <c r="J216" s="6">
        <v>1.8639915861390666</v>
      </c>
      <c r="K216" s="6">
        <v>-0.50459537569614943</v>
      </c>
      <c r="L216" s="6">
        <v>7.1854488921400825E-2</v>
      </c>
      <c r="N216" s="8">
        <f>SQRT((C216-Sheet4!$C$525)^2+(D216-Sheet4!$D$525)^2+(E216-Sheet4!$E$525)^2+(F216-Sheet4!$F$525)^2+(G216-Sheet4!$G$525)^2+(H216-Sheet4!$H$525)^2+(I216-Sheet4!$I$525)^2+(J216-Sheet4!$J$525)^2+(K216-Sheet4!$K$525)^2+(L216-Sheet4!$L$525)^2)</f>
        <v>3.0000580889825907</v>
      </c>
      <c r="O216" s="8">
        <f>SQRT((C216-Sheet4!$C$526)^2+(D216-Sheet4!$D$526)^2+(E216-Sheet4!$E$526)^2+(F216-Sheet4!$F$526)^2+(G216-Sheet4!$G$526)^2+(H216-Sheet4!$H$526)^2+(I216-Sheet4!$I$526)^2+(J216-Sheet4!$J$526)^2+(K216-Sheet4!$K$526)^2+(L216-Sheet4!$L$526)^2)</f>
        <v>2.8822098962795604</v>
      </c>
      <c r="P216" s="12">
        <f t="shared" si="3"/>
        <v>1</v>
      </c>
      <c r="Q216" s="11">
        <f>IF(P216=Sheet1!$M216, 1, 0)</f>
        <v>0</v>
      </c>
    </row>
    <row r="217" spans="1:17" x14ac:dyDescent="0.35">
      <c r="A217" s="6" t="s">
        <v>211</v>
      </c>
      <c r="B217" s="6" t="s">
        <v>240</v>
      </c>
      <c r="C217" s="6">
        <v>0.69206025686639183</v>
      </c>
      <c r="D217" s="6">
        <v>-1.3605085101299068</v>
      </c>
      <c r="E217" s="6">
        <v>-6.365369418234286E-2</v>
      </c>
      <c r="F217" s="6">
        <v>-0.5556819577197375</v>
      </c>
      <c r="G217" s="6">
        <v>-3.3915692804983716E-2</v>
      </c>
      <c r="H217" s="6">
        <v>0.15608346501256934</v>
      </c>
      <c r="I217" s="6">
        <v>0.4757877041900489</v>
      </c>
      <c r="J217" s="6">
        <v>1.7918689956864746</v>
      </c>
      <c r="K217" s="6">
        <v>-0.85982793840377758</v>
      </c>
      <c r="L217" s="6">
        <v>0.24013078367642424</v>
      </c>
      <c r="N217" s="8">
        <f>SQRT((C217-Sheet4!$C$525)^2+(D217-Sheet4!$D$525)^2+(E217-Sheet4!$E$525)^2+(F217-Sheet4!$F$525)^2+(G217-Sheet4!$G$525)^2+(H217-Sheet4!$H$525)^2+(I217-Sheet4!$I$525)^2+(J217-Sheet4!$J$525)^2+(K217-Sheet4!$K$525)^2+(L217-Sheet4!$L$525)^2)</f>
        <v>2.8589152341870578</v>
      </c>
      <c r="O217" s="8">
        <f>SQRT((C217-Sheet4!$C$526)^2+(D217-Sheet4!$D$526)^2+(E217-Sheet4!$E$526)^2+(F217-Sheet4!$F$526)^2+(G217-Sheet4!$G$526)^2+(H217-Sheet4!$H$526)^2+(I217-Sheet4!$I$526)^2+(J217-Sheet4!$J$526)^2+(K217-Sheet4!$K$526)^2+(L217-Sheet4!$L$526)^2)</f>
        <v>3.6838239796557812</v>
      </c>
      <c r="P217" s="12">
        <f t="shared" si="3"/>
        <v>0</v>
      </c>
      <c r="Q217" s="11">
        <f>IF(P217=Sheet1!$M217, 1, 0)</f>
        <v>1</v>
      </c>
    </row>
    <row r="218" spans="1:17" x14ac:dyDescent="0.35">
      <c r="A218" s="6" t="s">
        <v>211</v>
      </c>
      <c r="B218" s="6" t="s">
        <v>241</v>
      </c>
      <c r="C218" s="6">
        <v>-0.60701680783691214</v>
      </c>
      <c r="D218" s="6">
        <v>1.3401129430884449</v>
      </c>
      <c r="E218" s="6">
        <v>0.74570353263089417</v>
      </c>
      <c r="F218" s="6">
        <v>1.4641279001851928</v>
      </c>
      <c r="G218" s="6">
        <v>2.1117772201204592</v>
      </c>
      <c r="H218" s="6">
        <v>0.36830541942853212</v>
      </c>
      <c r="I218" s="6">
        <v>0.94753462734205607</v>
      </c>
      <c r="J218" s="6">
        <v>1.393296785290574</v>
      </c>
      <c r="K218" s="6">
        <v>-0.37470857964005644</v>
      </c>
      <c r="L218" s="6">
        <v>-0.32283184410324611</v>
      </c>
      <c r="N218" s="8">
        <f>SQRT((C218-Sheet4!$C$525)^2+(D218-Sheet4!$D$525)^2+(E218-Sheet4!$E$525)^2+(F218-Sheet4!$F$525)^2+(G218-Sheet4!$G$525)^2+(H218-Sheet4!$H$525)^2+(I218-Sheet4!$I$525)^2+(J218-Sheet4!$J$525)^2+(K218-Sheet4!$K$525)^2+(L218-Sheet4!$L$525)^2)</f>
        <v>4.427745951735484</v>
      </c>
      <c r="O218" s="8">
        <f>SQRT((C218-Sheet4!$C$526)^2+(D218-Sheet4!$D$526)^2+(E218-Sheet4!$E$526)^2+(F218-Sheet4!$F$526)^2+(G218-Sheet4!$G$526)^2+(H218-Sheet4!$H$526)^2+(I218-Sheet4!$I$526)^2+(J218-Sheet4!$J$526)^2+(K218-Sheet4!$K$526)^2+(L218-Sheet4!$L$526)^2)</f>
        <v>1.7652370361180747</v>
      </c>
      <c r="P218" s="12">
        <f t="shared" si="3"/>
        <v>1</v>
      </c>
      <c r="Q218" s="11">
        <f>IF(P218=Sheet1!$M218, 1, 0)</f>
        <v>0</v>
      </c>
    </row>
    <row r="219" spans="1:17" x14ac:dyDescent="0.35">
      <c r="A219" s="6" t="s">
        <v>211</v>
      </c>
      <c r="B219" s="6" t="s">
        <v>242</v>
      </c>
      <c r="C219" s="6">
        <v>-0.38558321726248529</v>
      </c>
      <c r="D219" s="6">
        <v>1.5119706719296135</v>
      </c>
      <c r="E219" s="6">
        <v>1.6895238399115102</v>
      </c>
      <c r="F219" s="6">
        <v>1.9555995589736532</v>
      </c>
      <c r="G219" s="6">
        <v>2.2250140585563041</v>
      </c>
      <c r="H219" s="6">
        <v>0.62092495399981695</v>
      </c>
      <c r="I219" s="6">
        <v>0.93605970218430412</v>
      </c>
      <c r="J219" s="6">
        <v>1.0592553137206757</v>
      </c>
      <c r="K219" s="6">
        <v>-0.40287680047149721</v>
      </c>
      <c r="L219" s="6">
        <v>0.29769488720496484</v>
      </c>
      <c r="N219" s="8">
        <f>SQRT((C219-Sheet4!$C$525)^2+(D219-Sheet4!$D$525)^2+(E219-Sheet4!$E$525)^2+(F219-Sheet4!$F$525)^2+(G219-Sheet4!$G$525)^2+(H219-Sheet4!$H$525)^2+(I219-Sheet4!$I$525)^2+(J219-Sheet4!$J$525)^2+(K219-Sheet4!$K$525)^2+(L219-Sheet4!$L$525)^2)</f>
        <v>5.0159236020648921</v>
      </c>
      <c r="O219" s="8">
        <f>SQRT((C219-Sheet4!$C$526)^2+(D219-Sheet4!$D$526)^2+(E219-Sheet4!$E$526)^2+(F219-Sheet4!$F$526)^2+(G219-Sheet4!$G$526)^2+(H219-Sheet4!$H$526)^2+(I219-Sheet4!$I$526)^2+(J219-Sheet4!$J$526)^2+(K219-Sheet4!$K$526)^2+(L219-Sheet4!$L$526)^2)</f>
        <v>1.8397011215827659</v>
      </c>
      <c r="P219" s="12">
        <f t="shared" si="3"/>
        <v>1</v>
      </c>
      <c r="Q219" s="11">
        <f>IF(P219=Sheet1!$M219, 1, 0)</f>
        <v>0</v>
      </c>
    </row>
    <row r="220" spans="1:17" x14ac:dyDescent="0.35">
      <c r="A220" s="6" t="s">
        <v>211</v>
      </c>
      <c r="B220" s="6" t="s">
        <v>243</v>
      </c>
      <c r="C220" s="6">
        <v>-0.9572844874728238</v>
      </c>
      <c r="D220" s="6">
        <v>1.3646640472086125</v>
      </c>
      <c r="E220" s="6">
        <v>2.0328651851049271</v>
      </c>
      <c r="F220" s="6">
        <v>2.1065845826766898</v>
      </c>
      <c r="G220" s="6">
        <v>2.2917947581466773</v>
      </c>
      <c r="H220" s="6">
        <v>1.1240094855341023</v>
      </c>
      <c r="I220" s="6">
        <v>0.86976013460618473</v>
      </c>
      <c r="J220" s="6">
        <v>0.83529569073631238</v>
      </c>
      <c r="K220" s="6">
        <v>0.14014390111241082</v>
      </c>
      <c r="L220" s="6">
        <v>-0.25374472310011775</v>
      </c>
      <c r="N220" s="8">
        <f>SQRT((C220-Sheet4!$C$525)^2+(D220-Sheet4!$D$525)^2+(E220-Sheet4!$E$525)^2+(F220-Sheet4!$F$525)^2+(G220-Sheet4!$G$525)^2+(H220-Sheet4!$H$525)^2+(I220-Sheet4!$I$525)^2+(J220-Sheet4!$J$525)^2+(K220-Sheet4!$K$525)^2+(L220-Sheet4!$L$525)^2)</f>
        <v>5.2929675018735232</v>
      </c>
      <c r="O220" s="8">
        <f>SQRT((C220-Sheet4!$C$526)^2+(D220-Sheet4!$D$526)^2+(E220-Sheet4!$E$526)^2+(F220-Sheet4!$F$526)^2+(G220-Sheet4!$G$526)^2+(H220-Sheet4!$H$526)^2+(I220-Sheet4!$I$526)^2+(J220-Sheet4!$J$526)^2+(K220-Sheet4!$K$526)^2+(L220-Sheet4!$L$526)^2)</f>
        <v>2.3802561449280661</v>
      </c>
      <c r="P220" s="12">
        <f t="shared" si="3"/>
        <v>1</v>
      </c>
      <c r="Q220" s="11">
        <f>IF(P220=Sheet1!$M220, 1, 0)</f>
        <v>0</v>
      </c>
    </row>
    <row r="221" spans="1:17" x14ac:dyDescent="0.35">
      <c r="A221" s="6" t="s">
        <v>211</v>
      </c>
      <c r="B221" s="6" t="s">
        <v>244</v>
      </c>
      <c r="C221" s="6">
        <v>-1.0351217496141374</v>
      </c>
      <c r="D221" s="6">
        <v>1.4383173595691123</v>
      </c>
      <c r="E221" s="6">
        <v>1.878877328569682</v>
      </c>
      <c r="F221" s="6">
        <v>2.0988812651408209</v>
      </c>
      <c r="G221" s="6">
        <v>2.2801807234353109</v>
      </c>
      <c r="H221" s="6">
        <v>0.88701034862287598</v>
      </c>
      <c r="I221" s="6">
        <v>0.84681028429068173</v>
      </c>
      <c r="J221" s="6">
        <v>1.7007667761674115</v>
      </c>
      <c r="K221" s="6">
        <v>-8.5217088313108893E-3</v>
      </c>
      <c r="L221" s="6">
        <v>2.5647921378859624</v>
      </c>
      <c r="N221" s="8">
        <f>SQRT((C221-Sheet4!$C$525)^2+(D221-Sheet4!$D$525)^2+(E221-Sheet4!$E$525)^2+(F221-Sheet4!$F$525)^2+(G221-Sheet4!$G$525)^2+(H221-Sheet4!$H$525)^2+(I221-Sheet4!$I$525)^2+(J221-Sheet4!$J$525)^2+(K221-Sheet4!$K$525)^2+(L221-Sheet4!$L$525)^2)</f>
        <v>6.1409651719724616</v>
      </c>
      <c r="O221" s="8">
        <f>SQRT((C221-Sheet4!$C$526)^2+(D221-Sheet4!$D$526)^2+(E221-Sheet4!$E$526)^2+(F221-Sheet4!$F$526)^2+(G221-Sheet4!$G$526)^2+(H221-Sheet4!$H$526)^2+(I221-Sheet4!$I$526)^2+(J221-Sheet4!$J$526)^2+(K221-Sheet4!$K$526)^2+(L221-Sheet4!$L$526)^2)</f>
        <v>2.893568991836001</v>
      </c>
      <c r="P221" s="12">
        <f t="shared" si="3"/>
        <v>1</v>
      </c>
      <c r="Q221" s="11">
        <f>IF(P221=Sheet1!$M221, 1, 0)</f>
        <v>0</v>
      </c>
    </row>
    <row r="222" spans="1:17" x14ac:dyDescent="0.35">
      <c r="A222" s="6" t="s">
        <v>211</v>
      </c>
      <c r="B222" s="6" t="s">
        <v>245</v>
      </c>
      <c r="C222" s="6">
        <v>-0.62848915601382627</v>
      </c>
      <c r="D222" s="6">
        <v>0.45627319476243916</v>
      </c>
      <c r="E222" s="6">
        <v>0.8374331409497362</v>
      </c>
      <c r="F222" s="6">
        <v>0.84324050679412765</v>
      </c>
      <c r="G222" s="6">
        <v>1.3888035593377295</v>
      </c>
      <c r="H222" s="6">
        <v>0.93818061681961828</v>
      </c>
      <c r="I222" s="6">
        <v>0.90163492671105006</v>
      </c>
      <c r="J222" s="6">
        <v>0.6948464356444235</v>
      </c>
      <c r="K222" s="6">
        <v>0.98675542721297027</v>
      </c>
      <c r="L222" s="6">
        <v>-0.30010661036843383</v>
      </c>
      <c r="N222" s="8">
        <f>SQRT((C222-Sheet4!$C$525)^2+(D222-Sheet4!$D$525)^2+(E222-Sheet4!$E$525)^2+(F222-Sheet4!$F$525)^2+(G222-Sheet4!$G$525)^2+(H222-Sheet4!$H$525)^2+(I222-Sheet4!$I$525)^2+(J222-Sheet4!$J$525)^2+(K222-Sheet4!$K$525)^2+(L222-Sheet4!$L$525)^2)</f>
        <v>3.4479583011189332</v>
      </c>
      <c r="O222" s="8">
        <f>SQRT((C222-Sheet4!$C$526)^2+(D222-Sheet4!$D$526)^2+(E222-Sheet4!$E$526)^2+(F222-Sheet4!$F$526)^2+(G222-Sheet4!$G$526)^2+(H222-Sheet4!$H$526)^2+(I222-Sheet4!$I$526)^2+(J222-Sheet4!$J$526)^2+(K222-Sheet4!$K$526)^2+(L222-Sheet4!$L$526)^2)</f>
        <v>2.0758651685042251</v>
      </c>
      <c r="P222" s="12">
        <f t="shared" si="3"/>
        <v>1</v>
      </c>
      <c r="Q222" s="11">
        <f>IF(P222=Sheet1!$M222, 1, 0)</f>
        <v>0</v>
      </c>
    </row>
    <row r="223" spans="1:17" x14ac:dyDescent="0.35">
      <c r="A223" s="6" t="s">
        <v>211</v>
      </c>
      <c r="B223" s="6" t="s">
        <v>246</v>
      </c>
      <c r="C223" s="6">
        <v>-0.55736200267779834</v>
      </c>
      <c r="D223" s="6">
        <v>0.18007327341056265</v>
      </c>
      <c r="E223" s="6">
        <v>1.0382067816476035</v>
      </c>
      <c r="F223" s="6">
        <v>0.86172846888021248</v>
      </c>
      <c r="G223" s="6">
        <v>1.4178386461161547</v>
      </c>
      <c r="H223" s="6">
        <v>0.83853325243648835</v>
      </c>
      <c r="I223" s="6">
        <v>0.94753462734205607</v>
      </c>
      <c r="J223" s="6">
        <v>1.2110923462524477</v>
      </c>
      <c r="K223" s="6">
        <v>-0.19005024307838053</v>
      </c>
      <c r="L223" s="6">
        <v>-0.22302942246231655</v>
      </c>
      <c r="N223" s="8">
        <f>SQRT((C223-Sheet4!$C$525)^2+(D223-Sheet4!$D$525)^2+(E223-Sheet4!$E$525)^2+(F223-Sheet4!$F$525)^2+(G223-Sheet4!$G$525)^2+(H223-Sheet4!$H$525)^2+(I223-Sheet4!$I$525)^2+(J223-Sheet4!$J$525)^2+(K223-Sheet4!$K$525)^2+(L223-Sheet4!$L$525)^2)</f>
        <v>3.5886328626923882</v>
      </c>
      <c r="O223" s="8">
        <f>SQRT((C223-Sheet4!$C$526)^2+(D223-Sheet4!$D$526)^2+(E223-Sheet4!$E$526)^2+(F223-Sheet4!$F$526)^2+(G223-Sheet4!$G$526)^2+(H223-Sheet4!$H$526)^2+(I223-Sheet4!$I$526)^2+(J223-Sheet4!$J$526)^2+(K223-Sheet4!$K$526)^2+(L223-Sheet4!$L$526)^2)</f>
        <v>1.449063762225425</v>
      </c>
      <c r="P223" s="12">
        <f t="shared" si="3"/>
        <v>1</v>
      </c>
      <c r="Q223" s="11">
        <f>IF(P223=Sheet1!$M223, 1, 0)</f>
        <v>0</v>
      </c>
    </row>
    <row r="224" spans="1:17" x14ac:dyDescent="0.35">
      <c r="A224" s="6" t="s">
        <v>247</v>
      </c>
      <c r="B224" s="6" t="s">
        <v>248</v>
      </c>
      <c r="C224" s="6">
        <v>0.81955232416681933</v>
      </c>
      <c r="D224" s="6">
        <v>0.35806877828177169</v>
      </c>
      <c r="E224" s="6">
        <v>-9.423023028862354E-2</v>
      </c>
      <c r="F224" s="6">
        <v>0.73693472479912969</v>
      </c>
      <c r="G224" s="6">
        <v>1.6297947795986381</v>
      </c>
      <c r="H224" s="6">
        <v>1.0098189922950571</v>
      </c>
      <c r="I224" s="6">
        <v>0.26732656382422992</v>
      </c>
      <c r="J224" s="6">
        <v>-0.51984982460975082</v>
      </c>
      <c r="K224" s="6">
        <v>1.135421037156692</v>
      </c>
      <c r="L224" s="6">
        <v>-0.27550661291602135</v>
      </c>
      <c r="N224" s="8">
        <f>SQRT((C224-Sheet4!$C$525)^2+(D224-Sheet4!$D$525)^2+(E224-Sheet4!$E$525)^2+(F224-Sheet4!$F$525)^2+(G224-Sheet4!$G$525)^2+(H224-Sheet4!$H$525)^2+(I224-Sheet4!$I$525)^2+(J224-Sheet4!$J$525)^2+(K224-Sheet4!$K$525)^2+(L224-Sheet4!$L$525)^2)</f>
        <v>2.9590253737026102</v>
      </c>
      <c r="O224" s="8">
        <f>SQRT((C224-Sheet4!$C$526)^2+(D224-Sheet4!$D$526)^2+(E224-Sheet4!$E$526)^2+(F224-Sheet4!$F$526)^2+(G224-Sheet4!$G$526)^2+(H224-Sheet4!$H$526)^2+(I224-Sheet4!$I$526)^2+(J224-Sheet4!$J$526)^2+(K224-Sheet4!$K$526)^2+(L224-Sheet4!$L$526)^2)</f>
        <v>3.3641429748727161</v>
      </c>
      <c r="P224" s="12">
        <f t="shared" si="3"/>
        <v>0</v>
      </c>
      <c r="Q224" s="11">
        <f>IF(P224=Sheet1!$M224, 1, 0)</f>
        <v>1</v>
      </c>
    </row>
    <row r="225" spans="1:17" x14ac:dyDescent="0.35">
      <c r="A225" s="6" t="s">
        <v>247</v>
      </c>
      <c r="B225" s="6" t="s">
        <v>249</v>
      </c>
      <c r="C225" s="6">
        <v>0.2371148798680239</v>
      </c>
      <c r="D225" s="6">
        <v>0.69564645993406615</v>
      </c>
      <c r="E225" s="6">
        <v>1.923084368723341</v>
      </c>
      <c r="F225" s="6">
        <v>1.5950842982949698</v>
      </c>
      <c r="G225" s="6">
        <v>1.2291105820564052</v>
      </c>
      <c r="H225" s="6">
        <v>1.0232848523468314</v>
      </c>
      <c r="I225" s="6">
        <v>0.69954874476620377</v>
      </c>
      <c r="J225" s="6">
        <v>-0.38699242114445043</v>
      </c>
      <c r="K225" s="6">
        <v>0.34045124924710912</v>
      </c>
      <c r="L225" s="6">
        <v>-4.5775666719451991E-2</v>
      </c>
      <c r="N225" s="8">
        <f>SQRT((C225-Sheet4!$C$525)^2+(D225-Sheet4!$D$525)^2+(E225-Sheet4!$E$525)^2+(F225-Sheet4!$F$525)^2+(G225-Sheet4!$G$525)^2+(H225-Sheet4!$H$525)^2+(I225-Sheet4!$I$525)^2+(J225-Sheet4!$J$525)^2+(K225-Sheet4!$K$525)^2+(L225-Sheet4!$L$525)^2)</f>
        <v>3.929607536652362</v>
      </c>
      <c r="O225" s="8">
        <f>SQRT((C225-Sheet4!$C$526)^2+(D225-Sheet4!$D$526)^2+(E225-Sheet4!$E$526)^2+(F225-Sheet4!$F$526)^2+(G225-Sheet4!$G$526)^2+(H225-Sheet4!$H$526)^2+(I225-Sheet4!$I$526)^2+(J225-Sheet4!$J$526)^2+(K225-Sheet4!$K$526)^2+(L225-Sheet4!$L$526)^2)</f>
        <v>2.3334011405311235</v>
      </c>
      <c r="P225" s="12">
        <f t="shared" si="3"/>
        <v>1</v>
      </c>
      <c r="Q225" s="11">
        <f>IF(P225=Sheet1!$M225, 1, 0)</f>
        <v>0</v>
      </c>
    </row>
    <row r="226" spans="1:17" x14ac:dyDescent="0.35">
      <c r="A226" s="6" t="s">
        <v>247</v>
      </c>
      <c r="B226" s="6" t="s">
        <v>250</v>
      </c>
      <c r="C226" s="6">
        <v>0.72695282265387751</v>
      </c>
      <c r="D226" s="6">
        <v>-0.69762869888540213</v>
      </c>
      <c r="E226" s="6">
        <v>-0.30200331901082006</v>
      </c>
      <c r="F226" s="6">
        <v>3.5932829035024615E-2</v>
      </c>
      <c r="G226" s="6">
        <v>1.3162158423916726</v>
      </c>
      <c r="H226" s="6">
        <v>1.0125121643054118</v>
      </c>
      <c r="I226" s="6">
        <v>0.60966183103048377</v>
      </c>
      <c r="J226" s="6">
        <v>-1.0854427707906007</v>
      </c>
      <c r="K226" s="6">
        <v>1.0211832526736213</v>
      </c>
      <c r="L226" s="6">
        <v>-0.16188865598411101</v>
      </c>
      <c r="N226" s="8">
        <f>SQRT((C226-Sheet4!$C$525)^2+(D226-Sheet4!$D$525)^2+(E226-Sheet4!$E$525)^2+(F226-Sheet4!$F$525)^2+(G226-Sheet4!$G$525)^2+(H226-Sheet4!$H$525)^2+(I226-Sheet4!$I$525)^2+(J226-Sheet4!$J$525)^2+(K226-Sheet4!$K$525)^2+(L226-Sheet4!$L$525)^2)</f>
        <v>2.5858780793021103</v>
      </c>
      <c r="O226" s="8">
        <f>SQRT((C226-Sheet4!$C$526)^2+(D226-Sheet4!$D$526)^2+(E226-Sheet4!$E$526)^2+(F226-Sheet4!$F$526)^2+(G226-Sheet4!$G$526)^2+(H226-Sheet4!$H$526)^2+(I226-Sheet4!$I$526)^2+(J226-Sheet4!$J$526)^2+(K226-Sheet4!$K$526)^2+(L226-Sheet4!$L$526)^2)</f>
        <v>4.015185327224942</v>
      </c>
      <c r="P226" s="12">
        <f t="shared" si="3"/>
        <v>0</v>
      </c>
      <c r="Q226" s="11">
        <f>IF(P226=Sheet1!$M226, 1, 0)</f>
        <v>1</v>
      </c>
    </row>
    <row r="227" spans="1:17" x14ac:dyDescent="0.35">
      <c r="A227" s="6" t="s">
        <v>247</v>
      </c>
      <c r="B227" s="6" t="s">
        <v>251</v>
      </c>
      <c r="C227" s="6">
        <v>-0.48757687110282733</v>
      </c>
      <c r="D227" s="6">
        <v>1.5242462239896968</v>
      </c>
      <c r="E227" s="6">
        <v>2.1128062493827935</v>
      </c>
      <c r="F227" s="6">
        <v>2.1682111229636449</v>
      </c>
      <c r="G227" s="6">
        <v>1.5281719758741599</v>
      </c>
      <c r="H227" s="6">
        <v>1.1423230552045154</v>
      </c>
      <c r="I227" s="6">
        <v>0.7091111823976638</v>
      </c>
      <c r="J227" s="6">
        <v>4.1947195757804846E-2</v>
      </c>
      <c r="K227" s="6">
        <v>0.56110231242673703</v>
      </c>
      <c r="L227" s="6">
        <v>0.28882973693992725</v>
      </c>
      <c r="N227" s="8">
        <f>SQRT((C227-Sheet4!$C$525)^2+(D227-Sheet4!$D$525)^2+(E227-Sheet4!$E$525)^2+(F227-Sheet4!$F$525)^2+(G227-Sheet4!$G$525)^2+(H227-Sheet4!$H$525)^2+(I227-Sheet4!$I$525)^2+(J227-Sheet4!$J$525)^2+(K227-Sheet4!$K$525)^2+(L227-Sheet4!$L$525)^2)</f>
        <v>4.8799422266804005</v>
      </c>
      <c r="O227" s="8">
        <f>SQRT((C227-Sheet4!$C$526)^2+(D227-Sheet4!$D$526)^2+(E227-Sheet4!$E$526)^2+(F227-Sheet4!$F$526)^2+(G227-Sheet4!$G$526)^2+(H227-Sheet4!$H$526)^2+(I227-Sheet4!$I$526)^2+(J227-Sheet4!$J$526)^2+(K227-Sheet4!$K$526)^2+(L227-Sheet4!$L$526)^2)</f>
        <v>2.345280832076523</v>
      </c>
      <c r="P227" s="12">
        <f t="shared" si="3"/>
        <v>1</v>
      </c>
      <c r="Q227" s="11">
        <f>IF(P227=Sheet1!$M227, 1, 0)</f>
        <v>0</v>
      </c>
    </row>
    <row r="228" spans="1:17" x14ac:dyDescent="0.35">
      <c r="A228" s="6" t="s">
        <v>247</v>
      </c>
      <c r="B228" s="6" t="s">
        <v>252</v>
      </c>
      <c r="C228" s="6">
        <v>-0.61506893840325494</v>
      </c>
      <c r="D228" s="6">
        <v>2.0152683063930339</v>
      </c>
      <c r="E228" s="6">
        <v>3.1225687248926173</v>
      </c>
      <c r="F228" s="6">
        <v>2.6581421182449327</v>
      </c>
      <c r="G228" s="6">
        <v>1.4817158370286845</v>
      </c>
      <c r="H228" s="6">
        <v>1.1293958295548123</v>
      </c>
      <c r="I228" s="6">
        <v>0.94753462734205607</v>
      </c>
      <c r="J228" s="6">
        <v>1.5451338178223459</v>
      </c>
      <c r="K228" s="6">
        <v>0.37487907470776016</v>
      </c>
      <c r="L228" s="6">
        <v>0.13427154400603661</v>
      </c>
      <c r="N228" s="8">
        <f>SQRT((C228-Sheet4!$C$525)^2+(D228-Sheet4!$D$525)^2+(E228-Sheet4!$E$525)^2+(F228-Sheet4!$F$525)^2+(G228-Sheet4!$G$525)^2+(H228-Sheet4!$H$525)^2+(I228-Sheet4!$I$525)^2+(J228-Sheet4!$J$525)^2+(K228-Sheet4!$K$525)^2+(L228-Sheet4!$L$525)^2)</f>
        <v>6.2103814916089117</v>
      </c>
      <c r="O228" s="8">
        <f>SQRT((C228-Sheet4!$C$526)^2+(D228-Sheet4!$D$526)^2+(E228-Sheet4!$E$526)^2+(F228-Sheet4!$F$526)^2+(G228-Sheet4!$G$526)^2+(H228-Sheet4!$H$526)^2+(I228-Sheet4!$I$526)^2+(J228-Sheet4!$J$526)^2+(K228-Sheet4!$K$526)^2+(L228-Sheet4!$L$526)^2)</f>
        <v>3.0773999936569996</v>
      </c>
      <c r="P228" s="12">
        <f t="shared" si="3"/>
        <v>1</v>
      </c>
      <c r="Q228" s="11">
        <f>IF(P228=Sheet1!$M228, 1, 0)</f>
        <v>0</v>
      </c>
    </row>
    <row r="229" spans="1:17" x14ac:dyDescent="0.35">
      <c r="A229" s="6" t="s">
        <v>253</v>
      </c>
      <c r="B229" s="6" t="s">
        <v>254</v>
      </c>
      <c r="C229" s="6">
        <v>0.38071120830113708</v>
      </c>
      <c r="D229" s="6">
        <v>-0.50735764195410882</v>
      </c>
      <c r="E229" s="6">
        <v>-0.52966957580216301</v>
      </c>
      <c r="F229" s="6">
        <v>-0.20903266860561937</v>
      </c>
      <c r="G229" s="6">
        <v>0.70067200268910856</v>
      </c>
      <c r="H229" s="6">
        <v>-0.29636943272704497</v>
      </c>
      <c r="I229" s="6">
        <v>-0.53719318890257117</v>
      </c>
      <c r="J229" s="6">
        <v>-1.1461775838033095</v>
      </c>
      <c r="K229" s="6">
        <v>1.7379079827180879</v>
      </c>
      <c r="L229" s="6">
        <v>-0.22685043175476557</v>
      </c>
      <c r="N229" s="8">
        <f>SQRT((C229-Sheet4!$C$525)^2+(D229-Sheet4!$D$525)^2+(E229-Sheet4!$E$525)^2+(F229-Sheet4!$F$525)^2+(G229-Sheet4!$G$525)^2+(H229-Sheet4!$H$525)^2+(I229-Sheet4!$I$525)^2+(J229-Sheet4!$J$525)^2+(K229-Sheet4!$K$525)^2+(L229-Sheet4!$L$525)^2)</f>
        <v>2.0342623108500364</v>
      </c>
      <c r="O229" s="8">
        <f>SQRT((C229-Sheet4!$C$526)^2+(D229-Sheet4!$D$526)^2+(E229-Sheet4!$E$526)^2+(F229-Sheet4!$F$526)^2+(G229-Sheet4!$G$526)^2+(H229-Sheet4!$H$526)^2+(I229-Sheet4!$I$526)^2+(J229-Sheet4!$J$526)^2+(K229-Sheet4!$K$526)^2+(L229-Sheet4!$L$526)^2)</f>
        <v>4.61494768492659</v>
      </c>
      <c r="P229" s="12">
        <f t="shared" si="3"/>
        <v>0</v>
      </c>
      <c r="Q229" s="11">
        <f>IF(P229=Sheet1!$M229, 1, 0)</f>
        <v>1</v>
      </c>
    </row>
    <row r="230" spans="1:17" x14ac:dyDescent="0.35">
      <c r="A230" s="6" t="s">
        <v>253</v>
      </c>
      <c r="B230" s="6" t="s">
        <v>255</v>
      </c>
      <c r="C230" s="6">
        <v>-0.27016934581157204</v>
      </c>
      <c r="D230" s="6">
        <v>-0.54418429813435942</v>
      </c>
      <c r="E230" s="6">
        <v>-0.17453968656777041</v>
      </c>
      <c r="F230" s="6">
        <v>0.17459254468067273</v>
      </c>
      <c r="G230" s="6">
        <v>0.92714567956080651</v>
      </c>
      <c r="H230" s="6">
        <v>0.55413428814301613</v>
      </c>
      <c r="I230" s="6">
        <v>0.71166116576605254</v>
      </c>
      <c r="J230" s="6">
        <v>-0.25793094349244444</v>
      </c>
      <c r="K230" s="6">
        <v>0.49537646382003891</v>
      </c>
      <c r="L230" s="6">
        <v>-0.15345528037507564</v>
      </c>
      <c r="N230" s="8">
        <f>SQRT((C230-Sheet4!$C$525)^2+(D230-Sheet4!$D$525)^2+(E230-Sheet4!$E$525)^2+(F230-Sheet4!$F$525)^2+(G230-Sheet4!$G$525)^2+(H230-Sheet4!$H$525)^2+(I230-Sheet4!$I$525)^2+(J230-Sheet4!$J$525)^2+(K230-Sheet4!$K$525)^2+(L230-Sheet4!$L$525)^2)</f>
        <v>1.9673916630253394</v>
      </c>
      <c r="O230" s="8">
        <f>SQRT((C230-Sheet4!$C$526)^2+(D230-Sheet4!$D$526)^2+(E230-Sheet4!$E$526)^2+(F230-Sheet4!$F$526)^2+(G230-Sheet4!$G$526)^2+(H230-Sheet4!$H$526)^2+(I230-Sheet4!$I$526)^2+(J230-Sheet4!$J$526)^2+(K230-Sheet4!$K$526)^2+(L230-Sheet4!$L$526)^2)</f>
        <v>2.9426885179789442</v>
      </c>
      <c r="P230" s="12">
        <f t="shared" si="3"/>
        <v>0</v>
      </c>
      <c r="Q230" s="11">
        <f>IF(P230=Sheet1!$M230, 1, 0)</f>
        <v>1</v>
      </c>
    </row>
    <row r="231" spans="1:17" x14ac:dyDescent="0.35">
      <c r="A231" s="6" t="s">
        <v>253</v>
      </c>
      <c r="B231" s="6" t="s">
        <v>256</v>
      </c>
      <c r="C231" s="6">
        <v>-1.7869254732831037E-2</v>
      </c>
      <c r="D231" s="6">
        <v>-0.5380465221043178</v>
      </c>
      <c r="E231" s="6">
        <v>-0.21432602270606335</v>
      </c>
      <c r="F231" s="6">
        <v>2.0526193963286907E-2</v>
      </c>
      <c r="G231" s="6">
        <v>1.220400056022878</v>
      </c>
      <c r="H231" s="6">
        <v>-9.2765628744218259E-2</v>
      </c>
      <c r="I231" s="6">
        <v>-0.59648030221762027</v>
      </c>
      <c r="J231" s="6">
        <v>-0.5805846376224596</v>
      </c>
      <c r="K231" s="6">
        <v>0.45312413257287665</v>
      </c>
      <c r="L231" s="6">
        <v>-0.18816088174274986</v>
      </c>
      <c r="N231" s="8">
        <f>SQRT((C231-Sheet4!$C$525)^2+(D231-Sheet4!$D$525)^2+(E231-Sheet4!$E$525)^2+(F231-Sheet4!$F$525)^2+(G231-Sheet4!$G$525)^2+(H231-Sheet4!$H$525)^2+(I231-Sheet4!$I$525)^2+(J231-Sheet4!$J$525)^2+(K231-Sheet4!$K$525)^2+(L231-Sheet4!$L$525)^2)</f>
        <v>1.7027082110120693</v>
      </c>
      <c r="O231" s="8">
        <f>SQRT((C231-Sheet4!$C$526)^2+(D231-Sheet4!$D$526)^2+(E231-Sheet4!$E$526)^2+(F231-Sheet4!$F$526)^2+(G231-Sheet4!$G$526)^2+(H231-Sheet4!$H$526)^2+(I231-Sheet4!$I$526)^2+(J231-Sheet4!$J$526)^2+(K231-Sheet4!$K$526)^2+(L231-Sheet4!$L$526)^2)</f>
        <v>3.5500802461650443</v>
      </c>
      <c r="P231" s="12">
        <f t="shared" si="3"/>
        <v>0</v>
      </c>
      <c r="Q231" s="11">
        <f>IF(P231=Sheet1!$M231, 1, 0)</f>
        <v>1</v>
      </c>
    </row>
    <row r="232" spans="1:17" x14ac:dyDescent="0.35">
      <c r="A232" s="6" t="s">
        <v>253</v>
      </c>
      <c r="B232" s="6" t="s">
        <v>257</v>
      </c>
      <c r="C232" s="6">
        <v>-0.63922533010228344</v>
      </c>
      <c r="D232" s="6">
        <v>-5.9299991761064347E-2</v>
      </c>
      <c r="E232" s="6">
        <v>0.17764306665637825</v>
      </c>
      <c r="F232" s="6">
        <v>0.49659121768000963</v>
      </c>
      <c r="G232" s="6">
        <v>1.3075053163581454</v>
      </c>
      <c r="H232" s="6">
        <v>0.43994379490397106</v>
      </c>
      <c r="I232" s="6">
        <v>0.78178570839675676</v>
      </c>
      <c r="J232" s="6">
        <v>-5.6746875387846736E-2</v>
      </c>
      <c r="K232" s="6">
        <v>0.43747512099985425</v>
      </c>
      <c r="L232" s="6">
        <v>0.11338360922119914</v>
      </c>
      <c r="N232" s="8">
        <f>SQRT((C232-Sheet4!$C$525)^2+(D232-Sheet4!$D$525)^2+(E232-Sheet4!$E$525)^2+(F232-Sheet4!$F$525)^2+(G232-Sheet4!$G$525)^2+(H232-Sheet4!$H$525)^2+(I232-Sheet4!$I$525)^2+(J232-Sheet4!$J$525)^2+(K232-Sheet4!$K$525)^2+(L232-Sheet4!$L$525)^2)</f>
        <v>2.5362414778726041</v>
      </c>
      <c r="O232" s="8">
        <f>SQRT((C232-Sheet4!$C$526)^2+(D232-Sheet4!$D$526)^2+(E232-Sheet4!$E$526)^2+(F232-Sheet4!$F$526)^2+(G232-Sheet4!$G$526)^2+(H232-Sheet4!$H$526)^2+(I232-Sheet4!$I$526)^2+(J232-Sheet4!$J$526)^2+(K232-Sheet4!$K$526)^2+(L232-Sheet4!$L$526)^2)</f>
        <v>2.2842224188945548</v>
      </c>
      <c r="P232" s="12">
        <f t="shared" si="3"/>
        <v>1</v>
      </c>
      <c r="Q232" s="11">
        <f>IF(P232=Sheet1!$M232, 1, 0)</f>
        <v>0</v>
      </c>
    </row>
    <row r="233" spans="1:17" x14ac:dyDescent="0.35">
      <c r="A233" s="6" t="s">
        <v>253</v>
      </c>
      <c r="B233" s="6" t="s">
        <v>258</v>
      </c>
      <c r="C233" s="6">
        <v>-0.35203267323605703</v>
      </c>
      <c r="D233" s="6">
        <v>-0.57487317828456785</v>
      </c>
      <c r="E233" s="6">
        <v>0.15922346659235373</v>
      </c>
      <c r="F233" s="6">
        <v>0.17305188117349807</v>
      </c>
      <c r="G233" s="6">
        <v>1.1478123390768211</v>
      </c>
      <c r="H233" s="6">
        <v>-8.2531575104869942E-2</v>
      </c>
      <c r="I233" s="6">
        <v>0.52232490066315251</v>
      </c>
      <c r="J233" s="6">
        <v>-0.53123760204963355</v>
      </c>
      <c r="K233" s="6">
        <v>0.15266311037082919</v>
      </c>
      <c r="L233" s="6">
        <v>7.8062565987579755E-2</v>
      </c>
      <c r="N233" s="8">
        <f>SQRT((C233-Sheet4!$C$525)^2+(D233-Sheet4!$D$525)^2+(E233-Sheet4!$E$525)^2+(F233-Sheet4!$F$525)^2+(G233-Sheet4!$G$525)^2+(H233-Sheet4!$H$525)^2+(I233-Sheet4!$I$525)^2+(J233-Sheet4!$J$525)^2+(K233-Sheet4!$K$525)^2+(L233-Sheet4!$L$525)^2)</f>
        <v>1.9767294189848299</v>
      </c>
      <c r="O233" s="8">
        <f>SQRT((C233-Sheet4!$C$526)^2+(D233-Sheet4!$D$526)^2+(E233-Sheet4!$E$526)^2+(F233-Sheet4!$F$526)^2+(G233-Sheet4!$G$526)^2+(H233-Sheet4!$H$526)^2+(I233-Sheet4!$I$526)^2+(J233-Sheet4!$J$526)^2+(K233-Sheet4!$K$526)^2+(L233-Sheet4!$L$526)^2)</f>
        <v>2.9121339709078575</v>
      </c>
      <c r="P233" s="12">
        <f t="shared" si="3"/>
        <v>0</v>
      </c>
      <c r="Q233" s="11">
        <f>IF(P233=Sheet1!$M233, 1, 0)</f>
        <v>1</v>
      </c>
    </row>
    <row r="234" spans="1:17" x14ac:dyDescent="0.35">
      <c r="A234" s="6" t="s">
        <v>253</v>
      </c>
      <c r="B234" s="6" t="s">
        <v>259</v>
      </c>
      <c r="C234" s="6">
        <v>-8.4970342785687644E-2</v>
      </c>
      <c r="D234" s="6">
        <v>-0.21888216854214865</v>
      </c>
      <c r="E234" s="6">
        <v>0.29552850706613509</v>
      </c>
      <c r="F234" s="6">
        <v>0.40569207075675146</v>
      </c>
      <c r="G234" s="6">
        <v>0.86907550600396422</v>
      </c>
      <c r="H234" s="6">
        <v>0.52343212722497123</v>
      </c>
      <c r="I234" s="6">
        <v>0.71484864497653888</v>
      </c>
      <c r="J234" s="6">
        <v>3.4355344131216416E-2</v>
      </c>
      <c r="K234" s="6">
        <v>-1.9476016932426125E-2</v>
      </c>
      <c r="L234" s="6">
        <v>0.15457287205003942</v>
      </c>
      <c r="N234" s="8">
        <f>SQRT((C234-Sheet4!$C$525)^2+(D234-Sheet4!$D$525)^2+(E234-Sheet4!$E$525)^2+(F234-Sheet4!$F$525)^2+(G234-Sheet4!$G$525)^2+(H234-Sheet4!$H$525)^2+(I234-Sheet4!$I$525)^2+(J234-Sheet4!$J$525)^2+(K234-Sheet4!$K$525)^2+(L234-Sheet4!$L$525)^2)</f>
        <v>2.1321905434592536</v>
      </c>
      <c r="O234" s="8">
        <f>SQRT((C234-Sheet4!$C$526)^2+(D234-Sheet4!$D$526)^2+(E234-Sheet4!$E$526)^2+(F234-Sheet4!$F$526)^2+(G234-Sheet4!$G$526)^2+(H234-Sheet4!$H$526)^2+(I234-Sheet4!$I$526)^2+(J234-Sheet4!$J$526)^2+(K234-Sheet4!$K$526)^2+(L234-Sheet4!$L$526)^2)</f>
        <v>2.1547396484164736</v>
      </c>
      <c r="P234" s="12">
        <f t="shared" si="3"/>
        <v>0</v>
      </c>
      <c r="Q234" s="11">
        <f>IF(P234=Sheet1!$M234, 1, 0)</f>
        <v>1</v>
      </c>
    </row>
    <row r="235" spans="1:17" x14ac:dyDescent="0.35">
      <c r="A235" s="6" t="s">
        <v>253</v>
      </c>
      <c r="B235" s="6" t="s">
        <v>260</v>
      </c>
      <c r="C235" s="6">
        <v>-0.23796082354620079</v>
      </c>
      <c r="D235" s="6">
        <v>-0.61783761049485997</v>
      </c>
      <c r="E235" s="6">
        <v>-5.9601382168257465E-2</v>
      </c>
      <c r="F235" s="6">
        <v>0.10372202335067403</v>
      </c>
      <c r="G235" s="6">
        <v>0.85746147129259331</v>
      </c>
      <c r="H235" s="6">
        <v>0.1932492387554669</v>
      </c>
      <c r="I235" s="6">
        <v>0.5739620638730345</v>
      </c>
      <c r="J235" s="6">
        <v>0.12925348946357379</v>
      </c>
      <c r="K235" s="6">
        <v>-0.15249261530312544</v>
      </c>
      <c r="L235" s="6">
        <v>0.97485760712348635</v>
      </c>
      <c r="N235" s="8">
        <f>SQRT((C235-Sheet4!$C$525)^2+(D235-Sheet4!$D$525)^2+(E235-Sheet4!$E$525)^2+(F235-Sheet4!$F$525)^2+(G235-Sheet4!$G$525)^2+(H235-Sheet4!$H$525)^2+(I235-Sheet4!$I$525)^2+(J235-Sheet4!$J$525)^2+(K235-Sheet4!$K$525)^2+(L235-Sheet4!$L$525)^2)</f>
        <v>2.1767896757449745</v>
      </c>
      <c r="O235" s="8">
        <f>SQRT((C235-Sheet4!$C$526)^2+(D235-Sheet4!$D$526)^2+(E235-Sheet4!$E$526)^2+(F235-Sheet4!$F$526)^2+(G235-Sheet4!$G$526)^2+(H235-Sheet4!$H$526)^2+(I235-Sheet4!$I$526)^2+(J235-Sheet4!$J$526)^2+(K235-Sheet4!$K$526)^2+(L235-Sheet4!$L$526)^2)</f>
        <v>2.5786193551801393</v>
      </c>
      <c r="P235" s="12">
        <f t="shared" si="3"/>
        <v>0</v>
      </c>
      <c r="Q235" s="11">
        <f>IF(P235=Sheet1!$M235, 1, 0)</f>
        <v>1</v>
      </c>
    </row>
    <row r="236" spans="1:17" x14ac:dyDescent="0.35">
      <c r="A236" s="6" t="s">
        <v>253</v>
      </c>
      <c r="B236" s="6" t="s">
        <v>261</v>
      </c>
      <c r="C236" s="6">
        <v>-0.29835180279377166</v>
      </c>
      <c r="D236" s="6">
        <v>-1.0843085887780297</v>
      </c>
      <c r="E236" s="6">
        <v>-0.4132577033975281</v>
      </c>
      <c r="F236" s="6">
        <v>-0.5941985453990839</v>
      </c>
      <c r="G236" s="6">
        <v>0.16061938861044522</v>
      </c>
      <c r="H236" s="6">
        <v>0.32521466726285392</v>
      </c>
      <c r="I236" s="6">
        <v>0.67532390276650645</v>
      </c>
      <c r="J236" s="6">
        <v>-0.5881764892490482</v>
      </c>
      <c r="K236" s="6">
        <v>-0.51241988148266071</v>
      </c>
      <c r="L236" s="6">
        <v>1.3776597790438605E-2</v>
      </c>
      <c r="N236" s="8">
        <f>SQRT((C236-Sheet4!$C$525)^2+(D236-Sheet4!$D$525)^2+(E236-Sheet4!$E$525)^2+(F236-Sheet4!$F$525)^2+(G236-Sheet4!$G$525)^2+(H236-Sheet4!$H$525)^2+(I236-Sheet4!$I$525)^2+(J236-Sheet4!$J$525)^2+(K236-Sheet4!$K$525)^2+(L236-Sheet4!$L$525)^2)</f>
        <v>1.6903623029509771</v>
      </c>
      <c r="O236" s="8">
        <f>SQRT((C236-Sheet4!$C$526)^2+(D236-Sheet4!$D$526)^2+(E236-Sheet4!$E$526)^2+(F236-Sheet4!$F$526)^2+(G236-Sheet4!$G$526)^2+(H236-Sheet4!$H$526)^2+(I236-Sheet4!$I$526)^2+(J236-Sheet4!$J$526)^2+(K236-Sheet4!$K$526)^2+(L236-Sheet4!$L$526)^2)</f>
        <v>3.6797208257223675</v>
      </c>
      <c r="P236" s="12">
        <f t="shared" si="3"/>
        <v>0</v>
      </c>
      <c r="Q236" s="11">
        <f>IF(P236=Sheet1!$M236, 1, 0)</f>
        <v>1</v>
      </c>
    </row>
    <row r="237" spans="1:17" x14ac:dyDescent="0.35">
      <c r="A237" s="6" t="s">
        <v>253</v>
      </c>
      <c r="B237" s="6" t="s">
        <v>262</v>
      </c>
      <c r="C237" s="6">
        <v>-0.25003901939571499</v>
      </c>
      <c r="D237" s="6">
        <v>-1.1947885573187804</v>
      </c>
      <c r="E237" s="6">
        <v>-0.33700055913246663</v>
      </c>
      <c r="F237" s="6">
        <v>-0.40161560700235166</v>
      </c>
      <c r="G237" s="6">
        <v>-0.10940691842888441</v>
      </c>
      <c r="H237" s="6">
        <v>-0.70196113748648536</v>
      </c>
      <c r="I237" s="6">
        <v>0.58734947655707759</v>
      </c>
      <c r="J237" s="6">
        <v>0.14443719271675098</v>
      </c>
      <c r="K237" s="6">
        <v>-7.7377359752613006E-2</v>
      </c>
      <c r="L237" s="6">
        <v>0.68378197996613654</v>
      </c>
      <c r="N237" s="8">
        <f>SQRT((C237-Sheet4!$C$525)^2+(D237-Sheet4!$D$525)^2+(E237-Sheet4!$E$525)^2+(F237-Sheet4!$F$525)^2+(G237-Sheet4!$G$525)^2+(H237-Sheet4!$H$525)^2+(I237-Sheet4!$I$525)^2+(J237-Sheet4!$J$525)^2+(K237-Sheet4!$K$525)^2+(L237-Sheet4!$L$525)^2)</f>
        <v>1.752440071759013</v>
      </c>
      <c r="O237" s="8">
        <f>SQRT((C237-Sheet4!$C$526)^2+(D237-Sheet4!$D$526)^2+(E237-Sheet4!$E$526)^2+(F237-Sheet4!$F$526)^2+(G237-Sheet4!$G$526)^2+(H237-Sheet4!$H$526)^2+(I237-Sheet4!$I$526)^2+(J237-Sheet4!$J$526)^2+(K237-Sheet4!$K$526)^2+(L237-Sheet4!$L$526)^2)</f>
        <v>3.66268462596629</v>
      </c>
      <c r="P237" s="12">
        <f t="shared" si="3"/>
        <v>0</v>
      </c>
      <c r="Q237" s="11">
        <f>IF(P237=Sheet1!$M237, 1, 0)</f>
        <v>1</v>
      </c>
    </row>
    <row r="238" spans="1:17" x14ac:dyDescent="0.35">
      <c r="A238" s="6" t="s">
        <v>253</v>
      </c>
      <c r="B238" s="6" t="s">
        <v>263</v>
      </c>
      <c r="C238" s="6">
        <v>-0.56407211148308389</v>
      </c>
      <c r="D238" s="6">
        <v>-0.62397538652490159</v>
      </c>
      <c r="E238" s="6">
        <v>0.69707578846186946</v>
      </c>
      <c r="F238" s="6">
        <v>0.22389377691023513</v>
      </c>
      <c r="G238" s="6">
        <v>0.3086983311804028</v>
      </c>
      <c r="H238" s="6">
        <v>0.21264007723002179</v>
      </c>
      <c r="I238" s="6">
        <v>0.57523705555722882</v>
      </c>
      <c r="J238" s="6">
        <v>0.13684534109016222</v>
      </c>
      <c r="K238" s="6">
        <v>0.44686452794366632</v>
      </c>
      <c r="L238" s="6">
        <v>0.70012911387170906</v>
      </c>
      <c r="N238" s="8">
        <f>SQRT((C238-Sheet4!$C$525)^2+(D238-Sheet4!$D$525)^2+(E238-Sheet4!$E$525)^2+(F238-Sheet4!$F$525)^2+(G238-Sheet4!$G$525)^2+(H238-Sheet4!$H$525)^2+(I238-Sheet4!$I$525)^2+(J238-Sheet4!$J$525)^2+(K238-Sheet4!$K$525)^2+(L238-Sheet4!$L$525)^2)</f>
        <v>2.1814114041164072</v>
      </c>
      <c r="O238" s="8">
        <f>SQRT((C238-Sheet4!$C$526)^2+(D238-Sheet4!$D$526)^2+(E238-Sheet4!$E$526)^2+(F238-Sheet4!$F$526)^2+(G238-Sheet4!$G$526)^2+(H238-Sheet4!$H$526)^2+(I238-Sheet4!$I$526)^2+(J238-Sheet4!$J$526)^2+(K238-Sheet4!$K$526)^2+(L238-Sheet4!$L$526)^2)</f>
        <v>2.4767748045302556</v>
      </c>
      <c r="P238" s="12">
        <f t="shared" si="3"/>
        <v>0</v>
      </c>
      <c r="Q238" s="11">
        <f>IF(P238=Sheet1!$M238, 1, 0)</f>
        <v>1</v>
      </c>
    </row>
    <row r="239" spans="1:17" x14ac:dyDescent="0.35">
      <c r="A239" s="6" t="s">
        <v>253</v>
      </c>
      <c r="B239" s="6" t="s">
        <v>264</v>
      </c>
      <c r="C239" s="6">
        <v>0.3297143813809662</v>
      </c>
      <c r="D239" s="6">
        <v>-1.5323662389710742</v>
      </c>
      <c r="E239" s="6">
        <v>0.13454120250656088</v>
      </c>
      <c r="F239" s="6">
        <v>-0.51408404302604171</v>
      </c>
      <c r="G239" s="6">
        <v>-0.80334549243318876</v>
      </c>
      <c r="H239" s="6">
        <v>-1.3133111838370364</v>
      </c>
      <c r="I239" s="6">
        <v>0.52933735492622291</v>
      </c>
      <c r="J239" s="6">
        <v>-0.22756353698609008</v>
      </c>
      <c r="K239" s="6">
        <v>0.69255400964013314</v>
      </c>
      <c r="L239" s="6">
        <v>-0.16804658500661951</v>
      </c>
      <c r="N239" s="8">
        <f>SQRT((C239-Sheet4!$C$525)^2+(D239-Sheet4!$D$525)^2+(E239-Sheet4!$E$525)^2+(F239-Sheet4!$F$525)^2+(G239-Sheet4!$G$525)^2+(H239-Sheet4!$H$525)^2+(I239-Sheet4!$I$525)^2+(J239-Sheet4!$J$525)^2+(K239-Sheet4!$K$525)^2+(L239-Sheet4!$L$525)^2)</f>
        <v>1.9804843556207969</v>
      </c>
      <c r="O239" s="8">
        <f>SQRT((C239-Sheet4!$C$526)^2+(D239-Sheet4!$D$526)^2+(E239-Sheet4!$E$526)^2+(F239-Sheet4!$F$526)^2+(G239-Sheet4!$G$526)^2+(H239-Sheet4!$H$526)^2+(I239-Sheet4!$I$526)^2+(J239-Sheet4!$J$526)^2+(K239-Sheet4!$K$526)^2+(L239-Sheet4!$L$526)^2)</f>
        <v>4.6672952723916366</v>
      </c>
      <c r="P239" s="12">
        <f t="shared" si="3"/>
        <v>0</v>
      </c>
      <c r="Q239" s="11">
        <f>IF(P239=Sheet1!$M239, 1, 0)</f>
        <v>1</v>
      </c>
    </row>
    <row r="240" spans="1:17" x14ac:dyDescent="0.35">
      <c r="A240" s="6" t="s">
        <v>253</v>
      </c>
      <c r="B240" s="6" t="s">
        <v>265</v>
      </c>
      <c r="C240" s="6">
        <v>4.7889811558968473E-2</v>
      </c>
      <c r="D240" s="6">
        <v>-1.1149974689282383</v>
      </c>
      <c r="E240" s="6">
        <v>-0.12112284638209933</v>
      </c>
      <c r="F240" s="6">
        <v>-0.33074508567235295</v>
      </c>
      <c r="G240" s="6">
        <v>-0.12102095314025532</v>
      </c>
      <c r="H240" s="6">
        <v>-0.93788300559357041</v>
      </c>
      <c r="I240" s="6">
        <v>0.87613509302715742</v>
      </c>
      <c r="J240" s="6">
        <v>-0.52364575042304495</v>
      </c>
      <c r="K240" s="6">
        <v>0.338886348089806</v>
      </c>
      <c r="L240" s="6">
        <v>-0.17234719765172146</v>
      </c>
      <c r="N240" s="8">
        <f>SQRT((C240-Sheet4!$C$525)^2+(D240-Sheet4!$D$525)^2+(E240-Sheet4!$E$525)^2+(F240-Sheet4!$F$525)^2+(G240-Sheet4!$G$525)^2+(H240-Sheet4!$H$525)^2+(I240-Sheet4!$I$525)^2+(J240-Sheet4!$J$525)^2+(K240-Sheet4!$K$525)^2+(L240-Sheet4!$L$525)^2)</f>
        <v>1.5844717289656889</v>
      </c>
      <c r="O240" s="8">
        <f>SQRT((C240-Sheet4!$C$526)^2+(D240-Sheet4!$D$526)^2+(E240-Sheet4!$E$526)^2+(F240-Sheet4!$F$526)^2+(G240-Sheet4!$G$526)^2+(H240-Sheet4!$H$526)^2+(I240-Sheet4!$I$526)^2+(J240-Sheet4!$J$526)^2+(K240-Sheet4!$K$526)^2+(L240-Sheet4!$L$526)^2)</f>
        <v>4.0326975289315428</v>
      </c>
      <c r="P240" s="12">
        <f t="shared" si="3"/>
        <v>0</v>
      </c>
      <c r="Q240" s="11">
        <f>IF(P240=Sheet1!$M240, 1, 0)</f>
        <v>1</v>
      </c>
    </row>
    <row r="241" spans="1:17" x14ac:dyDescent="0.35">
      <c r="A241" s="6" t="s">
        <v>253</v>
      </c>
      <c r="B241" s="6" t="s">
        <v>266</v>
      </c>
      <c r="C241" s="6">
        <v>0.89067947750284748</v>
      </c>
      <c r="D241" s="6">
        <v>-1.4218862704303237</v>
      </c>
      <c r="E241" s="6">
        <v>0.23732257086381767</v>
      </c>
      <c r="F241" s="6">
        <v>-0.56492593876277875</v>
      </c>
      <c r="G241" s="6">
        <v>-0.66688058457460209</v>
      </c>
      <c r="H241" s="6">
        <v>-0.81130392110689231</v>
      </c>
      <c r="I241" s="6">
        <v>0.51276246303169348</v>
      </c>
      <c r="J241" s="6">
        <v>-0.19340020466644148</v>
      </c>
      <c r="K241" s="6">
        <v>0.59083543441548092</v>
      </c>
      <c r="L241" s="6">
        <v>3.5528019202226022E-2</v>
      </c>
      <c r="N241" s="8">
        <f>SQRT((C241-Sheet4!$C$525)^2+(D241-Sheet4!$D$525)^2+(E241-Sheet4!$E$525)^2+(F241-Sheet4!$F$525)^2+(G241-Sheet4!$G$525)^2+(H241-Sheet4!$H$525)^2+(I241-Sheet4!$I$525)^2+(J241-Sheet4!$J$525)^2+(K241-Sheet4!$K$525)^2+(L241-Sheet4!$L$525)^2)</f>
        <v>1.8052526363143577</v>
      </c>
      <c r="O241" s="8">
        <f>SQRT((C241-Sheet4!$C$526)^2+(D241-Sheet4!$D$526)^2+(E241-Sheet4!$E$526)^2+(F241-Sheet4!$F$526)^2+(G241-Sheet4!$G$526)^2+(H241-Sheet4!$H$526)^2+(I241-Sheet4!$I$526)^2+(J241-Sheet4!$J$526)^2+(K241-Sheet4!$K$526)^2+(L241-Sheet4!$L$526)^2)</f>
        <v>4.4529545291957993</v>
      </c>
      <c r="P241" s="12">
        <f t="shared" si="3"/>
        <v>0</v>
      </c>
      <c r="Q241" s="11">
        <f>IF(P241=Sheet1!$M241, 1, 0)</f>
        <v>1</v>
      </c>
    </row>
    <row r="242" spans="1:17" x14ac:dyDescent="0.35">
      <c r="A242" s="6" t="s">
        <v>253</v>
      </c>
      <c r="B242" s="6" t="s">
        <v>267</v>
      </c>
      <c r="C242" s="6">
        <v>-0.34532256443077147</v>
      </c>
      <c r="D242" s="6">
        <v>-0.6301131625549431</v>
      </c>
      <c r="E242" s="6">
        <v>-1.0236853996671774E-2</v>
      </c>
      <c r="F242" s="6">
        <v>-0.15356878234735838</v>
      </c>
      <c r="G242" s="6">
        <v>0.17223342332181613</v>
      </c>
      <c r="H242" s="6">
        <v>0.30797836639658327</v>
      </c>
      <c r="I242" s="6">
        <v>0.77923572502836713</v>
      </c>
      <c r="J242" s="6">
        <v>0.36839681570111432</v>
      </c>
      <c r="K242" s="6">
        <v>-6.7987952808798685E-2</v>
      </c>
      <c r="L242" s="6">
        <v>1.7899966096458755</v>
      </c>
      <c r="N242" s="8">
        <f>SQRT((C242-Sheet4!$C$525)^2+(D242-Sheet4!$D$525)^2+(E242-Sheet4!$E$525)^2+(F242-Sheet4!$F$525)^2+(G242-Sheet4!$G$525)^2+(H242-Sheet4!$H$525)^2+(I242-Sheet4!$I$525)^2+(J242-Sheet4!$J$525)^2+(K242-Sheet4!$K$525)^2+(L242-Sheet4!$L$525)^2)</f>
        <v>2.6333887977948147</v>
      </c>
      <c r="O242" s="8">
        <f>SQRT((C242-Sheet4!$C$526)^2+(D242-Sheet4!$D$526)^2+(E242-Sheet4!$E$526)^2+(F242-Sheet4!$F$526)^2+(G242-Sheet4!$G$526)^2+(H242-Sheet4!$H$526)^2+(I242-Sheet4!$I$526)^2+(J242-Sheet4!$J$526)^2+(K242-Sheet4!$K$526)^2+(L242-Sheet4!$L$526)^2)</f>
        <v>2.8935262628637117</v>
      </c>
      <c r="P242" s="12">
        <f t="shared" si="3"/>
        <v>0</v>
      </c>
      <c r="Q242" s="11">
        <f>IF(P242=Sheet1!$M242, 1, 0)</f>
        <v>1</v>
      </c>
    </row>
    <row r="243" spans="1:17" x14ac:dyDescent="0.35">
      <c r="A243" s="6" t="s">
        <v>253</v>
      </c>
      <c r="B243" s="6" t="s">
        <v>268</v>
      </c>
      <c r="C243" s="6">
        <v>-0.85126476834931031</v>
      </c>
      <c r="D243" s="6">
        <v>1.4014907033888628</v>
      </c>
      <c r="E243" s="6">
        <v>1.566849303485107</v>
      </c>
      <c r="F243" s="6">
        <v>1.6520888480604032</v>
      </c>
      <c r="G243" s="6">
        <v>1.2784702295797243</v>
      </c>
      <c r="H243" s="6">
        <v>0.9613418961086696</v>
      </c>
      <c r="I243" s="6">
        <v>0.74481094955511218</v>
      </c>
      <c r="J243" s="6">
        <v>2.2056249093355524</v>
      </c>
      <c r="K243" s="6">
        <v>-0.46860264907819527</v>
      </c>
      <c r="L243" s="6">
        <v>2.4872652682932488</v>
      </c>
      <c r="N243" s="8">
        <f>SQRT((C243-Sheet4!$C$525)^2+(D243-Sheet4!$D$525)^2+(E243-Sheet4!$E$525)^2+(F243-Sheet4!$F$525)^2+(G243-Sheet4!$G$525)^2+(H243-Sheet4!$H$525)^2+(I243-Sheet4!$I$525)^2+(J243-Sheet4!$J$525)^2+(K243-Sheet4!$K$525)^2+(L243-Sheet4!$L$525)^2)</f>
        <v>5.6474821788826457</v>
      </c>
      <c r="O243" s="8">
        <f>SQRT((C243-Sheet4!$C$526)^2+(D243-Sheet4!$D$526)^2+(E243-Sheet4!$E$526)^2+(F243-Sheet4!$F$526)^2+(G243-Sheet4!$G$526)^2+(H243-Sheet4!$H$526)^2+(I243-Sheet4!$I$526)^2+(J243-Sheet4!$J$526)^2+(K243-Sheet4!$K$526)^2+(L243-Sheet4!$L$526)^2)</f>
        <v>2.3820809771399829</v>
      </c>
      <c r="P243" s="12">
        <f t="shared" si="3"/>
        <v>1</v>
      </c>
      <c r="Q243" s="11">
        <f>IF(P243=Sheet1!$M243, 1, 0)</f>
        <v>0</v>
      </c>
    </row>
    <row r="244" spans="1:17" x14ac:dyDescent="0.35">
      <c r="A244" s="6" t="s">
        <v>253</v>
      </c>
      <c r="B244" s="6" t="s">
        <v>269</v>
      </c>
      <c r="C244" s="6">
        <v>-0.22185656241351531</v>
      </c>
      <c r="D244" s="6">
        <v>0.12483328914018736</v>
      </c>
      <c r="E244" s="6">
        <v>0.92805757326473681</v>
      </c>
      <c r="F244" s="6">
        <v>0.65065756839739541</v>
      </c>
      <c r="G244" s="6">
        <v>0.85165445393690997</v>
      </c>
      <c r="H244" s="6">
        <v>0.54605477211195208</v>
      </c>
      <c r="I244" s="6">
        <v>0.84362280508019538</v>
      </c>
      <c r="J244" s="6">
        <v>0.1823964508496938</v>
      </c>
      <c r="K244" s="6">
        <v>0.15735781384273634</v>
      </c>
      <c r="L244" s="6">
        <v>0.79891311232576523</v>
      </c>
      <c r="N244" s="8">
        <f>SQRT((C244-Sheet4!$C$525)^2+(D244-Sheet4!$D$525)^2+(E244-Sheet4!$E$525)^2+(F244-Sheet4!$F$525)^2+(G244-Sheet4!$G$525)^2+(H244-Sheet4!$H$525)^2+(I244-Sheet4!$I$525)^2+(J244-Sheet4!$J$525)^2+(K244-Sheet4!$K$525)^2+(L244-Sheet4!$L$525)^2)</f>
        <v>2.8059344382861542</v>
      </c>
      <c r="O244" s="8">
        <f>SQRT((C244-Sheet4!$C$526)^2+(D244-Sheet4!$D$526)^2+(E244-Sheet4!$E$526)^2+(F244-Sheet4!$F$526)^2+(G244-Sheet4!$G$526)^2+(H244-Sheet4!$H$526)^2+(I244-Sheet4!$I$526)^2+(J244-Sheet4!$J$526)^2+(K244-Sheet4!$K$526)^2+(L244-Sheet4!$L$526)^2)</f>
        <v>1.6147384107841898</v>
      </c>
      <c r="P244" s="12">
        <f t="shared" si="3"/>
        <v>1</v>
      </c>
      <c r="Q244" s="11">
        <f>IF(P244=Sheet1!$M244, 1, 0)</f>
        <v>0</v>
      </c>
    </row>
    <row r="245" spans="1:17" x14ac:dyDescent="0.35">
      <c r="A245" s="6" t="s">
        <v>253</v>
      </c>
      <c r="B245" s="6" t="s">
        <v>270</v>
      </c>
      <c r="C245" s="6">
        <v>-0.30506191159905743</v>
      </c>
      <c r="D245" s="6">
        <v>6.9593304869812064E-2</v>
      </c>
      <c r="E245" s="6">
        <v>0.39388917140802598</v>
      </c>
      <c r="F245" s="6">
        <v>0.54281112289522493</v>
      </c>
      <c r="G245" s="6">
        <v>0.82261936715848472</v>
      </c>
      <c r="H245" s="6">
        <v>0.74050179125957216</v>
      </c>
      <c r="I245" s="6">
        <v>0.9118348601846068</v>
      </c>
      <c r="J245" s="6">
        <v>0.77076495191030947</v>
      </c>
      <c r="K245" s="6">
        <v>0.19178563930338741</v>
      </c>
      <c r="L245" s="6">
        <v>0.13768501686359072</v>
      </c>
      <c r="N245" s="8">
        <f>SQRT((C245-Sheet4!$C$525)^2+(D245-Sheet4!$D$525)^2+(E245-Sheet4!$E$525)^2+(F245-Sheet4!$F$525)^2+(G245-Sheet4!$G$525)^2+(H245-Sheet4!$H$525)^2+(I245-Sheet4!$I$525)^2+(J245-Sheet4!$J$525)^2+(K245-Sheet4!$K$525)^2+(L245-Sheet4!$L$525)^2)</f>
        <v>2.6592455228877951</v>
      </c>
      <c r="O245" s="8">
        <f>SQRT((C245-Sheet4!$C$526)^2+(D245-Sheet4!$D$526)^2+(E245-Sheet4!$E$526)^2+(F245-Sheet4!$F$526)^2+(G245-Sheet4!$G$526)^2+(H245-Sheet4!$H$526)^2+(I245-Sheet4!$I$526)^2+(J245-Sheet4!$J$526)^2+(K245-Sheet4!$K$526)^2+(L245-Sheet4!$L$526)^2)</f>
        <v>1.6864473232830768</v>
      </c>
      <c r="P245" s="12">
        <f t="shared" si="3"/>
        <v>1</v>
      </c>
      <c r="Q245" s="11">
        <f>IF(P245=Sheet1!$M245, 1, 0)</f>
        <v>0</v>
      </c>
    </row>
    <row r="246" spans="1:17" x14ac:dyDescent="0.35">
      <c r="A246" s="6" t="s">
        <v>253</v>
      </c>
      <c r="B246" s="6" t="s">
        <v>271</v>
      </c>
      <c r="C246" s="6">
        <v>-5.6787885803487995E-2</v>
      </c>
      <c r="D246" s="6">
        <v>-0.40301544944339984</v>
      </c>
      <c r="E246" s="6">
        <v>0.68049814840424738</v>
      </c>
      <c r="F246" s="6">
        <v>0.31479292383349328</v>
      </c>
      <c r="G246" s="6">
        <v>0.56420709483052189</v>
      </c>
      <c r="H246" s="6">
        <v>0.2498058509729186</v>
      </c>
      <c r="I246" s="6">
        <v>0.88569753065861745</v>
      </c>
      <c r="J246" s="6">
        <v>-3.0175394694786566E-2</v>
      </c>
      <c r="K246" s="6">
        <v>-0.81757560715661526</v>
      </c>
      <c r="L246" s="6">
        <v>-6.9442346394103502E-2</v>
      </c>
      <c r="N246" s="8">
        <f>SQRT((C246-Sheet4!$C$525)^2+(D246-Sheet4!$D$525)^2+(E246-Sheet4!$E$525)^2+(F246-Sheet4!$F$525)^2+(G246-Sheet4!$G$525)^2+(H246-Sheet4!$H$525)^2+(I246-Sheet4!$I$525)^2+(J246-Sheet4!$J$525)^2+(K246-Sheet4!$K$525)^2+(L246-Sheet4!$L$525)^2)</f>
        <v>2.2947749458097784</v>
      </c>
      <c r="O246" s="8">
        <f>SQRT((C246-Sheet4!$C$526)^2+(D246-Sheet4!$D$526)^2+(E246-Sheet4!$E$526)^2+(F246-Sheet4!$F$526)^2+(G246-Sheet4!$G$526)^2+(H246-Sheet4!$H$526)^2+(I246-Sheet4!$I$526)^2+(J246-Sheet4!$J$526)^2+(K246-Sheet4!$K$526)^2+(L246-Sheet4!$L$526)^2)</f>
        <v>2.2949467918174533</v>
      </c>
      <c r="P246" s="12">
        <f t="shared" si="3"/>
        <v>0</v>
      </c>
      <c r="Q246" s="11">
        <f>IF(P246=Sheet1!$M246, 1, 0)</f>
        <v>1</v>
      </c>
    </row>
    <row r="247" spans="1:17" x14ac:dyDescent="0.35">
      <c r="A247" s="6" t="s">
        <v>253</v>
      </c>
      <c r="B247" s="6" t="s">
        <v>272</v>
      </c>
      <c r="C247" s="6">
        <v>-4.8735755237145136E-2</v>
      </c>
      <c r="D247" s="6">
        <v>-0.37846434532323298</v>
      </c>
      <c r="E247" s="6">
        <v>0.49114465974607541</v>
      </c>
      <c r="F247" s="6">
        <v>0.30092695226892807</v>
      </c>
      <c r="G247" s="6">
        <v>0.53517200805210074</v>
      </c>
      <c r="H247" s="6">
        <v>0.64031579247437176</v>
      </c>
      <c r="I247" s="6">
        <v>0.63516166471437552</v>
      </c>
      <c r="J247" s="6">
        <v>-2.6379468881492351E-2</v>
      </c>
      <c r="K247" s="6">
        <v>-0.26516549862889294</v>
      </c>
      <c r="L247" s="6">
        <v>-0.17952471998212227</v>
      </c>
      <c r="N247" s="8">
        <f>SQRT((C247-Sheet4!$C$525)^2+(D247-Sheet4!$D$525)^2+(E247-Sheet4!$E$525)^2+(F247-Sheet4!$F$525)^2+(G247-Sheet4!$G$525)^2+(H247-Sheet4!$H$525)^2+(I247-Sheet4!$I$525)^2+(J247-Sheet4!$J$525)^2+(K247-Sheet4!$K$525)^2+(L247-Sheet4!$L$525)^2)</f>
        <v>1.9995338274551171</v>
      </c>
      <c r="O247" s="8">
        <f>SQRT((C247-Sheet4!$C$526)^2+(D247-Sheet4!$D$526)^2+(E247-Sheet4!$E$526)^2+(F247-Sheet4!$F$526)^2+(G247-Sheet4!$G$526)^2+(H247-Sheet4!$H$526)^2+(I247-Sheet4!$I$526)^2+(J247-Sheet4!$J$526)^2+(K247-Sheet4!$K$526)^2+(L247-Sheet4!$L$526)^2)</f>
        <v>2.3322658779483141</v>
      </c>
      <c r="P247" s="12">
        <f t="shared" si="3"/>
        <v>0</v>
      </c>
      <c r="Q247" s="11">
        <f>IF(P247=Sheet1!$M247, 1, 0)</f>
        <v>1</v>
      </c>
    </row>
    <row r="248" spans="1:17" x14ac:dyDescent="0.35">
      <c r="A248" s="6" t="s">
        <v>253</v>
      </c>
      <c r="B248" s="6" t="s">
        <v>273</v>
      </c>
      <c r="C248" s="6">
        <v>-0.21648847536928667</v>
      </c>
      <c r="D248" s="6">
        <v>-4.7024439700981191E-2</v>
      </c>
      <c r="E248" s="6">
        <v>0.5556132599701612</v>
      </c>
      <c r="F248" s="6">
        <v>0.65065756839739541</v>
      </c>
      <c r="G248" s="6">
        <v>0.86907550600396422</v>
      </c>
      <c r="H248" s="6">
        <v>0.603150018731475</v>
      </c>
      <c r="I248" s="6">
        <v>0.94115966892108338</v>
      </c>
      <c r="J248" s="6">
        <v>-0.4553190857837478</v>
      </c>
      <c r="K248" s="6">
        <v>0.60178974251659834</v>
      </c>
      <c r="L248" s="6">
        <v>-0.17859067087872441</v>
      </c>
      <c r="N248" s="8">
        <f>SQRT((C248-Sheet4!$C$525)^2+(D248-Sheet4!$D$525)^2+(E248-Sheet4!$E$525)^2+(F248-Sheet4!$F$525)^2+(G248-Sheet4!$G$525)^2+(H248-Sheet4!$H$525)^2+(I248-Sheet4!$I$525)^2+(J248-Sheet4!$J$525)^2+(K248-Sheet4!$K$525)^2+(L248-Sheet4!$L$525)^2)</f>
        <v>2.4538877845906013</v>
      </c>
      <c r="O248" s="8">
        <f>SQRT((C248-Sheet4!$C$526)^2+(D248-Sheet4!$D$526)^2+(E248-Sheet4!$E$526)^2+(F248-Sheet4!$F$526)^2+(G248-Sheet4!$G$526)^2+(H248-Sheet4!$H$526)^2+(I248-Sheet4!$I$526)^2+(J248-Sheet4!$J$526)^2+(K248-Sheet4!$K$526)^2+(L248-Sheet4!$L$526)^2)</f>
        <v>2.5033117461846932</v>
      </c>
      <c r="P248" s="12">
        <f t="shared" si="3"/>
        <v>0</v>
      </c>
      <c r="Q248" s="11">
        <f>IF(P248=Sheet1!$M248, 1, 0)</f>
        <v>1</v>
      </c>
    </row>
    <row r="249" spans="1:17" x14ac:dyDescent="0.35">
      <c r="A249" s="6" t="s">
        <v>253</v>
      </c>
      <c r="B249" s="6" t="s">
        <v>274</v>
      </c>
      <c r="C249" s="6">
        <v>0.4424442093097653</v>
      </c>
      <c r="D249" s="6">
        <v>-0.72217980300556894</v>
      </c>
      <c r="E249" s="6">
        <v>0.41783465149125787</v>
      </c>
      <c r="F249" s="6">
        <v>0.17151121766632563</v>
      </c>
      <c r="G249" s="6">
        <v>0.79939129773574702</v>
      </c>
      <c r="H249" s="6">
        <v>0.1156858848572466</v>
      </c>
      <c r="I249" s="6">
        <v>0.9424346606052777</v>
      </c>
      <c r="J249" s="6">
        <v>-0.30727797906527027</v>
      </c>
      <c r="K249" s="6">
        <v>0.53449899275259716</v>
      </c>
      <c r="L249" s="6">
        <v>-0.17009843400343092</v>
      </c>
      <c r="N249" s="8">
        <f>SQRT((C249-Sheet4!$C$525)^2+(D249-Sheet4!$D$525)^2+(E249-Sheet4!$E$525)^2+(F249-Sheet4!$F$525)^2+(G249-Sheet4!$G$525)^2+(H249-Sheet4!$H$525)^2+(I249-Sheet4!$I$525)^2+(J249-Sheet4!$J$525)^2+(K249-Sheet4!$K$525)^2+(L249-Sheet4!$L$525)^2)</f>
        <v>2.0178830757588164</v>
      </c>
      <c r="O249" s="8">
        <f>SQRT((C249-Sheet4!$C$526)^2+(D249-Sheet4!$D$526)^2+(E249-Sheet4!$E$526)^2+(F249-Sheet4!$F$526)^2+(G249-Sheet4!$G$526)^2+(H249-Sheet4!$H$526)^2+(I249-Sheet4!$I$526)^2+(J249-Sheet4!$J$526)^2+(K249-Sheet4!$K$526)^2+(L249-Sheet4!$L$526)^2)</f>
        <v>3.1199094617919019</v>
      </c>
      <c r="P249" s="12">
        <f t="shared" si="3"/>
        <v>0</v>
      </c>
      <c r="Q249" s="11">
        <f>IF(P249=Sheet1!$M249, 1, 0)</f>
        <v>1</v>
      </c>
    </row>
    <row r="250" spans="1:17" x14ac:dyDescent="0.35">
      <c r="A250" s="6" t="s">
        <v>253</v>
      </c>
      <c r="B250" s="6" t="s">
        <v>275</v>
      </c>
      <c r="C250" s="6">
        <v>0.13377920426662479</v>
      </c>
      <c r="D250" s="6">
        <v>-0.6485264906450684</v>
      </c>
      <c r="E250" s="6">
        <v>-3.8234646093989029E-2</v>
      </c>
      <c r="F250" s="6">
        <v>-5.1884990873884256E-2</v>
      </c>
      <c r="G250" s="6">
        <v>0.59904919896463049</v>
      </c>
      <c r="H250" s="6">
        <v>0.74104042566164263</v>
      </c>
      <c r="I250" s="6">
        <v>0.77158577492319913</v>
      </c>
      <c r="J250" s="6">
        <v>-9.0910207707495333E-2</v>
      </c>
      <c r="K250" s="6">
        <v>0.37174927239315614</v>
      </c>
      <c r="L250" s="6">
        <v>0.91677793991597745</v>
      </c>
      <c r="N250" s="8">
        <f>SQRT((C250-Sheet4!$C$525)^2+(D250-Sheet4!$D$525)^2+(E250-Sheet4!$E$525)^2+(F250-Sheet4!$F$525)^2+(G250-Sheet4!$G$525)^2+(H250-Sheet4!$H$525)^2+(I250-Sheet4!$I$525)^2+(J250-Sheet4!$J$525)^2+(K250-Sheet4!$K$525)^2+(L250-Sheet4!$L$525)^2)</f>
        <v>2.1475315332973399</v>
      </c>
      <c r="O250" s="8">
        <f>SQRT((C250-Sheet4!$C$526)^2+(D250-Sheet4!$D$526)^2+(E250-Sheet4!$E$526)^2+(F250-Sheet4!$F$526)^2+(G250-Sheet4!$G$526)^2+(H250-Sheet4!$H$526)^2+(I250-Sheet4!$I$526)^2+(J250-Sheet4!$J$526)^2+(K250-Sheet4!$K$526)^2+(L250-Sheet4!$L$526)^2)</f>
        <v>2.9098325771587916</v>
      </c>
      <c r="P250" s="12">
        <f t="shared" si="3"/>
        <v>0</v>
      </c>
      <c r="Q250" s="11">
        <f>IF(P250=Sheet1!$M250, 1, 0)</f>
        <v>1</v>
      </c>
    </row>
    <row r="251" spans="1:17" x14ac:dyDescent="0.35">
      <c r="A251" s="6" t="s">
        <v>253</v>
      </c>
      <c r="B251" s="6" t="s">
        <v>276</v>
      </c>
      <c r="C251" s="6">
        <v>0.54175381962799285</v>
      </c>
      <c r="D251" s="6">
        <v>-0.77128201124590268</v>
      </c>
      <c r="E251" s="6">
        <v>2.0339682109608917E-2</v>
      </c>
      <c r="F251" s="6">
        <v>-0.15665010936170767</v>
      </c>
      <c r="G251" s="6">
        <v>0.5525930601191551</v>
      </c>
      <c r="H251" s="6">
        <v>0.3553781937788284</v>
      </c>
      <c r="I251" s="6">
        <v>0.71803612418702611</v>
      </c>
      <c r="J251" s="6">
        <v>-0.14405316909361568</v>
      </c>
      <c r="K251" s="6">
        <v>0.67377519575250444</v>
      </c>
      <c r="L251" s="6">
        <v>0.46012107834554333</v>
      </c>
      <c r="N251" s="8">
        <f>SQRT((C251-Sheet4!$C$525)^2+(D251-Sheet4!$D$525)^2+(E251-Sheet4!$E$525)^2+(F251-Sheet4!$F$525)^2+(G251-Sheet4!$G$525)^2+(H251-Sheet4!$H$525)^2+(I251-Sheet4!$I$525)^2+(J251-Sheet4!$J$525)^2+(K251-Sheet4!$K$525)^2+(L251-Sheet4!$L$525)^2)</f>
        <v>1.8138004033948616</v>
      </c>
      <c r="O251" s="8">
        <f>SQRT((C251-Sheet4!$C$526)^2+(D251-Sheet4!$D$526)^2+(E251-Sheet4!$E$526)^2+(F251-Sheet4!$F$526)^2+(G251-Sheet4!$G$526)^2+(H251-Sheet4!$H$526)^2+(I251-Sheet4!$I$526)^2+(J251-Sheet4!$J$526)^2+(K251-Sheet4!$K$526)^2+(L251-Sheet4!$L$526)^2)</f>
        <v>3.2684782982054679</v>
      </c>
      <c r="P251" s="12">
        <f t="shared" si="3"/>
        <v>0</v>
      </c>
      <c r="Q251" s="11">
        <f>IF(P251=Sheet1!$M251, 1, 0)</f>
        <v>1</v>
      </c>
    </row>
    <row r="252" spans="1:17" x14ac:dyDescent="0.35">
      <c r="A252" s="6" t="s">
        <v>253</v>
      </c>
      <c r="B252" s="6" t="s">
        <v>277</v>
      </c>
      <c r="C252" s="6">
        <v>0.21295848816899557</v>
      </c>
      <c r="D252" s="6">
        <v>-0.24343327266231607</v>
      </c>
      <c r="E252" s="6">
        <v>0.43662264355656288</v>
      </c>
      <c r="F252" s="6">
        <v>0.49196922715848784</v>
      </c>
      <c r="G252" s="6">
        <v>0.82261936715848472</v>
      </c>
      <c r="H252" s="6">
        <v>0.67317249100070098</v>
      </c>
      <c r="I252" s="6">
        <v>-0.20123288011729001</v>
      </c>
      <c r="J252" s="6">
        <v>-6.0542801201140951E-2</v>
      </c>
      <c r="K252" s="6">
        <v>0.19648034277529458</v>
      </c>
      <c r="L252" s="6">
        <v>0.12395897493554346</v>
      </c>
      <c r="N252" s="8">
        <f>SQRT((C252-Sheet4!$C$525)^2+(D252-Sheet4!$D$525)^2+(E252-Sheet4!$E$525)^2+(F252-Sheet4!$F$525)^2+(G252-Sheet4!$G$525)^2+(H252-Sheet4!$H$525)^2+(I252-Sheet4!$I$525)^2+(J252-Sheet4!$J$525)^2+(K252-Sheet4!$K$525)^2+(L252-Sheet4!$L$525)^2)</f>
        <v>1.9664487123305683</v>
      </c>
      <c r="O252" s="8">
        <f>SQRT((C252-Sheet4!$C$526)^2+(D252-Sheet4!$D$526)^2+(E252-Sheet4!$E$526)^2+(F252-Sheet4!$F$526)^2+(G252-Sheet4!$G$526)^2+(H252-Sheet4!$H$526)^2+(I252-Sheet4!$I$526)^2+(J252-Sheet4!$J$526)^2+(K252-Sheet4!$K$526)^2+(L252-Sheet4!$L$526)^2)</f>
        <v>2.4748096670576012</v>
      </c>
      <c r="P252" s="12">
        <f t="shared" si="3"/>
        <v>0</v>
      </c>
      <c r="Q252" s="11">
        <f>IF(P252=Sheet1!$M252, 1, 0)</f>
        <v>1</v>
      </c>
    </row>
    <row r="253" spans="1:17" x14ac:dyDescent="0.35">
      <c r="A253" s="6" t="s">
        <v>253</v>
      </c>
      <c r="B253" s="6" t="s">
        <v>278</v>
      </c>
      <c r="C253" s="6">
        <v>1.9707354576768584E-2</v>
      </c>
      <c r="D253" s="6">
        <v>0.68950868390402453</v>
      </c>
      <c r="E253" s="6">
        <v>1.0886764858230307</v>
      </c>
      <c r="F253" s="6">
        <v>1.0127134925832513</v>
      </c>
      <c r="G253" s="6">
        <v>0.87488252335964767</v>
      </c>
      <c r="H253" s="6">
        <v>0.77335848978590138</v>
      </c>
      <c r="I253" s="6">
        <v>0.24565170519292129</v>
      </c>
      <c r="J253" s="6">
        <v>1.1161942009200903</v>
      </c>
      <c r="K253" s="6">
        <v>-5.3919065167046297E-3</v>
      </c>
      <c r="L253" s="6">
        <v>1.6581159889102921</v>
      </c>
      <c r="N253" s="8">
        <f>SQRT((C253-Sheet4!$C$525)^2+(D253-Sheet4!$D$525)^2+(E253-Sheet4!$E$525)^2+(F253-Sheet4!$F$525)^2+(G253-Sheet4!$G$525)^2+(H253-Sheet4!$H$525)^2+(I253-Sheet4!$I$525)^2+(J253-Sheet4!$J$525)^2+(K253-Sheet4!$K$525)^2+(L253-Sheet4!$L$525)^2)</f>
        <v>3.7305643821963059</v>
      </c>
      <c r="O253" s="8">
        <f>SQRT((C253-Sheet4!$C$526)^2+(D253-Sheet4!$D$526)^2+(E253-Sheet4!$E$526)^2+(F253-Sheet4!$F$526)^2+(G253-Sheet4!$G$526)^2+(H253-Sheet4!$H$526)^2+(I253-Sheet4!$I$526)^2+(J253-Sheet4!$J$526)^2+(K253-Sheet4!$K$526)^2+(L253-Sheet4!$L$526)^2)</f>
        <v>1.4677347935145486</v>
      </c>
      <c r="P253" s="12">
        <f t="shared" si="3"/>
        <v>1</v>
      </c>
      <c r="Q253" s="11">
        <f>IF(P253=Sheet1!$M253, 1, 0)</f>
        <v>0</v>
      </c>
    </row>
    <row r="254" spans="1:17" x14ac:dyDescent="0.35">
      <c r="A254" s="6" t="s">
        <v>253</v>
      </c>
      <c r="B254" s="6" t="s">
        <v>279</v>
      </c>
      <c r="C254" s="6">
        <v>1.2476572659440446</v>
      </c>
      <c r="D254" s="6">
        <v>-1.5200906869109911</v>
      </c>
      <c r="E254" s="6">
        <v>-0.60850546407618789</v>
      </c>
      <c r="F254" s="6">
        <v>-0.85765200512581274</v>
      </c>
      <c r="G254" s="6">
        <v>0.16352289728828898</v>
      </c>
      <c r="H254" s="6">
        <v>-2.0340040138079942</v>
      </c>
      <c r="I254" s="6">
        <v>0.78114821255465916</v>
      </c>
      <c r="J254" s="6">
        <v>1.1427656816131504</v>
      </c>
      <c r="K254" s="6">
        <v>-0.12588929562898557</v>
      </c>
      <c r="L254" s="6">
        <v>-0.10053216933804988</v>
      </c>
      <c r="N254" s="8">
        <f>SQRT((C254-Sheet4!$C$525)^2+(D254-Sheet4!$D$525)^2+(E254-Sheet4!$E$525)^2+(F254-Sheet4!$F$525)^2+(G254-Sheet4!$G$525)^2+(H254-Sheet4!$H$525)^2+(I254-Sheet4!$I$525)^2+(J254-Sheet4!$J$525)^2+(K254-Sheet4!$K$525)^2+(L254-Sheet4!$L$525)^2)</f>
        <v>3.0933117703059732</v>
      </c>
      <c r="O254" s="8">
        <f>SQRT((C254-Sheet4!$C$526)^2+(D254-Sheet4!$D$526)^2+(E254-Sheet4!$E$526)^2+(F254-Sheet4!$F$526)^2+(G254-Sheet4!$G$526)^2+(H254-Sheet4!$H$526)^2+(I254-Sheet4!$I$526)^2+(J254-Sheet4!$J$526)^2+(K254-Sheet4!$K$526)^2+(L254-Sheet4!$L$526)^2)</f>
        <v>5.0476092792506098</v>
      </c>
      <c r="P254" s="12">
        <f t="shared" si="3"/>
        <v>0</v>
      </c>
      <c r="Q254" s="11">
        <f>IF(P254=Sheet1!$M254, 1, 0)</f>
        <v>0</v>
      </c>
    </row>
    <row r="255" spans="1:17" x14ac:dyDescent="0.35">
      <c r="A255" s="6" t="s">
        <v>253</v>
      </c>
      <c r="B255" s="6" t="s">
        <v>280</v>
      </c>
      <c r="C255" s="6">
        <v>1.5415600316155569</v>
      </c>
      <c r="D255" s="6">
        <v>-2.1952460502155788</v>
      </c>
      <c r="E255" s="6">
        <v>-0.56540359992637057</v>
      </c>
      <c r="F255" s="6">
        <v>-1.097995512244935</v>
      </c>
      <c r="G255" s="6">
        <v>-0.46073146844780222</v>
      </c>
      <c r="H255" s="6">
        <v>-5.2906682990966757E-2</v>
      </c>
      <c r="I255" s="6">
        <v>0.26796405966632758</v>
      </c>
      <c r="J255" s="6">
        <v>-0.61095204412881376</v>
      </c>
      <c r="K255" s="6">
        <v>0.11354058143827095</v>
      </c>
      <c r="L255" s="6">
        <v>-0.16673199583183601</v>
      </c>
      <c r="N255" s="8">
        <f>SQRT((C255-Sheet4!$C$525)^2+(D255-Sheet4!$D$525)^2+(E255-Sheet4!$E$525)^2+(F255-Sheet4!$F$525)^2+(G255-Sheet4!$G$525)^2+(H255-Sheet4!$H$525)^2+(I255-Sheet4!$I$525)^2+(J255-Sheet4!$J$525)^2+(K255-Sheet4!$K$525)^2+(L255-Sheet4!$L$525)^2)</f>
        <v>2.4396776491023169</v>
      </c>
      <c r="O255" s="8">
        <f>SQRT((C255-Sheet4!$C$526)^2+(D255-Sheet4!$D$526)^2+(E255-Sheet4!$E$526)^2+(F255-Sheet4!$F$526)^2+(G255-Sheet4!$G$526)^2+(H255-Sheet4!$H$526)^2+(I255-Sheet4!$I$526)^2+(J255-Sheet4!$J$526)^2+(K255-Sheet4!$K$526)^2+(L255-Sheet4!$L$526)^2)</f>
        <v>5.4097851989427603</v>
      </c>
      <c r="P255" s="12">
        <f t="shared" si="3"/>
        <v>0</v>
      </c>
      <c r="Q255" s="11">
        <f>IF(P255=Sheet1!$M255, 1, 0)</f>
        <v>0</v>
      </c>
    </row>
    <row r="256" spans="1:17" x14ac:dyDescent="0.35">
      <c r="A256" s="6" t="s">
        <v>253</v>
      </c>
      <c r="B256" s="6" t="s">
        <v>281</v>
      </c>
      <c r="C256" s="6">
        <v>0.40620962176122277</v>
      </c>
      <c r="D256" s="6">
        <v>-1.0658952606879044</v>
      </c>
      <c r="E256" s="6">
        <v>-0.56024611190844364</v>
      </c>
      <c r="F256" s="6">
        <v>-0.54335664966234465</v>
      </c>
      <c r="G256" s="6">
        <v>-0.57687181556149081</v>
      </c>
      <c r="H256" s="6">
        <v>-0.34215335690307785</v>
      </c>
      <c r="I256" s="6">
        <v>0.25585163866647886</v>
      </c>
      <c r="J256" s="6">
        <v>-0.74380944759411416</v>
      </c>
      <c r="K256" s="6">
        <v>-0.56093181735903319</v>
      </c>
      <c r="L256" s="6">
        <v>-0.21872573824953981</v>
      </c>
      <c r="N256" s="8">
        <f>SQRT((C256-Sheet4!$C$525)^2+(D256-Sheet4!$D$525)^2+(E256-Sheet4!$E$525)^2+(F256-Sheet4!$F$525)^2+(G256-Sheet4!$G$525)^2+(H256-Sheet4!$H$525)^2+(I256-Sheet4!$I$525)^2+(J256-Sheet4!$J$525)^2+(K256-Sheet4!$K$525)^2+(L256-Sheet4!$L$525)^2)</f>
        <v>1.2733492214370379</v>
      </c>
      <c r="O256" s="8">
        <f>SQRT((C256-Sheet4!$C$526)^2+(D256-Sheet4!$D$526)^2+(E256-Sheet4!$E$526)^2+(F256-Sheet4!$F$526)^2+(G256-Sheet4!$G$526)^2+(H256-Sheet4!$H$526)^2+(I256-Sheet4!$I$526)^2+(J256-Sheet4!$J$526)^2+(K256-Sheet4!$K$526)^2+(L256-Sheet4!$L$526)^2)</f>
        <v>4.2804543765450616</v>
      </c>
      <c r="P256" s="12">
        <f t="shared" si="3"/>
        <v>0</v>
      </c>
      <c r="Q256" s="11">
        <f>IF(P256=Sheet1!$M256, 1, 0)</f>
        <v>1</v>
      </c>
    </row>
    <row r="257" spans="1:17" x14ac:dyDescent="0.35">
      <c r="A257" s="6" t="s">
        <v>253</v>
      </c>
      <c r="B257" s="6" t="s">
        <v>282</v>
      </c>
      <c r="C257" s="6">
        <v>1.1054029592719887</v>
      </c>
      <c r="D257" s="6">
        <v>-1.5446417910311578</v>
      </c>
      <c r="E257" s="6">
        <v>-0.48804127965746763</v>
      </c>
      <c r="F257" s="6">
        <v>-0.44475418520321763</v>
      </c>
      <c r="G257" s="6">
        <v>0.5525930601191551</v>
      </c>
      <c r="H257" s="6">
        <v>-0.62170461157791113</v>
      </c>
      <c r="I257" s="6">
        <v>0.83852283834341712</v>
      </c>
      <c r="J257" s="6">
        <v>-1.0436875868443634</v>
      </c>
      <c r="K257" s="6">
        <v>0.96484681101073766</v>
      </c>
      <c r="L257" s="6">
        <v>4.5912070129967716E-2</v>
      </c>
      <c r="N257" s="8">
        <f>SQRT((C257-Sheet4!$C$525)^2+(D257-Sheet4!$D$525)^2+(E257-Sheet4!$E$525)^2+(F257-Sheet4!$F$525)^2+(G257-Sheet4!$G$525)^2+(H257-Sheet4!$H$525)^2+(I257-Sheet4!$I$525)^2+(J257-Sheet4!$J$525)^2+(K257-Sheet4!$K$525)^2+(L257-Sheet4!$L$525)^2)</f>
        <v>2.3084988901718839</v>
      </c>
      <c r="O257" s="8">
        <f>SQRT((C257-Sheet4!$C$526)^2+(D257-Sheet4!$D$526)^2+(E257-Sheet4!$E$526)^2+(F257-Sheet4!$F$526)^2+(G257-Sheet4!$G$526)^2+(H257-Sheet4!$H$526)^2+(I257-Sheet4!$I$526)^2+(J257-Sheet4!$J$526)^2+(K257-Sheet4!$K$526)^2+(L257-Sheet4!$L$526)^2)</f>
        <v>4.8566975295172998</v>
      </c>
      <c r="P257" s="12">
        <f t="shared" si="3"/>
        <v>0</v>
      </c>
      <c r="Q257" s="11">
        <f>IF(P257=Sheet1!$M257, 1, 0)</f>
        <v>0</v>
      </c>
    </row>
    <row r="258" spans="1:17" x14ac:dyDescent="0.35">
      <c r="A258" s="6" t="s">
        <v>253</v>
      </c>
      <c r="B258" s="6" t="s">
        <v>283</v>
      </c>
      <c r="C258" s="6">
        <v>-0.60701680783691214</v>
      </c>
      <c r="D258" s="6">
        <v>1.0516374696764854</v>
      </c>
      <c r="E258" s="6">
        <v>0.7493874526436991</v>
      </c>
      <c r="F258" s="6">
        <v>1.3362528290897606</v>
      </c>
      <c r="G258" s="6">
        <v>1.2726632122240409</v>
      </c>
      <c r="H258" s="6">
        <v>0.99904630425363761</v>
      </c>
      <c r="I258" s="6">
        <v>0.88059756392183908</v>
      </c>
      <c r="J258" s="6">
        <v>0.49745829335312031</v>
      </c>
      <c r="K258" s="6">
        <v>-0.33089134723559105</v>
      </c>
      <c r="L258" s="6">
        <v>1.3481782616672624</v>
      </c>
      <c r="N258" s="8">
        <f>SQRT((C258-Sheet4!$C$525)^2+(D258-Sheet4!$D$525)^2+(E258-Sheet4!$E$525)^2+(F258-Sheet4!$F$525)^2+(G258-Sheet4!$G$525)^2+(H258-Sheet4!$H$525)^2+(I258-Sheet4!$I$525)^2+(J258-Sheet4!$J$525)^2+(K258-Sheet4!$K$525)^2+(L258-Sheet4!$L$525)^2)</f>
        <v>3.9938375402858313</v>
      </c>
      <c r="O258" s="8">
        <f>SQRT((C258-Sheet4!$C$526)^2+(D258-Sheet4!$D$526)^2+(E258-Sheet4!$E$526)^2+(F258-Sheet4!$F$526)^2+(G258-Sheet4!$G$526)^2+(H258-Sheet4!$H$526)^2+(I258-Sheet4!$I$526)^2+(J258-Sheet4!$J$526)^2+(K258-Sheet4!$K$526)^2+(L258-Sheet4!$L$526)^2)</f>
        <v>1.163257841628488</v>
      </c>
      <c r="P258" s="12">
        <f t="shared" si="3"/>
        <v>1</v>
      </c>
      <c r="Q258" s="11">
        <f>IF(P258=Sheet1!$M258, 1, 0)</f>
        <v>0</v>
      </c>
    </row>
    <row r="259" spans="1:17" x14ac:dyDescent="0.35">
      <c r="A259" s="6" t="s">
        <v>253</v>
      </c>
      <c r="B259" s="6" t="s">
        <v>284</v>
      </c>
      <c r="C259" s="6">
        <v>-0.58822850318211239</v>
      </c>
      <c r="D259" s="6">
        <v>1.1743929902773191</v>
      </c>
      <c r="E259" s="6">
        <v>1.2861345985093733</v>
      </c>
      <c r="F259" s="6">
        <v>1.3947980423623687</v>
      </c>
      <c r="G259" s="6">
        <v>1.220400056022878</v>
      </c>
      <c r="H259" s="6">
        <v>1.0539870132648763</v>
      </c>
      <c r="I259" s="6">
        <v>0.7613858414496425</v>
      </c>
      <c r="J259" s="6">
        <v>0.58856051287218347</v>
      </c>
      <c r="K259" s="6">
        <v>7.7547854820316758E-2</v>
      </c>
      <c r="L259" s="6">
        <v>-0.35604077710757687</v>
      </c>
      <c r="N259" s="8">
        <f>SQRT((C259-Sheet4!$C$525)^2+(D259-Sheet4!$D$525)^2+(E259-Sheet4!$E$525)^2+(F259-Sheet4!$F$525)^2+(G259-Sheet4!$G$525)^2+(H259-Sheet4!$H$525)^2+(I259-Sheet4!$I$525)^2+(J259-Sheet4!$J$525)^2+(K259-Sheet4!$K$525)^2+(L259-Sheet4!$L$525)^2)</f>
        <v>3.8921508518503107</v>
      </c>
      <c r="O259" s="8">
        <f>SQRT((C259-Sheet4!$C$526)^2+(D259-Sheet4!$D$526)^2+(E259-Sheet4!$E$526)^2+(F259-Sheet4!$F$526)^2+(G259-Sheet4!$G$526)^2+(H259-Sheet4!$H$526)^2+(I259-Sheet4!$I$526)^2+(J259-Sheet4!$J$526)^2+(K259-Sheet4!$K$526)^2+(L259-Sheet4!$L$526)^2)</f>
        <v>1.4317819625834884</v>
      </c>
      <c r="P259" s="12">
        <f t="shared" ref="P259:P322" si="4">IF(N259&lt;=O259, 0, 1)</f>
        <v>1</v>
      </c>
      <c r="Q259" s="11">
        <f>IF(P259=Sheet1!$M259, 1, 0)</f>
        <v>0</v>
      </c>
    </row>
    <row r="260" spans="1:17" x14ac:dyDescent="0.35">
      <c r="A260" s="6" t="s">
        <v>253</v>
      </c>
      <c r="B260" s="6" t="s">
        <v>285</v>
      </c>
      <c r="C260" s="6">
        <v>-1.0270696190477946</v>
      </c>
      <c r="D260" s="6">
        <v>1.2112196464575697</v>
      </c>
      <c r="E260" s="6">
        <v>2.3349466261549292</v>
      </c>
      <c r="F260" s="6">
        <v>1.8662410755575696</v>
      </c>
      <c r="G260" s="6">
        <v>1.0752246221307642</v>
      </c>
      <c r="H260" s="6">
        <v>0.53205027765810653</v>
      </c>
      <c r="I260" s="6">
        <v>0.94307215644737541</v>
      </c>
      <c r="J260" s="6">
        <v>1.742521960113649</v>
      </c>
      <c r="K260" s="6">
        <v>-0.29333371946033371</v>
      </c>
      <c r="L260" s="6">
        <v>0.65496739465853504</v>
      </c>
      <c r="N260" s="8">
        <f>SQRT((C260-Sheet4!$C$525)^2+(D260-Sheet4!$D$525)^2+(E260-Sheet4!$E$525)^2+(F260-Sheet4!$F$525)^2+(G260-Sheet4!$G$525)^2+(H260-Sheet4!$H$525)^2+(I260-Sheet4!$I$525)^2+(J260-Sheet4!$J$525)^2+(K260-Sheet4!$K$525)^2+(L260-Sheet4!$L$525)^2)</f>
        <v>5.1179439292270192</v>
      </c>
      <c r="O260" s="8">
        <f>SQRT((C260-Sheet4!$C$526)^2+(D260-Sheet4!$D$526)^2+(E260-Sheet4!$E$526)^2+(F260-Sheet4!$F$526)^2+(G260-Sheet4!$G$526)^2+(H260-Sheet4!$H$526)^2+(I260-Sheet4!$I$526)^2+(J260-Sheet4!$J$526)^2+(K260-Sheet4!$K$526)^2+(L260-Sheet4!$L$526)^2)</f>
        <v>1.7091796956742136</v>
      </c>
      <c r="P260" s="12">
        <f t="shared" si="4"/>
        <v>1</v>
      </c>
      <c r="Q260" s="11">
        <f>IF(P260=Sheet1!$M260, 1, 0)</f>
        <v>0</v>
      </c>
    </row>
    <row r="261" spans="1:17" x14ac:dyDescent="0.35">
      <c r="A261" s="6" t="s">
        <v>253</v>
      </c>
      <c r="B261" s="6" t="s">
        <v>286</v>
      </c>
      <c r="C261" s="6">
        <v>-0.64861948242968326</v>
      </c>
      <c r="D261" s="6">
        <v>0.31510434607147958</v>
      </c>
      <c r="E261" s="6">
        <v>0.7073907644977232</v>
      </c>
      <c r="F261" s="6">
        <v>0.57516505654587502</v>
      </c>
      <c r="G261" s="6">
        <v>0.20126851010023725</v>
      </c>
      <c r="H261" s="6">
        <v>0.67694293181519738</v>
      </c>
      <c r="I261" s="6">
        <v>0.92585976871074749</v>
      </c>
      <c r="J261" s="6">
        <v>0.56578495799241746</v>
      </c>
      <c r="K261" s="6">
        <v>3.8425325887758537E-2</v>
      </c>
      <c r="L261" s="6">
        <v>-0.28423358442572877</v>
      </c>
      <c r="N261" s="8">
        <f>SQRT((C261-Sheet4!$C$525)^2+(D261-Sheet4!$D$525)^2+(E261-Sheet4!$E$525)^2+(F261-Sheet4!$F$525)^2+(G261-Sheet4!$G$525)^2+(H261-Sheet4!$H$525)^2+(I261-Sheet4!$I$525)^2+(J261-Sheet4!$J$525)^2+(K261-Sheet4!$K$525)^2+(L261-Sheet4!$L$525)^2)</f>
        <v>2.6159729317824123</v>
      </c>
      <c r="O261" s="8">
        <f>SQRT((C261-Sheet4!$C$526)^2+(D261-Sheet4!$D$526)^2+(E261-Sheet4!$E$526)^2+(F261-Sheet4!$F$526)^2+(G261-Sheet4!$G$526)^2+(H261-Sheet4!$H$526)^2+(I261-Sheet4!$I$526)^2+(J261-Sheet4!$J$526)^2+(K261-Sheet4!$K$526)^2+(L261-Sheet4!$L$526)^2)</f>
        <v>1.7125093060448862</v>
      </c>
      <c r="P261" s="12">
        <f t="shared" si="4"/>
        <v>1</v>
      </c>
      <c r="Q261" s="11">
        <f>IF(P261=Sheet1!$M261, 1, 0)</f>
        <v>0</v>
      </c>
    </row>
    <row r="262" spans="1:17" x14ac:dyDescent="0.35">
      <c r="A262" s="6" t="s">
        <v>253</v>
      </c>
      <c r="B262" s="6" t="s">
        <v>287</v>
      </c>
      <c r="C262" s="6">
        <v>-0.72377270104888269</v>
      </c>
      <c r="D262" s="6">
        <v>0.54833983521306495</v>
      </c>
      <c r="E262" s="6">
        <v>1.1159374939177868</v>
      </c>
      <c r="F262" s="6">
        <v>0.87713510395195238</v>
      </c>
      <c r="G262" s="6">
        <v>0.56420709483052189</v>
      </c>
      <c r="H262" s="6">
        <v>0.80244474749773331</v>
      </c>
      <c r="I262" s="6">
        <v>0.92522227286865066</v>
      </c>
      <c r="J262" s="6">
        <v>0.44431533196700029</v>
      </c>
      <c r="K262" s="6">
        <v>0.34358105156171315</v>
      </c>
      <c r="L262" s="6">
        <v>-0.33535443745829446</v>
      </c>
      <c r="N262" s="8">
        <f>SQRT((C262-Sheet4!$C$525)^2+(D262-Sheet4!$D$525)^2+(E262-Sheet4!$E$525)^2+(F262-Sheet4!$F$525)^2+(G262-Sheet4!$G$525)^2+(H262-Sheet4!$H$525)^2+(I262-Sheet4!$I$525)^2+(J262-Sheet4!$J$525)^2+(K262-Sheet4!$K$525)^2+(L262-Sheet4!$L$525)^2)</f>
        <v>3.1047077162234822</v>
      </c>
      <c r="O262" s="8">
        <f>SQRT((C262-Sheet4!$C$526)^2+(D262-Sheet4!$D$526)^2+(E262-Sheet4!$E$526)^2+(F262-Sheet4!$F$526)^2+(G262-Sheet4!$G$526)^2+(H262-Sheet4!$H$526)^2+(I262-Sheet4!$I$526)^2+(J262-Sheet4!$J$526)^2+(K262-Sheet4!$K$526)^2+(L262-Sheet4!$L$526)^2)</f>
        <v>1.6215058115398775</v>
      </c>
      <c r="P262" s="12">
        <f t="shared" si="4"/>
        <v>1</v>
      </c>
      <c r="Q262" s="11">
        <f>IF(P262=Sheet1!$M262, 1, 0)</f>
        <v>0</v>
      </c>
    </row>
    <row r="263" spans="1:17" x14ac:dyDescent="0.35">
      <c r="A263" s="6" t="s">
        <v>253</v>
      </c>
      <c r="B263" s="6" t="s">
        <v>288</v>
      </c>
      <c r="C263" s="6">
        <v>-0.7895317673406822</v>
      </c>
      <c r="D263" s="6">
        <v>1.2480463026378201</v>
      </c>
      <c r="E263" s="6">
        <v>1.2102458462455923</v>
      </c>
      <c r="F263" s="6">
        <v>1.310061549467807</v>
      </c>
      <c r="G263" s="6">
        <v>1.0839351481642914</v>
      </c>
      <c r="H263" s="6">
        <v>0.98504180979979217</v>
      </c>
      <c r="I263" s="6">
        <v>0.92394728118445546</v>
      </c>
      <c r="J263" s="6">
        <v>0.68725458401783501</v>
      </c>
      <c r="K263" s="6">
        <v>-0.37157877732545014</v>
      </c>
      <c r="L263" s="6">
        <v>-0.35495594955287663</v>
      </c>
      <c r="N263" s="8">
        <f>SQRT((C263-Sheet4!$C$525)^2+(D263-Sheet4!$D$525)^2+(E263-Sheet4!$E$525)^2+(F263-Sheet4!$F$525)^2+(G263-Sheet4!$G$525)^2+(H263-Sheet4!$H$525)^2+(I263-Sheet4!$I$525)^2+(J263-Sheet4!$J$525)^2+(K263-Sheet4!$K$525)^2+(L263-Sheet4!$L$525)^2)</f>
        <v>3.937902540872293</v>
      </c>
      <c r="O263" s="8">
        <f>SQRT((C263-Sheet4!$C$526)^2+(D263-Sheet4!$D$526)^2+(E263-Sheet4!$E$526)^2+(F263-Sheet4!$F$526)^2+(G263-Sheet4!$G$526)^2+(H263-Sheet4!$H$526)^2+(I263-Sheet4!$I$526)^2+(J263-Sheet4!$J$526)^2+(K263-Sheet4!$K$526)^2+(L263-Sheet4!$L$526)^2)</f>
        <v>1.2175084013670912</v>
      </c>
      <c r="P263" s="12">
        <f t="shared" si="4"/>
        <v>1</v>
      </c>
      <c r="Q263" s="11">
        <f>IF(P263=Sheet1!$M263, 1, 0)</f>
        <v>0</v>
      </c>
    </row>
    <row r="264" spans="1:17" x14ac:dyDescent="0.35">
      <c r="A264" s="6" t="s">
        <v>253</v>
      </c>
      <c r="B264" s="6" t="s">
        <v>289</v>
      </c>
      <c r="C264" s="6">
        <v>-0.96399459627810935</v>
      </c>
      <c r="D264" s="6">
        <v>1.8004461453415732</v>
      </c>
      <c r="E264" s="6">
        <v>2.1256999694276106</v>
      </c>
      <c r="F264" s="6">
        <v>1.7445286584908339</v>
      </c>
      <c r="G264" s="6">
        <v>0.92133866220512306</v>
      </c>
      <c r="H264" s="6">
        <v>1.083073270976709</v>
      </c>
      <c r="I264" s="6">
        <v>0.91757232276348277</v>
      </c>
      <c r="J264" s="6">
        <v>1.1731330881195048</v>
      </c>
      <c r="K264" s="6">
        <v>-0.40600660278610123</v>
      </c>
      <c r="L264" s="6">
        <v>-0.23435803268760869</v>
      </c>
      <c r="N264" s="8">
        <f>SQRT((C264-Sheet4!$C$525)^2+(D264-Sheet4!$D$525)^2+(E264-Sheet4!$E$525)^2+(F264-Sheet4!$F$525)^2+(G264-Sheet4!$G$525)^2+(H264-Sheet4!$H$525)^2+(I264-Sheet4!$I$525)^2+(J264-Sheet4!$J$525)^2+(K264-Sheet4!$K$525)^2+(L264-Sheet4!$L$525)^2)</f>
        <v>4.9548175455981234</v>
      </c>
      <c r="O264" s="8">
        <f>SQRT((C264-Sheet4!$C$526)^2+(D264-Sheet4!$D$526)^2+(E264-Sheet4!$E$526)^2+(F264-Sheet4!$F$526)^2+(G264-Sheet4!$G$526)^2+(H264-Sheet4!$H$526)^2+(I264-Sheet4!$I$526)^2+(J264-Sheet4!$J$526)^2+(K264-Sheet4!$K$526)^2+(L264-Sheet4!$L$526)^2)</f>
        <v>1.7789231062317892</v>
      </c>
      <c r="P264" s="12">
        <f t="shared" si="4"/>
        <v>1</v>
      </c>
      <c r="Q264" s="11">
        <f>IF(P264=Sheet1!$M264, 1, 0)</f>
        <v>0</v>
      </c>
    </row>
    <row r="265" spans="1:17" x14ac:dyDescent="0.35">
      <c r="A265" s="6" t="s">
        <v>253</v>
      </c>
      <c r="B265" s="6" t="s">
        <v>290</v>
      </c>
      <c r="C265" s="6">
        <v>-0.94520629162330949</v>
      </c>
      <c r="D265" s="6">
        <v>1.266459630727945</v>
      </c>
      <c r="E265" s="6">
        <v>2.7766486356902367</v>
      </c>
      <c r="F265" s="6">
        <v>1.9078389902512631</v>
      </c>
      <c r="G265" s="6">
        <v>1.313312333713833</v>
      </c>
      <c r="H265" s="6">
        <v>0.96942141213973443</v>
      </c>
      <c r="I265" s="6">
        <v>0.82386043397517872</v>
      </c>
      <c r="J265" s="6">
        <v>1.7539097375535317</v>
      </c>
      <c r="K265" s="6">
        <v>-0.33871585302210222</v>
      </c>
      <c r="L265" s="6">
        <v>8.0605190854491298</v>
      </c>
      <c r="N265" s="8">
        <f>SQRT((C265-Sheet4!$C$525)^2+(D265-Sheet4!$D$525)^2+(E265-Sheet4!$E$525)^2+(F265-Sheet4!$F$525)^2+(G265-Sheet4!$G$525)^2+(H265-Sheet4!$H$525)^2+(I265-Sheet4!$I$525)^2+(J265-Sheet4!$J$525)^2+(K265-Sheet4!$K$525)^2+(L265-Sheet4!$L$525)^2)</f>
        <v>9.9165520097661517</v>
      </c>
      <c r="O265" s="8">
        <f>SQRT((C265-Sheet4!$C$526)^2+(D265-Sheet4!$D$526)^2+(E265-Sheet4!$E$526)^2+(F265-Sheet4!$F$526)^2+(G265-Sheet4!$G$526)^2+(H265-Sheet4!$H$526)^2+(I265-Sheet4!$I$526)^2+(J265-Sheet4!$J$526)^2+(K265-Sheet4!$K$526)^2+(L265-Sheet4!$L$526)^2)</f>
        <v>7.7112714722916058</v>
      </c>
      <c r="P265" s="12">
        <f t="shared" si="4"/>
        <v>1</v>
      </c>
      <c r="Q265" s="11">
        <f>IF(P265=Sheet1!$M265, 1, 0)</f>
        <v>0</v>
      </c>
    </row>
    <row r="266" spans="1:17" x14ac:dyDescent="0.35">
      <c r="A266" s="6" t="s">
        <v>253</v>
      </c>
      <c r="B266" s="6" t="s">
        <v>291</v>
      </c>
      <c r="C266" s="6">
        <v>-1.0981967723838226</v>
      </c>
      <c r="D266" s="6">
        <v>0.53606428315298182</v>
      </c>
      <c r="E266" s="6">
        <v>0.94389842931979795</v>
      </c>
      <c r="F266" s="6">
        <v>0.97881889542542655</v>
      </c>
      <c r="G266" s="6">
        <v>0.86907550600396422</v>
      </c>
      <c r="H266" s="6">
        <v>0.98935088501635982</v>
      </c>
      <c r="I266" s="6">
        <v>0.94753462734205607</v>
      </c>
      <c r="J266" s="6">
        <v>0.57337680961900628</v>
      </c>
      <c r="K266" s="6">
        <v>0.66908049228059729</v>
      </c>
      <c r="L266" s="6">
        <v>-0.21924395559581894</v>
      </c>
      <c r="N266" s="8">
        <f>SQRT((C266-Sheet4!$C$525)^2+(D266-Sheet4!$D$525)^2+(E266-Sheet4!$E$525)^2+(F266-Sheet4!$F$525)^2+(G266-Sheet4!$G$525)^2+(H266-Sheet4!$H$525)^2+(I266-Sheet4!$I$525)^2+(J266-Sheet4!$J$525)^2+(K266-Sheet4!$K$525)^2+(L266-Sheet4!$L$525)^2)</f>
        <v>3.4310960658629841</v>
      </c>
      <c r="O266" s="8">
        <f>SQRT((C266-Sheet4!$C$526)^2+(D266-Sheet4!$D$526)^2+(E266-Sheet4!$E$526)^2+(F266-Sheet4!$F$526)^2+(G266-Sheet4!$G$526)^2+(H266-Sheet4!$H$526)^2+(I266-Sheet4!$I$526)^2+(J266-Sheet4!$J$526)^2+(K266-Sheet4!$K$526)^2+(L266-Sheet4!$L$526)^2)</f>
        <v>1.7821381217559489</v>
      </c>
      <c r="P266" s="12">
        <f t="shared" si="4"/>
        <v>1</v>
      </c>
      <c r="Q266" s="11">
        <f>IF(P266=Sheet1!$M266, 1, 0)</f>
        <v>0</v>
      </c>
    </row>
    <row r="267" spans="1:17" x14ac:dyDescent="0.35">
      <c r="A267" s="6" t="s">
        <v>292</v>
      </c>
      <c r="B267" s="6" t="s">
        <v>293</v>
      </c>
      <c r="C267" s="6">
        <v>-0.20843634480294382</v>
      </c>
      <c r="D267" s="6">
        <v>-0.81424644345619435</v>
      </c>
      <c r="E267" s="6">
        <v>-0.62250436012484656</v>
      </c>
      <c r="F267" s="6">
        <v>-0.73285826104472984</v>
      </c>
      <c r="G267" s="6">
        <v>-1.4130823147800653</v>
      </c>
      <c r="H267" s="6">
        <v>-1.5131445470053662</v>
      </c>
      <c r="I267" s="6">
        <v>-0.19932039259099801</v>
      </c>
      <c r="J267" s="6">
        <v>1.0023164265212616</v>
      </c>
      <c r="K267" s="6">
        <v>-1.1180366293586617</v>
      </c>
      <c r="L267" s="6">
        <v>-3.8369949895332593E-2</v>
      </c>
      <c r="N267" s="8">
        <f>SQRT((C267-Sheet4!$C$525)^2+(D267-Sheet4!$D$525)^2+(E267-Sheet4!$E$525)^2+(F267-Sheet4!$F$525)^2+(G267-Sheet4!$G$525)^2+(H267-Sheet4!$H$525)^2+(I267-Sheet4!$I$525)^2+(J267-Sheet4!$J$525)^2+(K267-Sheet4!$K$525)^2+(L267-Sheet4!$L$525)^2)</f>
        <v>2.6626178548303856</v>
      </c>
      <c r="O267" s="8">
        <f>SQRT((C267-Sheet4!$C$526)^2+(D267-Sheet4!$D$526)^2+(E267-Sheet4!$E$526)^2+(F267-Sheet4!$F$526)^2+(G267-Sheet4!$G$526)^2+(H267-Sheet4!$H$526)^2+(I267-Sheet4!$I$526)^2+(J267-Sheet4!$J$526)^2+(K267-Sheet4!$K$526)^2+(L267-Sheet4!$L$526)^2)</f>
        <v>4.6408404833099572</v>
      </c>
      <c r="P267" s="12">
        <f t="shared" si="4"/>
        <v>0</v>
      </c>
      <c r="Q267" s="11">
        <f>IF(P267=Sheet1!$M267, 1, 0)</f>
        <v>1</v>
      </c>
    </row>
    <row r="268" spans="1:17" x14ac:dyDescent="0.35">
      <c r="A268" s="6" t="s">
        <v>292</v>
      </c>
      <c r="B268" s="6" t="s">
        <v>294</v>
      </c>
      <c r="C268" s="6">
        <v>-0.26614328052840069</v>
      </c>
      <c r="D268" s="6">
        <v>-1.243890765559114</v>
      </c>
      <c r="E268" s="6">
        <v>-0.58971747201088287</v>
      </c>
      <c r="F268" s="6">
        <v>-0.90849390086254977</v>
      </c>
      <c r="G268" s="6">
        <v>-0.67559111060812926</v>
      </c>
      <c r="H268" s="6">
        <v>-1.0978574230086484</v>
      </c>
      <c r="I268" s="6">
        <v>-0.75330427937355815</v>
      </c>
      <c r="J268" s="6">
        <v>1.0630512395339704</v>
      </c>
      <c r="K268" s="6">
        <v>-0.42478541667372988</v>
      </c>
      <c r="L268" s="6">
        <v>-1.5024238595189919E-2</v>
      </c>
      <c r="N268" s="8">
        <f>SQRT((C268-Sheet4!$C$525)^2+(D268-Sheet4!$D$525)^2+(E268-Sheet4!$E$525)^2+(F268-Sheet4!$F$525)^2+(G268-Sheet4!$G$525)^2+(H268-Sheet4!$H$525)^2+(I268-Sheet4!$I$525)^2+(J268-Sheet4!$J$525)^2+(K268-Sheet4!$K$525)^2+(L268-Sheet4!$L$525)^2)</f>
        <v>2.2257893301675082</v>
      </c>
      <c r="O268" s="8">
        <f>SQRT((C268-Sheet4!$C$526)^2+(D268-Sheet4!$D$526)^2+(E268-Sheet4!$E$526)^2+(F268-Sheet4!$F$526)^2+(G268-Sheet4!$G$526)^2+(H268-Sheet4!$H$526)^2+(I268-Sheet4!$I$526)^2+(J268-Sheet4!$J$526)^2+(K268-Sheet4!$K$526)^2+(L268-Sheet4!$L$526)^2)</f>
        <v>4.5121142350750061</v>
      </c>
      <c r="P268" s="12">
        <f t="shared" si="4"/>
        <v>0</v>
      </c>
      <c r="Q268" s="11">
        <f>IF(P268=Sheet1!$M268, 1, 0)</f>
        <v>1</v>
      </c>
    </row>
    <row r="269" spans="1:17" x14ac:dyDescent="0.35">
      <c r="A269" s="6" t="s">
        <v>292</v>
      </c>
      <c r="B269" s="6" t="s">
        <v>295</v>
      </c>
      <c r="C269" s="6">
        <v>-0.69156417878351151</v>
      </c>
      <c r="D269" s="6">
        <v>0.10641996105006153</v>
      </c>
      <c r="E269" s="6">
        <v>0.71770574053357694</v>
      </c>
      <c r="F269" s="6">
        <v>0.36409415606305789</v>
      </c>
      <c r="G269" s="6">
        <v>7.9321145630865258E-2</v>
      </c>
      <c r="H269" s="6">
        <v>0.46795278381166128</v>
      </c>
      <c r="I269" s="6">
        <v>0.81812297139630275</v>
      </c>
      <c r="J269" s="6">
        <v>1.5185623371292858</v>
      </c>
      <c r="K269" s="6">
        <v>-0.86452264187568473</v>
      </c>
      <c r="L269" s="6">
        <v>1.5847998833844377</v>
      </c>
      <c r="N269" s="8">
        <f>SQRT((C269-Sheet4!$C$525)^2+(D269-Sheet4!$D$525)^2+(E269-Sheet4!$E$525)^2+(F269-Sheet4!$F$525)^2+(G269-Sheet4!$G$525)^2+(H269-Sheet4!$H$525)^2+(I269-Sheet4!$I$525)^2+(J269-Sheet4!$J$525)^2+(K269-Sheet4!$K$525)^2+(L269-Sheet4!$L$525)^2)</f>
        <v>3.5727566021343864</v>
      </c>
      <c r="O269" s="8">
        <f>SQRT((C269-Sheet4!$C$526)^2+(D269-Sheet4!$D$526)^2+(E269-Sheet4!$E$526)^2+(F269-Sheet4!$F$526)^2+(G269-Sheet4!$G$526)^2+(H269-Sheet4!$H$526)^2+(I269-Sheet4!$I$526)^2+(J269-Sheet4!$J$526)^2+(K269-Sheet4!$K$526)^2+(L269-Sheet4!$L$526)^2)</f>
        <v>1.8532094591698631</v>
      </c>
      <c r="P269" s="12">
        <f t="shared" si="4"/>
        <v>1</v>
      </c>
      <c r="Q269" s="11">
        <f>IF(P269=Sheet1!$M269, 1, 0)</f>
        <v>0</v>
      </c>
    </row>
    <row r="270" spans="1:17" x14ac:dyDescent="0.35">
      <c r="A270" s="6" t="s">
        <v>292</v>
      </c>
      <c r="B270" s="6" t="s">
        <v>296</v>
      </c>
      <c r="C270" s="6">
        <v>-0.91031372583582404</v>
      </c>
      <c r="D270" s="6">
        <v>-0.56873540225452623</v>
      </c>
      <c r="E270" s="6">
        <v>0.14301421853601215</v>
      </c>
      <c r="F270" s="6">
        <v>-0.47864878236104458</v>
      </c>
      <c r="G270" s="6">
        <v>-1.4217928408135925</v>
      </c>
      <c r="H270" s="6">
        <v>0.16901069066227312</v>
      </c>
      <c r="I270" s="6">
        <v>0.45857531645342187</v>
      </c>
      <c r="J270" s="6">
        <v>2.0955430607500185</v>
      </c>
      <c r="K270" s="6">
        <v>-0.87704185113410305</v>
      </c>
      <c r="L270" s="6">
        <v>0.69012994917913772</v>
      </c>
      <c r="N270" s="8">
        <f>SQRT((C270-Sheet4!$C$525)^2+(D270-Sheet4!$D$525)^2+(E270-Sheet4!$E$525)^2+(F270-Sheet4!$F$525)^2+(G270-Sheet4!$G$525)^2+(H270-Sheet4!$H$525)^2+(I270-Sheet4!$I$525)^2+(J270-Sheet4!$J$525)^2+(K270-Sheet4!$K$525)^2+(L270-Sheet4!$L$525)^2)</f>
        <v>3.4205168415041398</v>
      </c>
      <c r="O270" s="8">
        <f>SQRT((C270-Sheet4!$C$526)^2+(D270-Sheet4!$D$526)^2+(E270-Sheet4!$E$526)^2+(F270-Sheet4!$F$526)^2+(G270-Sheet4!$G$526)^2+(H270-Sheet4!$H$526)^2+(I270-Sheet4!$I$526)^2+(J270-Sheet4!$J$526)^2+(K270-Sheet4!$K$526)^2+(L270-Sheet4!$L$526)^2)</f>
        <v>3.5813227336549782</v>
      </c>
      <c r="P270" s="12">
        <f t="shared" si="4"/>
        <v>0</v>
      </c>
      <c r="Q270" s="11">
        <f>IF(P270=Sheet1!$M270, 1, 0)</f>
        <v>1</v>
      </c>
    </row>
    <row r="271" spans="1:17" x14ac:dyDescent="0.35">
      <c r="A271" s="6" t="s">
        <v>292</v>
      </c>
      <c r="B271" s="6" t="s">
        <v>297</v>
      </c>
      <c r="C271" s="6">
        <v>-0.85126476834931031</v>
      </c>
      <c r="D271" s="6">
        <v>1.4690062397193213</v>
      </c>
      <c r="E271" s="6">
        <v>1.5657441274812653</v>
      </c>
      <c r="F271" s="6">
        <v>1.3208461940180229</v>
      </c>
      <c r="G271" s="6">
        <v>0.56420709483052189</v>
      </c>
      <c r="H271" s="6">
        <v>0.95541691768588888</v>
      </c>
      <c r="I271" s="6">
        <v>0.82003545892259477</v>
      </c>
      <c r="J271" s="6">
        <v>1.52235826294258</v>
      </c>
      <c r="K271" s="6">
        <v>-0.77375837475214992</v>
      </c>
      <c r="L271" s="6">
        <v>1.770667861118824</v>
      </c>
      <c r="N271" s="8">
        <f>SQRT((C271-Sheet4!$C$525)^2+(D271-Sheet4!$D$525)^2+(E271-Sheet4!$E$525)^2+(F271-Sheet4!$F$525)^2+(G271-Sheet4!$G$525)^2+(H271-Sheet4!$H$525)^2+(I271-Sheet4!$I$525)^2+(J271-Sheet4!$J$525)^2+(K271-Sheet4!$K$525)^2+(L271-Sheet4!$L$525)^2)</f>
        <v>4.8286982401438747</v>
      </c>
      <c r="O271" s="8">
        <f>SQRT((C271-Sheet4!$C$526)^2+(D271-Sheet4!$D$526)^2+(E271-Sheet4!$E$526)^2+(F271-Sheet4!$F$526)^2+(G271-Sheet4!$G$526)^2+(H271-Sheet4!$H$526)^2+(I271-Sheet4!$I$526)^2+(J271-Sheet4!$J$526)^2+(K271-Sheet4!$K$526)^2+(L271-Sheet4!$L$526)^2)</f>
        <v>1.4881625043473499</v>
      </c>
      <c r="P271" s="12">
        <f t="shared" si="4"/>
        <v>1</v>
      </c>
      <c r="Q271" s="11">
        <f>IF(P271=Sheet1!$M271, 1, 0)</f>
        <v>0</v>
      </c>
    </row>
    <row r="272" spans="1:17" x14ac:dyDescent="0.35">
      <c r="A272" s="6" t="s">
        <v>292</v>
      </c>
      <c r="B272" s="6" t="s">
        <v>298</v>
      </c>
      <c r="C272" s="6">
        <v>-1.0780664459679656</v>
      </c>
      <c r="D272" s="6">
        <v>1.0086730374661932</v>
      </c>
      <c r="E272" s="6">
        <v>1.0006307975169935</v>
      </c>
      <c r="F272" s="6">
        <v>0.52740448782348504</v>
      </c>
      <c r="G272" s="6">
        <v>-0.86141566599003516</v>
      </c>
      <c r="H272" s="6">
        <v>1.0701460453270053</v>
      </c>
      <c r="I272" s="6">
        <v>0.86593515955360079</v>
      </c>
      <c r="J272" s="6">
        <v>1.9247263991517753</v>
      </c>
      <c r="K272" s="6">
        <v>-1.2667022393023832</v>
      </c>
      <c r="L272" s="6">
        <v>1.1514678380959502</v>
      </c>
      <c r="N272" s="8">
        <f>SQRT((C272-Sheet4!$C$525)^2+(D272-Sheet4!$D$525)^2+(E272-Sheet4!$E$525)^2+(F272-Sheet4!$F$525)^2+(G272-Sheet4!$G$525)^2+(H272-Sheet4!$H$525)^2+(I272-Sheet4!$I$525)^2+(J272-Sheet4!$J$525)^2+(K272-Sheet4!$K$525)^2+(L272-Sheet4!$L$525)^2)</f>
        <v>4.3704631166572252</v>
      </c>
      <c r="O272" s="8">
        <f>SQRT((C272-Sheet4!$C$526)^2+(D272-Sheet4!$D$526)^2+(E272-Sheet4!$E$526)^2+(F272-Sheet4!$F$526)^2+(G272-Sheet4!$G$526)^2+(H272-Sheet4!$H$526)^2+(I272-Sheet4!$I$526)^2+(J272-Sheet4!$J$526)^2+(K272-Sheet4!$K$526)^2+(L272-Sheet4!$L$526)^2)</f>
        <v>2.2863876459377717</v>
      </c>
      <c r="P272" s="12">
        <f t="shared" si="4"/>
        <v>1</v>
      </c>
      <c r="Q272" s="11">
        <f>IF(P272=Sheet1!$M272, 1, 0)</f>
        <v>0</v>
      </c>
    </row>
    <row r="273" spans="1:17" x14ac:dyDescent="0.35">
      <c r="A273" s="6" t="s">
        <v>292</v>
      </c>
      <c r="B273" s="6" t="s">
        <v>299</v>
      </c>
      <c r="C273" s="6">
        <v>-0.73585089689839689</v>
      </c>
      <c r="D273" s="6">
        <v>0.27827768989123008</v>
      </c>
      <c r="E273" s="6">
        <v>1.0890448778243111</v>
      </c>
      <c r="F273" s="6">
        <v>0.38720410867066446</v>
      </c>
      <c r="G273" s="6">
        <v>-0.44621392505858753</v>
      </c>
      <c r="H273" s="6">
        <v>0.7302677376202239</v>
      </c>
      <c r="I273" s="6">
        <v>0.8442603009222921</v>
      </c>
      <c r="J273" s="6">
        <v>1.6514197405945858</v>
      </c>
      <c r="K273" s="6">
        <v>-1.1430750478754994</v>
      </c>
      <c r="L273" s="6">
        <v>2.9462132734870916E-2</v>
      </c>
      <c r="N273" s="8">
        <f>SQRT((C273-Sheet4!$C$525)^2+(D273-Sheet4!$D$525)^2+(E273-Sheet4!$E$525)^2+(F273-Sheet4!$F$525)^2+(G273-Sheet4!$G$525)^2+(H273-Sheet4!$H$525)^2+(I273-Sheet4!$I$525)^2+(J273-Sheet4!$J$525)^2+(K273-Sheet4!$K$525)^2+(L273-Sheet4!$L$525)^2)</f>
        <v>3.517466910253173</v>
      </c>
      <c r="O273" s="8">
        <f>SQRT((C273-Sheet4!$C$526)^2+(D273-Sheet4!$D$526)^2+(E273-Sheet4!$E$526)^2+(F273-Sheet4!$F$526)^2+(G273-Sheet4!$G$526)^2+(H273-Sheet4!$H$526)^2+(I273-Sheet4!$I$526)^2+(J273-Sheet4!$J$526)^2+(K273-Sheet4!$K$526)^2+(L273-Sheet4!$L$526)^2)</f>
        <v>1.9776467912769757</v>
      </c>
      <c r="P273" s="12">
        <f t="shared" si="4"/>
        <v>1</v>
      </c>
      <c r="Q273" s="11">
        <f>IF(P273=Sheet1!$M273, 1, 0)</f>
        <v>0</v>
      </c>
    </row>
    <row r="274" spans="1:17" x14ac:dyDescent="0.35">
      <c r="A274" s="6" t="s">
        <v>292</v>
      </c>
      <c r="B274" s="6" t="s">
        <v>300</v>
      </c>
      <c r="C274" s="6">
        <v>-1.3021840800645066</v>
      </c>
      <c r="D274" s="6">
        <v>2.0766460666934505</v>
      </c>
      <c r="E274" s="6">
        <v>1.998973120987122</v>
      </c>
      <c r="F274" s="6">
        <v>1.7984518812419181</v>
      </c>
      <c r="G274" s="6">
        <v>0.81681234980280126</v>
      </c>
      <c r="H274" s="6">
        <v>1.1654843344935675</v>
      </c>
      <c r="I274" s="6">
        <v>0.89780995165846611</v>
      </c>
      <c r="J274" s="6">
        <v>1.3439497497177479</v>
      </c>
      <c r="K274" s="6">
        <v>-1.0804790015834054</v>
      </c>
      <c r="L274" s="6">
        <v>0.84416041753347004</v>
      </c>
      <c r="N274" s="8">
        <f>SQRT((C274-Sheet4!$C$525)^2+(D274-Sheet4!$D$525)^2+(E274-Sheet4!$E$525)^2+(F274-Sheet4!$F$525)^2+(G274-Sheet4!$G$525)^2+(H274-Sheet4!$H$525)^2+(I274-Sheet4!$I$525)^2+(J274-Sheet4!$J$525)^2+(K274-Sheet4!$K$525)^2+(L274-Sheet4!$L$525)^2)</f>
        <v>5.4119123130256899</v>
      </c>
      <c r="O274" s="8">
        <f>SQRT((C274-Sheet4!$C$526)^2+(D274-Sheet4!$D$526)^2+(E274-Sheet4!$E$526)^2+(F274-Sheet4!$F$526)^2+(G274-Sheet4!$G$526)^2+(H274-Sheet4!$H$526)^2+(I274-Sheet4!$I$526)^2+(J274-Sheet4!$J$526)^2+(K274-Sheet4!$K$526)^2+(L274-Sheet4!$L$526)^2)</f>
        <v>1.8607335268282439</v>
      </c>
      <c r="P274" s="12">
        <f t="shared" si="4"/>
        <v>1</v>
      </c>
      <c r="Q274" s="11">
        <f>IF(P274=Sheet1!$M274, 1, 0)</f>
        <v>0</v>
      </c>
    </row>
    <row r="275" spans="1:17" x14ac:dyDescent="0.35">
      <c r="A275" s="6" t="s">
        <v>301</v>
      </c>
      <c r="B275" s="6" t="s">
        <v>302</v>
      </c>
      <c r="C275" s="6">
        <v>-0.96802066156128086</v>
      </c>
      <c r="D275" s="6">
        <v>-5.3162215731022769E-2</v>
      </c>
      <c r="E275" s="6">
        <v>0.49740732376784375</v>
      </c>
      <c r="F275" s="6">
        <v>0.43496467739305439</v>
      </c>
      <c r="G275" s="6">
        <v>0.81390884112495754</v>
      </c>
      <c r="H275" s="6">
        <v>1.0254393899551149</v>
      </c>
      <c r="I275" s="6">
        <v>0.44455040792728123</v>
      </c>
      <c r="J275" s="6">
        <v>-0.36042094045139028</v>
      </c>
      <c r="K275" s="6">
        <v>1.8458861625719505</v>
      </c>
      <c r="L275" s="6">
        <v>-0.27312455994665846</v>
      </c>
      <c r="N275" s="8">
        <f>SQRT((C275-Sheet4!$C$525)^2+(D275-Sheet4!$D$525)^2+(E275-Sheet4!$E$525)^2+(F275-Sheet4!$F$525)^2+(G275-Sheet4!$G$525)^2+(H275-Sheet4!$H$525)^2+(I275-Sheet4!$I$525)^2+(J275-Sheet4!$J$525)^2+(K275-Sheet4!$K$525)^2+(L275-Sheet4!$L$525)^2)</f>
        <v>3.0151320627399811</v>
      </c>
      <c r="O275" s="8">
        <f>SQRT((C275-Sheet4!$C$526)^2+(D275-Sheet4!$D$526)^2+(E275-Sheet4!$E$526)^2+(F275-Sheet4!$F$526)^2+(G275-Sheet4!$G$526)^2+(H275-Sheet4!$H$526)^2+(I275-Sheet4!$I$526)^2+(J275-Sheet4!$J$526)^2+(K275-Sheet4!$K$526)^2+(L275-Sheet4!$L$526)^2)</f>
        <v>3.3182192483355295</v>
      </c>
      <c r="P275" s="12">
        <f t="shared" si="4"/>
        <v>0</v>
      </c>
      <c r="Q275" s="11">
        <f>IF(P275=Sheet1!$M275, 1, 0)</f>
        <v>1</v>
      </c>
    </row>
    <row r="276" spans="1:17" x14ac:dyDescent="0.35">
      <c r="A276" s="6" t="s">
        <v>301</v>
      </c>
      <c r="B276" s="6" t="s">
        <v>303</v>
      </c>
      <c r="C276" s="6">
        <v>-0.95996853099493795</v>
      </c>
      <c r="D276" s="6">
        <v>0.43172209064227285</v>
      </c>
      <c r="E276" s="6">
        <v>1.4740145191624234</v>
      </c>
      <c r="F276" s="6">
        <v>1.0050101750473823</v>
      </c>
      <c r="G276" s="6">
        <v>1.1884614605666131</v>
      </c>
      <c r="H276" s="6">
        <v>1.1385526143900191</v>
      </c>
      <c r="I276" s="6">
        <v>0.82959789655405469</v>
      </c>
      <c r="J276" s="6">
        <v>-0.42495167927739341</v>
      </c>
      <c r="K276" s="6">
        <v>0.86312823578608755</v>
      </c>
      <c r="L276" s="6">
        <v>-0.15561563720137889</v>
      </c>
      <c r="N276" s="8">
        <f>SQRT((C276-Sheet4!$C$525)^2+(D276-Sheet4!$D$525)^2+(E276-Sheet4!$E$525)^2+(F276-Sheet4!$F$525)^2+(G276-Sheet4!$G$525)^2+(H276-Sheet4!$H$525)^2+(I276-Sheet4!$I$525)^2+(J276-Sheet4!$J$525)^2+(K276-Sheet4!$K$525)^2+(L276-Sheet4!$L$525)^2)</f>
        <v>3.6487650882810736</v>
      </c>
      <c r="O276" s="8">
        <f>SQRT((C276-Sheet4!$C$526)^2+(D276-Sheet4!$D$526)^2+(E276-Sheet4!$E$526)^2+(F276-Sheet4!$F$526)^2+(G276-Sheet4!$G$526)^2+(H276-Sheet4!$H$526)^2+(I276-Sheet4!$I$526)^2+(J276-Sheet4!$J$526)^2+(K276-Sheet4!$K$526)^2+(L276-Sheet4!$L$526)^2)</f>
        <v>2.4169331583490394</v>
      </c>
      <c r="P276" s="12">
        <f t="shared" si="4"/>
        <v>1</v>
      </c>
      <c r="Q276" s="11">
        <f>IF(P276=Sheet1!$M276, 1, 0)</f>
        <v>0</v>
      </c>
    </row>
    <row r="277" spans="1:17" x14ac:dyDescent="0.35">
      <c r="A277" s="6" t="s">
        <v>301</v>
      </c>
      <c r="B277" s="6" t="s">
        <v>304</v>
      </c>
      <c r="C277" s="6">
        <v>-1.2954739712592209</v>
      </c>
      <c r="D277" s="6">
        <v>1.3401129430884449</v>
      </c>
      <c r="E277" s="6">
        <v>2.5795589150051748</v>
      </c>
      <c r="F277" s="6">
        <v>1.8338871419069174</v>
      </c>
      <c r="G277" s="6">
        <v>1.6036632014980607</v>
      </c>
      <c r="H277" s="6">
        <v>1.2058819146488902</v>
      </c>
      <c r="I277" s="6">
        <v>0.94753462734205607</v>
      </c>
      <c r="J277" s="6">
        <v>0.71003013889760069</v>
      </c>
      <c r="K277" s="6">
        <v>0.47816255108971334</v>
      </c>
      <c r="L277" s="6">
        <v>0.14805042943510158</v>
      </c>
      <c r="N277" s="8">
        <f>SQRT((C277-Sheet4!$C$525)^2+(D277-Sheet4!$D$525)^2+(E277-Sheet4!$E$525)^2+(F277-Sheet4!$F$525)^2+(G277-Sheet4!$G$525)^2+(H277-Sheet4!$H$525)^2+(I277-Sheet4!$I$525)^2+(J277-Sheet4!$J$525)^2+(K277-Sheet4!$K$525)^2+(L277-Sheet4!$L$525)^2)</f>
        <v>5.2663128057304753</v>
      </c>
      <c r="O277" s="8">
        <f>SQRT((C277-Sheet4!$C$526)^2+(D277-Sheet4!$D$526)^2+(E277-Sheet4!$E$526)^2+(F277-Sheet4!$F$526)^2+(G277-Sheet4!$G$526)^2+(H277-Sheet4!$H$526)^2+(I277-Sheet4!$I$526)^2+(J277-Sheet4!$J$526)^2+(K277-Sheet4!$K$526)^2+(L277-Sheet4!$L$526)^2)</f>
        <v>2.3594647929250305</v>
      </c>
      <c r="P277" s="12">
        <f t="shared" si="4"/>
        <v>1</v>
      </c>
      <c r="Q277" s="11">
        <f>IF(P277=Sheet1!$M277, 1, 0)</f>
        <v>0</v>
      </c>
    </row>
    <row r="278" spans="1:17" x14ac:dyDescent="0.35">
      <c r="A278" s="6" t="s">
        <v>301</v>
      </c>
      <c r="B278" s="6" t="s">
        <v>305</v>
      </c>
      <c r="C278" s="6">
        <v>-0.99620311854348065</v>
      </c>
      <c r="D278" s="6">
        <v>0.52378873109289759</v>
      </c>
      <c r="E278" s="6">
        <v>1.4979599992456551</v>
      </c>
      <c r="F278" s="6">
        <v>1.1975931134441147</v>
      </c>
      <c r="G278" s="6">
        <v>1.1971719866001402</v>
      </c>
      <c r="H278" s="6">
        <v>0.8767762949835276</v>
      </c>
      <c r="I278" s="6">
        <v>0.86529766371150318</v>
      </c>
      <c r="J278" s="6">
        <v>0.69864236145771796</v>
      </c>
      <c r="K278" s="6">
        <v>6.5028645561898399E-2</v>
      </c>
      <c r="L278" s="6">
        <v>-9.8404325160059633E-2</v>
      </c>
      <c r="N278" s="8">
        <f>SQRT((C278-Sheet4!$C$525)^2+(D278-Sheet4!$D$525)^2+(E278-Sheet4!$E$525)^2+(F278-Sheet4!$F$525)^2+(G278-Sheet4!$G$525)^2+(H278-Sheet4!$H$525)^2+(I278-Sheet4!$I$525)^2+(J278-Sheet4!$J$525)^2+(K278-Sheet4!$K$525)^2+(L278-Sheet4!$L$525)^2)</f>
        <v>3.8002814779958922</v>
      </c>
      <c r="O278" s="8">
        <f>SQRT((C278-Sheet4!$C$526)^2+(D278-Sheet4!$D$526)^2+(E278-Sheet4!$E$526)^2+(F278-Sheet4!$F$526)^2+(G278-Sheet4!$G$526)^2+(H278-Sheet4!$H$526)^2+(I278-Sheet4!$I$526)^2+(J278-Sheet4!$J$526)^2+(K278-Sheet4!$K$526)^2+(L278-Sheet4!$L$526)^2)</f>
        <v>1.3409204668536809</v>
      </c>
      <c r="P278" s="12">
        <f t="shared" si="4"/>
        <v>1</v>
      </c>
      <c r="Q278" s="11">
        <f>IF(P278=Sheet1!$M278, 1, 0)</f>
        <v>0</v>
      </c>
    </row>
    <row r="279" spans="1:17" x14ac:dyDescent="0.35">
      <c r="A279" s="6" t="s">
        <v>301</v>
      </c>
      <c r="B279" s="6" t="s">
        <v>306</v>
      </c>
      <c r="C279" s="6">
        <v>-0.89018339941996716</v>
      </c>
      <c r="D279" s="6">
        <v>-0.1820555123618981</v>
      </c>
      <c r="E279" s="6">
        <v>0.35447122727101354</v>
      </c>
      <c r="F279" s="6">
        <v>0.28089832667566861</v>
      </c>
      <c r="G279" s="6">
        <v>0.50904042995151932</v>
      </c>
      <c r="H279" s="6">
        <v>1.007664454686773</v>
      </c>
      <c r="I279" s="6">
        <v>0.94498464397366644</v>
      </c>
      <c r="J279" s="6">
        <v>0.11027386039710205</v>
      </c>
      <c r="K279" s="6">
        <v>0.52667448696608588</v>
      </c>
      <c r="L279" s="6">
        <v>-0.3420137215473979</v>
      </c>
      <c r="N279" s="8">
        <f>SQRT((C279-Sheet4!$C$525)^2+(D279-Sheet4!$D$525)^2+(E279-Sheet4!$E$525)^2+(F279-Sheet4!$F$525)^2+(G279-Sheet4!$G$525)^2+(H279-Sheet4!$H$525)^2+(I279-Sheet4!$I$525)^2+(J279-Sheet4!$J$525)^2+(K279-Sheet4!$K$525)^2+(L279-Sheet4!$L$525)^2)</f>
        <v>2.5203984927579253</v>
      </c>
      <c r="O279" s="8">
        <f>SQRT((C279-Sheet4!$C$526)^2+(D279-Sheet4!$D$526)^2+(E279-Sheet4!$E$526)^2+(F279-Sheet4!$F$526)^2+(G279-Sheet4!$G$526)^2+(H279-Sheet4!$H$526)^2+(I279-Sheet4!$I$526)^2+(J279-Sheet4!$J$526)^2+(K279-Sheet4!$K$526)^2+(L279-Sheet4!$L$526)^2)</f>
        <v>2.4832118090133033</v>
      </c>
      <c r="P279" s="12">
        <f t="shared" si="4"/>
        <v>1</v>
      </c>
      <c r="Q279" s="11">
        <f>IF(P279=Sheet1!$M279, 1, 0)</f>
        <v>0</v>
      </c>
    </row>
    <row r="280" spans="1:17" x14ac:dyDescent="0.35">
      <c r="A280" s="6" t="s">
        <v>301</v>
      </c>
      <c r="B280" s="6" t="s">
        <v>307</v>
      </c>
      <c r="C280" s="6">
        <v>-0.96399459627810935</v>
      </c>
      <c r="D280" s="6">
        <v>-0.77128201124590268</v>
      </c>
      <c r="E280" s="6">
        <v>0.32278951516089138</v>
      </c>
      <c r="F280" s="6">
        <v>-8.5779588031708959E-2</v>
      </c>
      <c r="G280" s="6">
        <v>0.2796632444019817</v>
      </c>
      <c r="H280" s="6">
        <v>0.52827983684361013</v>
      </c>
      <c r="I280" s="6">
        <v>0.38398830292803693</v>
      </c>
      <c r="J280" s="6">
        <v>-1.2372798033223726</v>
      </c>
      <c r="K280" s="6">
        <v>1.9757729586280435</v>
      </c>
      <c r="L280" s="6">
        <v>-0.36732139147607279</v>
      </c>
      <c r="N280" s="8">
        <f>SQRT((C280-Sheet4!$C$525)^2+(D280-Sheet4!$D$525)^2+(E280-Sheet4!$E$525)^2+(F280-Sheet4!$F$525)^2+(G280-Sheet4!$G$525)^2+(H280-Sheet4!$H$525)^2+(I280-Sheet4!$I$525)^2+(J280-Sheet4!$J$525)^2+(K280-Sheet4!$K$525)^2+(L280-Sheet4!$L$525)^2)</f>
        <v>2.7279484062661443</v>
      </c>
      <c r="O280" s="8">
        <f>SQRT((C280-Sheet4!$C$526)^2+(D280-Sheet4!$D$526)^2+(E280-Sheet4!$E$526)^2+(F280-Sheet4!$F$526)^2+(G280-Sheet4!$G$526)^2+(H280-Sheet4!$H$526)^2+(I280-Sheet4!$I$526)^2+(J280-Sheet4!$J$526)^2+(K280-Sheet4!$K$526)^2+(L280-Sheet4!$L$526)^2)</f>
        <v>4.3192736584800766</v>
      </c>
      <c r="P280" s="12">
        <f t="shared" si="4"/>
        <v>0</v>
      </c>
      <c r="Q280" s="11">
        <f>IF(P280=Sheet1!$M280, 1, 0)</f>
        <v>1</v>
      </c>
    </row>
    <row r="281" spans="1:17" x14ac:dyDescent="0.35">
      <c r="A281" s="6" t="s">
        <v>301</v>
      </c>
      <c r="B281" s="6" t="s">
        <v>308</v>
      </c>
      <c r="C281" s="6">
        <v>-0.73719291865945402</v>
      </c>
      <c r="D281" s="6">
        <v>-1.2929929737994477</v>
      </c>
      <c r="E281" s="6">
        <v>-5.5180678152891585E-2</v>
      </c>
      <c r="F281" s="6">
        <v>-0.39545295297365524</v>
      </c>
      <c r="G281" s="6">
        <v>0.2622421923349274</v>
      </c>
      <c r="H281" s="6">
        <v>0.5471320409160938</v>
      </c>
      <c r="I281" s="6">
        <v>0.84872277181697375</v>
      </c>
      <c r="J281" s="6">
        <v>-1.0398916610310691</v>
      </c>
      <c r="K281" s="6">
        <v>1.8286722498416248</v>
      </c>
      <c r="L281" s="6">
        <v>-0.23806685662736335</v>
      </c>
      <c r="N281" s="8">
        <f>SQRT((C281-Sheet4!$C$525)^2+(D281-Sheet4!$D$525)^2+(E281-Sheet4!$E$525)^2+(F281-Sheet4!$F$525)^2+(G281-Sheet4!$G$525)^2+(H281-Sheet4!$H$525)^2+(I281-Sheet4!$I$525)^2+(J281-Sheet4!$J$525)^2+(K281-Sheet4!$K$525)^2+(L281-Sheet4!$L$525)^2)</f>
        <v>2.6721601269453807</v>
      </c>
      <c r="O281" s="8">
        <f>SQRT((C281-Sheet4!$C$526)^2+(D281-Sheet4!$D$526)^2+(E281-Sheet4!$E$526)^2+(F281-Sheet4!$F$526)^2+(G281-Sheet4!$G$526)^2+(H281-Sheet4!$H$526)^2+(I281-Sheet4!$I$526)^2+(J281-Sheet4!$J$526)^2+(K281-Sheet4!$K$526)^2+(L281-Sheet4!$L$526)^2)</f>
        <v>4.5147446096973081</v>
      </c>
      <c r="P281" s="12">
        <f t="shared" si="4"/>
        <v>0</v>
      </c>
      <c r="Q281" s="11">
        <f>IF(P281=Sheet1!$M281, 1, 0)</f>
        <v>1</v>
      </c>
    </row>
    <row r="282" spans="1:17" x14ac:dyDescent="0.35">
      <c r="A282" s="6" t="s">
        <v>301</v>
      </c>
      <c r="B282" s="6" t="s">
        <v>309</v>
      </c>
      <c r="C282" s="6">
        <v>-0.82576635488922479</v>
      </c>
      <c r="D282" s="6">
        <v>-0.72831757903561056</v>
      </c>
      <c r="E282" s="6">
        <v>1.1188846299280308</v>
      </c>
      <c r="F282" s="6">
        <v>0.40569207075675146</v>
      </c>
      <c r="G282" s="6">
        <v>0.66582989855500407</v>
      </c>
      <c r="H282" s="6">
        <v>0.91286479992228275</v>
      </c>
      <c r="I282" s="6">
        <v>0.52551237987363886</v>
      </c>
      <c r="J282" s="6">
        <v>0.12166163783698503</v>
      </c>
      <c r="K282" s="6">
        <v>0.56579701589864417</v>
      </c>
      <c r="L282" s="6">
        <v>-3.4757709884394076E-3</v>
      </c>
      <c r="N282" s="8">
        <f>SQRT((C282-Sheet4!$C$525)^2+(D282-Sheet4!$D$525)^2+(E282-Sheet4!$E$525)^2+(F282-Sheet4!$F$525)^2+(G282-Sheet4!$G$525)^2+(H282-Sheet4!$H$525)^2+(I282-Sheet4!$I$525)^2+(J282-Sheet4!$J$525)^2+(K282-Sheet4!$K$525)^2+(L282-Sheet4!$L$525)^2)</f>
        <v>2.7437108024284806</v>
      </c>
      <c r="O282" s="8">
        <f>SQRT((C282-Sheet4!$C$526)^2+(D282-Sheet4!$D$526)^2+(E282-Sheet4!$E$526)^2+(F282-Sheet4!$F$526)^2+(G282-Sheet4!$G$526)^2+(H282-Sheet4!$H$526)^2+(I282-Sheet4!$I$526)^2+(J282-Sheet4!$J$526)^2+(K282-Sheet4!$K$526)^2+(L282-Sheet4!$L$526)^2)</f>
        <v>2.5194205167019819</v>
      </c>
      <c r="P282" s="12">
        <f t="shared" si="4"/>
        <v>1</v>
      </c>
      <c r="Q282" s="11">
        <f>IF(P282=Sheet1!$M282, 1, 0)</f>
        <v>0</v>
      </c>
    </row>
    <row r="283" spans="1:17" x14ac:dyDescent="0.35">
      <c r="A283" s="6" t="s">
        <v>301</v>
      </c>
      <c r="B283" s="6" t="s">
        <v>310</v>
      </c>
      <c r="C283" s="6">
        <v>-1.2498452313832784</v>
      </c>
      <c r="D283" s="6">
        <v>1.8679616816720328</v>
      </c>
      <c r="E283" s="6">
        <v>3.4161771499131679</v>
      </c>
      <c r="F283" s="6">
        <v>2.1728331134851668</v>
      </c>
      <c r="G283" s="6">
        <v>1.5310754845520038</v>
      </c>
      <c r="H283" s="6">
        <v>1.2263500219275869</v>
      </c>
      <c r="I283" s="6">
        <v>0.94753462734205607</v>
      </c>
      <c r="J283" s="6">
        <v>0.74419347121724921</v>
      </c>
      <c r="K283" s="6">
        <v>-0.12432439447168243</v>
      </c>
      <c r="L283" s="6">
        <v>0.21904202687170493</v>
      </c>
      <c r="N283" s="8">
        <f>SQRT((C283-Sheet4!$C$525)^2+(D283-Sheet4!$D$525)^2+(E283-Sheet4!$E$525)^2+(F283-Sheet4!$F$525)^2+(G283-Sheet4!$G$525)^2+(H283-Sheet4!$H$525)^2+(I283-Sheet4!$I$525)^2+(J283-Sheet4!$J$525)^2+(K283-Sheet4!$K$525)^2+(L283-Sheet4!$L$525)^2)</f>
        <v>6.0785625511874004</v>
      </c>
      <c r="O283" s="8">
        <f>SQRT((C283-Sheet4!$C$526)^2+(D283-Sheet4!$D$526)^2+(E283-Sheet4!$E$526)^2+(F283-Sheet4!$F$526)^2+(G283-Sheet4!$G$526)^2+(H283-Sheet4!$H$526)^2+(I283-Sheet4!$I$526)^2+(J283-Sheet4!$J$526)^2+(K283-Sheet4!$K$526)^2+(L283-Sheet4!$L$526)^2)</f>
        <v>2.9691156683493749</v>
      </c>
      <c r="P283" s="12">
        <f t="shared" si="4"/>
        <v>1</v>
      </c>
      <c r="Q283" s="11">
        <f>IF(P283=Sheet1!$M283, 1, 0)</f>
        <v>0</v>
      </c>
    </row>
    <row r="284" spans="1:17" x14ac:dyDescent="0.35">
      <c r="A284" s="6" t="s">
        <v>311</v>
      </c>
      <c r="B284" s="6" t="s">
        <v>312</v>
      </c>
      <c r="C284" s="6">
        <v>0.29482181559348081</v>
      </c>
      <c r="D284" s="6">
        <v>-1.2377529895290724</v>
      </c>
      <c r="E284" s="6">
        <v>0.37178565133119662</v>
      </c>
      <c r="F284" s="6">
        <v>-0.20287001457692297</v>
      </c>
      <c r="G284" s="6">
        <v>-0.71624023209792131</v>
      </c>
      <c r="H284" s="6">
        <v>-0.16709717623001263</v>
      </c>
      <c r="I284" s="6">
        <v>0.42223805345387583</v>
      </c>
      <c r="J284" s="6">
        <v>-0.6602990797016397</v>
      </c>
      <c r="K284" s="6">
        <v>0.15892271500003949</v>
      </c>
      <c r="L284" s="6">
        <v>-0.24011906083948406</v>
      </c>
      <c r="N284" s="8">
        <f>SQRT((C284-Sheet4!$C$525)^2+(D284-Sheet4!$D$525)^2+(E284-Sheet4!$E$525)^2+(F284-Sheet4!$F$525)^2+(G284-Sheet4!$G$525)^2+(H284-Sheet4!$H$525)^2+(I284-Sheet4!$I$525)^2+(J284-Sheet4!$J$525)^2+(K284-Sheet4!$K$525)^2+(L284-Sheet4!$L$525)^2)</f>
        <v>1.4462764973333695</v>
      </c>
      <c r="O284" s="8">
        <f>SQRT((C284-Sheet4!$C$526)^2+(D284-Sheet4!$D$526)^2+(E284-Sheet4!$E$526)^2+(F284-Sheet4!$F$526)^2+(G284-Sheet4!$G$526)^2+(H284-Sheet4!$H$526)^2+(I284-Sheet4!$I$526)^2+(J284-Sheet4!$J$526)^2+(K284-Sheet4!$K$526)^2+(L284-Sheet4!$L$526)^2)</f>
        <v>3.9828359213167399</v>
      </c>
      <c r="P284" s="12">
        <f t="shared" si="4"/>
        <v>0</v>
      </c>
      <c r="Q284" s="11">
        <f>IF(P284=Sheet1!$M284, 1, 0)</f>
        <v>1</v>
      </c>
    </row>
    <row r="285" spans="1:17" x14ac:dyDescent="0.35">
      <c r="A285" s="6" t="s">
        <v>311</v>
      </c>
      <c r="B285" s="6" t="s">
        <v>313</v>
      </c>
      <c r="C285" s="6">
        <v>0.15659357420459602</v>
      </c>
      <c r="D285" s="6">
        <v>-1.3175440779196146</v>
      </c>
      <c r="E285" s="6">
        <v>-0.13364817442563601</v>
      </c>
      <c r="F285" s="6">
        <v>-0.49405541743278225</v>
      </c>
      <c r="G285" s="6">
        <v>-0.95142443500314633</v>
      </c>
      <c r="H285" s="6">
        <v>0.10437456241375656</v>
      </c>
      <c r="I285" s="6">
        <v>0.47068773745327058</v>
      </c>
      <c r="J285" s="6">
        <v>-1.0360957352177749</v>
      </c>
      <c r="K285" s="6">
        <v>0.87408254388720275</v>
      </c>
      <c r="L285" s="6">
        <v>-0.20741256944269451</v>
      </c>
      <c r="N285" s="8">
        <f>SQRT((C285-Sheet4!$C$525)^2+(D285-Sheet4!$D$525)^2+(E285-Sheet4!$E$525)^2+(F285-Sheet4!$F$525)^2+(G285-Sheet4!$G$525)^2+(H285-Sheet4!$H$525)^2+(I285-Sheet4!$I$525)^2+(J285-Sheet4!$J$525)^2+(K285-Sheet4!$K$525)^2+(L285-Sheet4!$L$525)^2)</f>
        <v>1.7046705109289317</v>
      </c>
      <c r="O285" s="8">
        <f>SQRT((C285-Sheet4!$C$526)^2+(D285-Sheet4!$D$526)^2+(E285-Sheet4!$E$526)^2+(F285-Sheet4!$F$526)^2+(G285-Sheet4!$G$526)^2+(H285-Sheet4!$H$526)^2+(I285-Sheet4!$I$526)^2+(J285-Sheet4!$J$526)^2+(K285-Sheet4!$K$526)^2+(L285-Sheet4!$L$526)^2)</f>
        <v>4.6015721327843737</v>
      </c>
      <c r="P285" s="12">
        <f t="shared" si="4"/>
        <v>0</v>
      </c>
      <c r="Q285" s="11">
        <f>IF(P285=Sheet1!$M285, 1, 0)</f>
        <v>1</v>
      </c>
    </row>
    <row r="286" spans="1:17" x14ac:dyDescent="0.35">
      <c r="A286" s="6" t="s">
        <v>311</v>
      </c>
      <c r="B286" s="6" t="s">
        <v>314</v>
      </c>
      <c r="C286" s="6">
        <v>0.41694579584967983</v>
      </c>
      <c r="D286" s="6">
        <v>-1.0597574846578628</v>
      </c>
      <c r="E286" s="6">
        <v>-0.32226487908124701</v>
      </c>
      <c r="F286" s="6">
        <v>-0.50329939847582572</v>
      </c>
      <c r="G286" s="6">
        <v>-1.0153016259156762</v>
      </c>
      <c r="H286" s="6">
        <v>0.39523713953208062</v>
      </c>
      <c r="I286" s="6">
        <v>0.62878670629340283</v>
      </c>
      <c r="J286" s="6">
        <v>-0.86148314780623725</v>
      </c>
      <c r="K286" s="6">
        <v>2.4325992698065704E-3</v>
      </c>
      <c r="L286" s="6">
        <v>-0.15782578685604323</v>
      </c>
      <c r="N286" s="8">
        <f>SQRT((C286-Sheet4!$C$525)^2+(D286-Sheet4!$D$525)^2+(E286-Sheet4!$E$525)^2+(F286-Sheet4!$F$525)^2+(G286-Sheet4!$G$525)^2+(H286-Sheet4!$H$525)^2+(I286-Sheet4!$I$525)^2+(J286-Sheet4!$J$525)^2+(K286-Sheet4!$K$525)^2+(L286-Sheet4!$L$525)^2)</f>
        <v>1.5739348654218004</v>
      </c>
      <c r="O286" s="8">
        <f>SQRT((C286-Sheet4!$C$526)^2+(D286-Sheet4!$D$526)^2+(E286-Sheet4!$E$526)^2+(F286-Sheet4!$F$526)^2+(G286-Sheet4!$G$526)^2+(H286-Sheet4!$H$526)^2+(I286-Sheet4!$I$526)^2+(J286-Sheet4!$J$526)^2+(K286-Sheet4!$K$526)^2+(L286-Sheet4!$L$526)^2)</f>
        <v>4.2949475654354234</v>
      </c>
      <c r="P286" s="12">
        <f t="shared" si="4"/>
        <v>0</v>
      </c>
      <c r="Q286" s="11">
        <f>IF(P286=Sheet1!$M286, 1, 0)</f>
        <v>1</v>
      </c>
    </row>
    <row r="287" spans="1:17" x14ac:dyDescent="0.35">
      <c r="A287" s="6" t="s">
        <v>311</v>
      </c>
      <c r="B287" s="6" t="s">
        <v>315</v>
      </c>
      <c r="C287" s="6">
        <v>0.21966859697428132</v>
      </c>
      <c r="D287" s="6">
        <v>-0.17591773633185653</v>
      </c>
      <c r="E287" s="6">
        <v>-0.42651981544362572</v>
      </c>
      <c r="F287" s="6">
        <v>-0.29530982500735359</v>
      </c>
      <c r="G287" s="6">
        <v>-0.55945076349443645</v>
      </c>
      <c r="H287" s="6">
        <v>0.58214327705070712</v>
      </c>
      <c r="I287" s="6">
        <v>0.74863592460769612</v>
      </c>
      <c r="J287" s="6">
        <v>-0.63372759900857956</v>
      </c>
      <c r="K287" s="6">
        <v>-0.40757150394340436</v>
      </c>
      <c r="L287" s="6">
        <v>-0.24537169230363243</v>
      </c>
      <c r="N287" s="8">
        <f>SQRT((C287-Sheet4!$C$525)^2+(D287-Sheet4!$D$525)^2+(E287-Sheet4!$E$525)^2+(F287-Sheet4!$F$525)^2+(G287-Sheet4!$G$525)^2+(H287-Sheet4!$H$525)^2+(I287-Sheet4!$I$525)^2+(J287-Sheet4!$J$525)^2+(K287-Sheet4!$K$525)^2+(L287-Sheet4!$L$525)^2)</f>
        <v>1.4937882354610124</v>
      </c>
      <c r="O287" s="8">
        <f>SQRT((C287-Sheet4!$C$526)^2+(D287-Sheet4!$D$526)^2+(E287-Sheet4!$E$526)^2+(F287-Sheet4!$F$526)^2+(G287-Sheet4!$G$526)^2+(H287-Sheet4!$H$526)^2+(I287-Sheet4!$I$526)^2+(J287-Sheet4!$J$526)^2+(K287-Sheet4!$K$526)^2+(L287-Sheet4!$L$526)^2)</f>
        <v>3.5029041126519616</v>
      </c>
      <c r="P287" s="12">
        <f t="shared" si="4"/>
        <v>0</v>
      </c>
      <c r="Q287" s="11">
        <f>IF(P287=Sheet1!$M287, 1, 0)</f>
        <v>1</v>
      </c>
    </row>
    <row r="288" spans="1:17" x14ac:dyDescent="0.35">
      <c r="A288" s="6" t="s">
        <v>311</v>
      </c>
      <c r="B288" s="6" t="s">
        <v>316</v>
      </c>
      <c r="C288" s="6">
        <v>4.3863746275796929E-2</v>
      </c>
      <c r="D288" s="6">
        <v>0.17393549738052108</v>
      </c>
      <c r="E288" s="6">
        <v>-0.52524887178679713</v>
      </c>
      <c r="F288" s="6">
        <v>-0.22752063069170417</v>
      </c>
      <c r="G288" s="6">
        <v>-0.77431040565476761</v>
      </c>
      <c r="H288" s="6">
        <v>0.3510691185622607</v>
      </c>
      <c r="I288" s="6">
        <v>0.72887355350267946</v>
      </c>
      <c r="J288" s="6">
        <v>-0.77417685410046855</v>
      </c>
      <c r="K288" s="6">
        <v>-0.29802842293224086</v>
      </c>
      <c r="L288" s="6">
        <v>-0.35489938673862004</v>
      </c>
      <c r="N288" s="8">
        <f>SQRT((C288-Sheet4!$C$525)^2+(D288-Sheet4!$D$525)^2+(E288-Sheet4!$E$525)^2+(F288-Sheet4!$F$525)^2+(G288-Sheet4!$G$525)^2+(H288-Sheet4!$H$525)^2+(I288-Sheet4!$I$525)^2+(J288-Sheet4!$J$525)^2+(K288-Sheet4!$K$525)^2+(L288-Sheet4!$L$525)^2)</f>
        <v>1.5259992293039097</v>
      </c>
      <c r="O288" s="8">
        <f>SQRT((C288-Sheet4!$C$526)^2+(D288-Sheet4!$D$526)^2+(E288-Sheet4!$E$526)^2+(F288-Sheet4!$F$526)^2+(G288-Sheet4!$G$526)^2+(H288-Sheet4!$H$526)^2+(I288-Sheet4!$I$526)^2+(J288-Sheet4!$J$526)^2+(K288-Sheet4!$K$526)^2+(L288-Sheet4!$L$526)^2)</f>
        <v>3.5923342407972481</v>
      </c>
      <c r="P288" s="12">
        <f t="shared" si="4"/>
        <v>0</v>
      </c>
      <c r="Q288" s="11">
        <f>IF(P288=Sheet1!$M288, 1, 0)</f>
        <v>1</v>
      </c>
    </row>
    <row r="289" spans="1:17" x14ac:dyDescent="0.35">
      <c r="A289" s="6" t="s">
        <v>311</v>
      </c>
      <c r="B289" s="6" t="s">
        <v>317</v>
      </c>
      <c r="C289" s="6">
        <v>0.34984470779682325</v>
      </c>
      <c r="D289" s="6">
        <v>-0.32322436105285768</v>
      </c>
      <c r="E289" s="6">
        <v>-0.67407924030411515</v>
      </c>
      <c r="F289" s="6">
        <v>-0.50329939847582572</v>
      </c>
      <c r="G289" s="6">
        <v>-0.91658233086903773</v>
      </c>
      <c r="H289" s="6">
        <v>0.20671509880724115</v>
      </c>
      <c r="I289" s="6">
        <v>0.71803612418702611</v>
      </c>
      <c r="J289" s="6">
        <v>-1.3207901712148469</v>
      </c>
      <c r="K289" s="6">
        <v>0.34201615040441224</v>
      </c>
      <c r="L289" s="6">
        <v>-0.28999252307578455</v>
      </c>
      <c r="N289" s="8">
        <f>SQRT((C289-Sheet4!$C$525)^2+(D289-Sheet4!$D$525)^2+(E289-Sheet4!$E$525)^2+(F289-Sheet4!$F$525)^2+(G289-Sheet4!$G$525)^2+(H289-Sheet4!$H$525)^2+(I289-Sheet4!$I$525)^2+(J289-Sheet4!$J$525)^2+(K289-Sheet4!$K$525)^2+(L289-Sheet4!$L$525)^2)</f>
        <v>1.5855185139929202</v>
      </c>
      <c r="O289" s="8">
        <f>SQRT((C289-Sheet4!$C$526)^2+(D289-Sheet4!$D$526)^2+(E289-Sheet4!$E$526)^2+(F289-Sheet4!$F$526)^2+(G289-Sheet4!$G$526)^2+(H289-Sheet4!$H$526)^2+(I289-Sheet4!$I$526)^2+(J289-Sheet4!$J$526)^2+(K289-Sheet4!$K$526)^2+(L289-Sheet4!$L$526)^2)</f>
        <v>4.4027313544628575</v>
      </c>
      <c r="P289" s="12">
        <f t="shared" si="4"/>
        <v>0</v>
      </c>
      <c r="Q289" s="11">
        <f>IF(P289=Sheet1!$M289, 1, 0)</f>
        <v>1</v>
      </c>
    </row>
    <row r="290" spans="1:17" x14ac:dyDescent="0.35">
      <c r="A290" s="6" t="s">
        <v>311</v>
      </c>
      <c r="B290" s="6" t="s">
        <v>318</v>
      </c>
      <c r="C290" s="6">
        <v>0.17001379181516729</v>
      </c>
      <c r="D290" s="6">
        <v>0.17393549738052108</v>
      </c>
      <c r="E290" s="6">
        <v>0.4506215396052215</v>
      </c>
      <c r="F290" s="6">
        <v>0.29630496174740628</v>
      </c>
      <c r="G290" s="6">
        <v>-0.39104726017958491</v>
      </c>
      <c r="H290" s="6">
        <v>0.84715140286962443</v>
      </c>
      <c r="I290" s="6">
        <v>0.65492403581939218</v>
      </c>
      <c r="J290" s="6">
        <v>0.17480459922310504</v>
      </c>
      <c r="K290" s="6">
        <v>0.24342737749436399</v>
      </c>
      <c r="L290" s="6">
        <v>-0.11592692920926659</v>
      </c>
      <c r="N290" s="8">
        <f>SQRT((C290-Sheet4!$C$525)^2+(D290-Sheet4!$D$525)^2+(E290-Sheet4!$E$525)^2+(F290-Sheet4!$F$525)^2+(G290-Sheet4!$G$525)^2+(H290-Sheet4!$H$525)^2+(I290-Sheet4!$I$525)^2+(J290-Sheet4!$J$525)^2+(K290-Sheet4!$K$525)^2+(L290-Sheet4!$L$525)^2)</f>
        <v>1.9597522497539785</v>
      </c>
      <c r="O290" s="8">
        <f>SQRT((C290-Sheet4!$C$526)^2+(D290-Sheet4!$D$526)^2+(E290-Sheet4!$E$526)^2+(F290-Sheet4!$F$526)^2+(G290-Sheet4!$G$526)^2+(H290-Sheet4!$H$526)^2+(I290-Sheet4!$I$526)^2+(J290-Sheet4!$J$526)^2+(K290-Sheet4!$K$526)^2+(L290-Sheet4!$L$526)^2)</f>
        <v>2.4800216109382349</v>
      </c>
      <c r="P290" s="12">
        <f t="shared" si="4"/>
        <v>0</v>
      </c>
      <c r="Q290" s="11">
        <f>IF(P290=Sheet1!$M290, 1, 0)</f>
        <v>1</v>
      </c>
    </row>
    <row r="291" spans="1:17" x14ac:dyDescent="0.35">
      <c r="A291" s="6" t="s">
        <v>311</v>
      </c>
      <c r="B291" s="6" t="s">
        <v>319</v>
      </c>
      <c r="C291" s="6">
        <v>1.981743169242296</v>
      </c>
      <c r="D291" s="6">
        <v>-1.4709884786706573</v>
      </c>
      <c r="E291" s="6">
        <v>-0.46704293558447968</v>
      </c>
      <c r="F291" s="6">
        <v>-0.79448480133168509</v>
      </c>
      <c r="G291" s="6">
        <v>-0.66688058457460209</v>
      </c>
      <c r="H291" s="6">
        <v>0.10922227203239547</v>
      </c>
      <c r="I291" s="6">
        <v>0.20485197129869362</v>
      </c>
      <c r="J291" s="6">
        <v>-1.2562594323888439</v>
      </c>
      <c r="K291" s="6">
        <v>0.62056855640422703</v>
      </c>
      <c r="L291" s="6">
        <v>-0.39077477480497946</v>
      </c>
      <c r="N291" s="8">
        <f>SQRT((C291-Sheet4!$C$525)^2+(D291-Sheet4!$D$525)^2+(E291-Sheet4!$E$525)^2+(F291-Sheet4!$F$525)^2+(G291-Sheet4!$G$525)^2+(H291-Sheet4!$H$525)^2+(I291-Sheet4!$I$525)^2+(J291-Sheet4!$J$525)^2+(K291-Sheet4!$K$525)^2+(L291-Sheet4!$L$525)^2)</f>
        <v>2.4186163202989941</v>
      </c>
      <c r="O291" s="8">
        <f>SQRT((C291-Sheet4!$C$526)^2+(D291-Sheet4!$D$526)^2+(E291-Sheet4!$E$526)^2+(F291-Sheet4!$F$526)^2+(G291-Sheet4!$G$526)^2+(H291-Sheet4!$H$526)^2+(I291-Sheet4!$I$526)^2+(J291-Sheet4!$J$526)^2+(K291-Sheet4!$K$526)^2+(L291-Sheet4!$L$526)^2)</f>
        <v>5.4822019444069428</v>
      </c>
      <c r="P291" s="12">
        <f t="shared" si="4"/>
        <v>0</v>
      </c>
      <c r="Q291" s="11">
        <f>IF(P291=Sheet1!$M291, 1, 0)</f>
        <v>0</v>
      </c>
    </row>
    <row r="292" spans="1:17" x14ac:dyDescent="0.35">
      <c r="A292" s="6" t="s">
        <v>311</v>
      </c>
      <c r="B292" s="6" t="s">
        <v>320</v>
      </c>
      <c r="C292" s="6">
        <v>-0.48623484934177025</v>
      </c>
      <c r="D292" s="6">
        <v>0.67723313184394029</v>
      </c>
      <c r="E292" s="6">
        <v>1.7219423360241932</v>
      </c>
      <c r="F292" s="6">
        <v>1.41944865847715</v>
      </c>
      <c r="G292" s="6">
        <v>0.64550533781010599</v>
      </c>
      <c r="H292" s="6">
        <v>0.77712893060039778</v>
      </c>
      <c r="I292" s="6">
        <v>0.83023539239615152</v>
      </c>
      <c r="J292" s="6">
        <v>4.953904738439361E-2</v>
      </c>
      <c r="K292" s="6">
        <v>-0.60318414860619551</v>
      </c>
      <c r="L292" s="6">
        <v>-0.17735583798839505</v>
      </c>
      <c r="N292" s="8">
        <f>SQRT((C292-Sheet4!$C$525)^2+(D292-Sheet4!$D$525)^2+(E292-Sheet4!$E$525)^2+(F292-Sheet4!$F$525)^2+(G292-Sheet4!$G$525)^2+(H292-Sheet4!$H$525)^2+(I292-Sheet4!$I$525)^2+(J292-Sheet4!$J$525)^2+(K292-Sheet4!$K$525)^2+(L292-Sheet4!$L$525)^2)</f>
        <v>3.6596785235594091</v>
      </c>
      <c r="O292" s="8">
        <f>SQRT((C292-Sheet4!$C$526)^2+(D292-Sheet4!$D$526)^2+(E292-Sheet4!$E$526)^2+(F292-Sheet4!$F$526)^2+(G292-Sheet4!$G$526)^2+(H292-Sheet4!$H$526)^2+(I292-Sheet4!$I$526)^2+(J292-Sheet4!$J$526)^2+(K292-Sheet4!$K$526)^2+(L292-Sheet4!$L$526)^2)</f>
        <v>1.5456829759491324</v>
      </c>
      <c r="P292" s="12">
        <f t="shared" si="4"/>
        <v>1</v>
      </c>
      <c r="Q292" s="11">
        <f>IF(P292=Sheet1!$M292, 1, 0)</f>
        <v>0</v>
      </c>
    </row>
    <row r="293" spans="1:17" x14ac:dyDescent="0.35">
      <c r="A293" s="6" t="s">
        <v>311</v>
      </c>
      <c r="B293" s="6" t="s">
        <v>321</v>
      </c>
      <c r="C293" s="6">
        <v>-0.45536834883745614</v>
      </c>
      <c r="D293" s="6">
        <v>1.3585262711785708</v>
      </c>
      <c r="E293" s="6">
        <v>0.29847564307637903</v>
      </c>
      <c r="F293" s="6">
        <v>0.95262761580347066</v>
      </c>
      <c r="G293" s="6">
        <v>0.24482114026787305</v>
      </c>
      <c r="H293" s="6">
        <v>0.72595866240365625</v>
      </c>
      <c r="I293" s="6">
        <v>0.94307215644737541</v>
      </c>
      <c r="J293" s="6">
        <v>-0.56919686018257654</v>
      </c>
      <c r="K293" s="6">
        <v>0.93824349133659779</v>
      </c>
      <c r="L293" s="6">
        <v>-0.39752656113963664</v>
      </c>
      <c r="N293" s="8">
        <f>SQRT((C293-Sheet4!$C$525)^2+(D293-Sheet4!$D$525)^2+(E293-Sheet4!$E$525)^2+(F293-Sheet4!$F$525)^2+(G293-Sheet4!$G$525)^2+(H293-Sheet4!$H$525)^2+(I293-Sheet4!$I$525)^2+(J293-Sheet4!$J$525)^2+(K293-Sheet4!$K$525)^2+(L293-Sheet4!$L$525)^2)</f>
        <v>3.0086689066608487</v>
      </c>
      <c r="O293" s="8">
        <f>SQRT((C293-Sheet4!$C$526)^2+(D293-Sheet4!$D$526)^2+(E293-Sheet4!$E$526)^2+(F293-Sheet4!$F$526)^2+(G293-Sheet4!$G$526)^2+(H293-Sheet4!$H$526)^2+(I293-Sheet4!$I$526)^2+(J293-Sheet4!$J$526)^2+(K293-Sheet4!$K$526)^2+(L293-Sheet4!$L$526)^2)</f>
        <v>2.7009548156119343</v>
      </c>
      <c r="P293" s="12">
        <f t="shared" si="4"/>
        <v>1</v>
      </c>
      <c r="Q293" s="11">
        <f>IF(P293=Sheet1!$M293, 1, 0)</f>
        <v>0</v>
      </c>
    </row>
    <row r="294" spans="1:17" x14ac:dyDescent="0.35">
      <c r="A294" s="6" t="s">
        <v>322</v>
      </c>
      <c r="B294" s="6" t="s">
        <v>323</v>
      </c>
      <c r="C294" s="6">
        <v>2.1629161069850089</v>
      </c>
      <c r="D294" s="6">
        <v>-0.97996639626732074</v>
      </c>
      <c r="E294" s="6">
        <v>-1.1117289378253377</v>
      </c>
      <c r="F294" s="6">
        <v>-0.93930717100602734</v>
      </c>
      <c r="G294" s="6">
        <v>-0.73656479284281529</v>
      </c>
      <c r="H294" s="6">
        <v>-1.23197738912432</v>
      </c>
      <c r="I294" s="6">
        <v>9.9665157352638603E-2</v>
      </c>
      <c r="J294" s="6">
        <v>-1.2600553582021381</v>
      </c>
      <c r="K294" s="6">
        <v>0.73167653857269133</v>
      </c>
      <c r="L294" s="6">
        <v>-0.42859555175044162</v>
      </c>
      <c r="N294" s="8">
        <f>SQRT((C294-Sheet4!$C$525)^2+(D294-Sheet4!$D$525)^2+(E294-Sheet4!$E$525)^2+(F294-Sheet4!$F$525)^2+(G294-Sheet4!$G$525)^2+(H294-Sheet4!$H$525)^2+(I294-Sheet4!$I$525)^2+(J294-Sheet4!$J$525)^2+(K294-Sheet4!$K$525)^2+(L294-Sheet4!$L$525)^2)</f>
        <v>2.6964212003094001</v>
      </c>
      <c r="O294" s="8">
        <f>SQRT((C294-Sheet4!$C$526)^2+(D294-Sheet4!$D$526)^2+(E294-Sheet4!$E$526)^2+(F294-Sheet4!$F$526)^2+(G294-Sheet4!$G$526)^2+(H294-Sheet4!$H$526)^2+(I294-Sheet4!$I$526)^2+(J294-Sheet4!$J$526)^2+(K294-Sheet4!$K$526)^2+(L294-Sheet4!$L$526)^2)</f>
        <v>5.9875786940079925</v>
      </c>
      <c r="P294" s="12">
        <f t="shared" si="4"/>
        <v>0</v>
      </c>
      <c r="Q294" s="11">
        <f>IF(P294=Sheet1!$M294, 1, 0)</f>
        <v>0</v>
      </c>
    </row>
    <row r="295" spans="1:17" x14ac:dyDescent="0.35">
      <c r="A295" s="6" t="s">
        <v>322</v>
      </c>
      <c r="B295" s="6" t="s">
        <v>324</v>
      </c>
      <c r="C295" s="6">
        <v>2.336036914161379</v>
      </c>
      <c r="D295" s="6">
        <v>-0.68535314682531845</v>
      </c>
      <c r="E295" s="6">
        <v>-0.35763051120417405</v>
      </c>
      <c r="F295" s="6">
        <v>-0.64504044113582093</v>
      </c>
      <c r="G295" s="6">
        <v>-1.3056524936999039</v>
      </c>
      <c r="H295" s="6">
        <v>-0.43856891487378108</v>
      </c>
      <c r="I295" s="6">
        <v>-0.3510444030101576</v>
      </c>
      <c r="J295" s="6">
        <v>-0.64891130226175675</v>
      </c>
      <c r="K295" s="6">
        <v>0.45781883604478379</v>
      </c>
      <c r="L295" s="6">
        <v>-0.37515930085655835</v>
      </c>
      <c r="N295" s="8">
        <f>SQRT((C295-Sheet4!$C$525)^2+(D295-Sheet4!$D$525)^2+(E295-Sheet4!$E$525)^2+(F295-Sheet4!$F$525)^2+(G295-Sheet4!$G$525)^2+(H295-Sheet4!$H$525)^2+(I295-Sheet4!$I$525)^2+(J295-Sheet4!$J$525)^2+(K295-Sheet4!$K$525)^2+(L295-Sheet4!$L$525)^2)</f>
        <v>2.4023742587420589</v>
      </c>
      <c r="O295" s="8">
        <f>SQRT((C295-Sheet4!$C$526)^2+(D295-Sheet4!$D$526)^2+(E295-Sheet4!$E$526)^2+(F295-Sheet4!$F$526)^2+(G295-Sheet4!$G$526)^2+(H295-Sheet4!$H$526)^2+(I295-Sheet4!$I$526)^2+(J295-Sheet4!$J$526)^2+(K295-Sheet4!$K$526)^2+(L295-Sheet4!$L$526)^2)</f>
        <v>5.4005905927135931</v>
      </c>
      <c r="P295" s="12">
        <f t="shared" si="4"/>
        <v>0</v>
      </c>
      <c r="Q295" s="11">
        <f>IF(P295=Sheet1!$M295, 1, 0)</f>
        <v>0</v>
      </c>
    </row>
    <row r="296" spans="1:17" x14ac:dyDescent="0.35">
      <c r="A296" s="6" t="s">
        <v>322</v>
      </c>
      <c r="B296" s="6" t="s">
        <v>325</v>
      </c>
      <c r="C296" s="6">
        <v>1.4368823342531003</v>
      </c>
      <c r="D296" s="6">
        <v>-0.64238871461502689</v>
      </c>
      <c r="E296" s="6">
        <v>-1.0494706896089347</v>
      </c>
      <c r="F296" s="6">
        <v>-0.8499486875899438</v>
      </c>
      <c r="G296" s="6">
        <v>-1.3782402106459608</v>
      </c>
      <c r="H296" s="6">
        <v>-0.1229291552601927</v>
      </c>
      <c r="I296" s="6">
        <v>-3.357147364569868E-2</v>
      </c>
      <c r="J296" s="6">
        <v>-0.40597205021092181</v>
      </c>
      <c r="K296" s="6">
        <v>0.67221029459520354</v>
      </c>
      <c r="L296" s="6">
        <v>-0.35686516915548205</v>
      </c>
      <c r="N296" s="8">
        <f>SQRT((C296-Sheet4!$C$525)^2+(D296-Sheet4!$D$525)^2+(E296-Sheet4!$E$525)^2+(F296-Sheet4!$F$525)^2+(G296-Sheet4!$G$525)^2+(H296-Sheet4!$H$525)^2+(I296-Sheet4!$I$525)^2+(J296-Sheet4!$J$525)^2+(K296-Sheet4!$K$525)^2+(L296-Sheet4!$L$525)^2)</f>
        <v>1.8914203968137995</v>
      </c>
      <c r="O296" s="8">
        <f>SQRT((C296-Sheet4!$C$526)^2+(D296-Sheet4!$D$526)^2+(E296-Sheet4!$E$526)^2+(F296-Sheet4!$F$526)^2+(G296-Sheet4!$G$526)^2+(H296-Sheet4!$H$526)^2+(I296-Sheet4!$I$526)^2+(J296-Sheet4!$J$526)^2+(K296-Sheet4!$K$526)^2+(L296-Sheet4!$L$526)^2)</f>
        <v>5.1541851582923881</v>
      </c>
      <c r="P296" s="12">
        <f t="shared" si="4"/>
        <v>0</v>
      </c>
      <c r="Q296" s="11">
        <f>IF(P296=Sheet1!$M296, 1, 0)</f>
        <v>0</v>
      </c>
    </row>
    <row r="297" spans="1:17" x14ac:dyDescent="0.35">
      <c r="A297" s="6" t="s">
        <v>322</v>
      </c>
      <c r="B297" s="6" t="s">
        <v>326</v>
      </c>
      <c r="C297" s="6">
        <v>1.9280622988000107</v>
      </c>
      <c r="D297" s="6">
        <v>-1.0413441565677377</v>
      </c>
      <c r="E297" s="6">
        <v>-1.2841363944246069</v>
      </c>
      <c r="F297" s="6">
        <v>-1.196597976704062</v>
      </c>
      <c r="G297" s="6">
        <v>-0.92819636558040863</v>
      </c>
      <c r="H297" s="6">
        <v>-1.4571265691899855</v>
      </c>
      <c r="I297" s="6">
        <v>-1.5010869021536981</v>
      </c>
      <c r="J297" s="6">
        <v>-0.94499351569871182</v>
      </c>
      <c r="K297" s="6">
        <v>1.4280575535722282</v>
      </c>
      <c r="L297" s="6">
        <v>-0.35689011780720808</v>
      </c>
      <c r="N297" s="8">
        <f>SQRT((C297-Sheet4!$C$525)^2+(D297-Sheet4!$D$525)^2+(E297-Sheet4!$E$525)^2+(F297-Sheet4!$F$525)^2+(G297-Sheet4!$G$525)^2+(H297-Sheet4!$H$525)^2+(I297-Sheet4!$I$525)^2+(J297-Sheet4!$J$525)^2+(K297-Sheet4!$K$525)^2+(L297-Sheet4!$L$525)^2)</f>
        <v>3.1598228123414414</v>
      </c>
      <c r="O297" s="8">
        <f>SQRT((C297-Sheet4!$C$526)^2+(D297-Sheet4!$D$526)^2+(E297-Sheet4!$E$526)^2+(F297-Sheet4!$F$526)^2+(G297-Sheet4!$G$526)^2+(H297-Sheet4!$H$526)^2+(I297-Sheet4!$I$526)^2+(J297-Sheet4!$J$526)^2+(K297-Sheet4!$K$526)^2+(L297-Sheet4!$L$526)^2)</f>
        <v>6.6032020361584172</v>
      </c>
      <c r="P297" s="12">
        <f t="shared" si="4"/>
        <v>0</v>
      </c>
      <c r="Q297" s="11">
        <f>IF(P297=Sheet1!$M297, 1, 0)</f>
        <v>0</v>
      </c>
    </row>
    <row r="298" spans="1:17" x14ac:dyDescent="0.35">
      <c r="A298" s="6" t="s">
        <v>322</v>
      </c>
      <c r="B298" s="6" t="s">
        <v>327</v>
      </c>
      <c r="C298" s="6">
        <v>1.3885695508550437</v>
      </c>
      <c r="D298" s="6">
        <v>-0.29253548090264925</v>
      </c>
      <c r="E298" s="6">
        <v>-1.4738582750840594</v>
      </c>
      <c r="F298" s="6">
        <v>-0.96087646010646144</v>
      </c>
      <c r="G298" s="6">
        <v>-0.74527531887634235</v>
      </c>
      <c r="H298" s="6">
        <v>-0.38632137787289705</v>
      </c>
      <c r="I298" s="6">
        <v>0.14110238708896297</v>
      </c>
      <c r="J298" s="6">
        <v>-0.4477272341571592</v>
      </c>
      <c r="K298" s="6">
        <v>1.3998893327407853</v>
      </c>
      <c r="L298" s="6">
        <v>-0.39731579309109355</v>
      </c>
      <c r="N298" s="8">
        <f>SQRT((C298-Sheet4!$C$525)^2+(D298-Sheet4!$D$525)^2+(E298-Sheet4!$E$525)^2+(F298-Sheet4!$F$525)^2+(G298-Sheet4!$G$525)^2+(H298-Sheet4!$H$525)^2+(I298-Sheet4!$I$525)^2+(J298-Sheet4!$J$525)^2+(K298-Sheet4!$K$525)^2+(L298-Sheet4!$L$525)^2)</f>
        <v>2.1519083513897392</v>
      </c>
      <c r="O298" s="8">
        <f>SQRT((C298-Sheet4!$C$526)^2+(D298-Sheet4!$D$526)^2+(E298-Sheet4!$E$526)^2+(F298-Sheet4!$F$526)^2+(G298-Sheet4!$G$526)^2+(H298-Sheet4!$H$526)^2+(I298-Sheet4!$I$526)^2+(J298-Sheet4!$J$526)^2+(K298-Sheet4!$K$526)^2+(L298-Sheet4!$L$526)^2)</f>
        <v>5.3046448494681089</v>
      </c>
      <c r="P298" s="12">
        <f t="shared" si="4"/>
        <v>0</v>
      </c>
      <c r="Q298" s="11">
        <f>IF(P298=Sheet1!$M298, 1, 0)</f>
        <v>0</v>
      </c>
    </row>
    <row r="299" spans="1:17" x14ac:dyDescent="0.35">
      <c r="A299" s="6" t="s">
        <v>322</v>
      </c>
      <c r="B299" s="6" t="s">
        <v>328</v>
      </c>
      <c r="C299" s="6">
        <v>0.45720644868139365</v>
      </c>
      <c r="D299" s="6">
        <v>-0.66080204270515153</v>
      </c>
      <c r="E299" s="6">
        <v>-1.0660483296665568</v>
      </c>
      <c r="F299" s="6">
        <v>-1.1026175027664555</v>
      </c>
      <c r="G299" s="6">
        <v>-1.3840472280016443</v>
      </c>
      <c r="H299" s="6">
        <v>-0.29098308870633555</v>
      </c>
      <c r="I299" s="6">
        <v>0.20038950040401293</v>
      </c>
      <c r="J299" s="6">
        <v>0.11027386039710205</v>
      </c>
      <c r="K299" s="6">
        <v>0.21056445319101608</v>
      </c>
      <c r="L299" s="6">
        <v>-0.39583270648957741</v>
      </c>
      <c r="N299" s="8">
        <f>SQRT((C299-Sheet4!$C$525)^2+(D299-Sheet4!$D$525)^2+(E299-Sheet4!$E$525)^2+(F299-Sheet4!$F$525)^2+(G299-Sheet4!$G$525)^2+(H299-Sheet4!$H$525)^2+(I299-Sheet4!$I$525)^2+(J299-Sheet4!$J$525)^2+(K299-Sheet4!$K$525)^2+(L299-Sheet4!$L$525)^2)</f>
        <v>1.6417147467656741</v>
      </c>
      <c r="O299" s="8">
        <f>SQRT((C299-Sheet4!$C$526)^2+(D299-Sheet4!$D$526)^2+(E299-Sheet4!$E$526)^2+(F299-Sheet4!$F$526)^2+(G299-Sheet4!$G$526)^2+(H299-Sheet4!$H$526)^2+(I299-Sheet4!$I$526)^2+(J299-Sheet4!$J$526)^2+(K299-Sheet4!$K$526)^2+(L299-Sheet4!$L$526)^2)</f>
        <v>4.7494452628059962</v>
      </c>
      <c r="P299" s="12">
        <f t="shared" si="4"/>
        <v>0</v>
      </c>
      <c r="Q299" s="11">
        <f>IF(P299=Sheet1!$M299, 1, 0)</f>
        <v>1</v>
      </c>
    </row>
    <row r="300" spans="1:17" x14ac:dyDescent="0.35">
      <c r="A300" s="6" t="s">
        <v>322</v>
      </c>
      <c r="B300" s="6" t="s">
        <v>329</v>
      </c>
      <c r="C300" s="6">
        <v>1.1832402214133022</v>
      </c>
      <c r="D300" s="6">
        <v>-1.0197783520730632E-2</v>
      </c>
      <c r="E300" s="6">
        <v>-1.3165548905372901</v>
      </c>
      <c r="F300" s="6">
        <v>-1.3183103937707965</v>
      </c>
      <c r="G300" s="6">
        <v>-2.3276875483003843</v>
      </c>
      <c r="H300" s="6">
        <v>0.32090559204628627</v>
      </c>
      <c r="I300" s="6">
        <v>-0.68254224090075621</v>
      </c>
      <c r="J300" s="6">
        <v>-0.93740166407212322</v>
      </c>
      <c r="K300" s="6">
        <v>0.45938373720208692</v>
      </c>
      <c r="L300" s="6">
        <v>-0.41618871679619918</v>
      </c>
      <c r="N300" s="8">
        <f>SQRT((C300-Sheet4!$C$525)^2+(D300-Sheet4!$D$525)^2+(E300-Sheet4!$E$525)^2+(F300-Sheet4!$F$525)^2+(G300-Sheet4!$G$525)^2+(H300-Sheet4!$H$525)^2+(I300-Sheet4!$I$525)^2+(J300-Sheet4!$J$525)^2+(K300-Sheet4!$K$525)^2+(L300-Sheet4!$L$525)^2)</f>
        <v>2.7714153056799145</v>
      </c>
      <c r="O300" s="8">
        <f>SQRT((C300-Sheet4!$C$526)^2+(D300-Sheet4!$D$526)^2+(E300-Sheet4!$E$526)^2+(F300-Sheet4!$F$526)^2+(G300-Sheet4!$G$526)^2+(H300-Sheet4!$H$526)^2+(I300-Sheet4!$I$526)^2+(J300-Sheet4!$J$526)^2+(K300-Sheet4!$K$526)^2+(L300-Sheet4!$L$526)^2)</f>
        <v>5.8876486273894013</v>
      </c>
      <c r="P300" s="12">
        <f t="shared" si="4"/>
        <v>0</v>
      </c>
      <c r="Q300" s="11">
        <f>IF(P300=Sheet1!$M300, 1, 0)</f>
        <v>0</v>
      </c>
    </row>
    <row r="301" spans="1:17" x14ac:dyDescent="0.35">
      <c r="A301" s="6" t="s">
        <v>322</v>
      </c>
      <c r="B301" s="6" t="s">
        <v>330</v>
      </c>
      <c r="C301" s="6">
        <v>1.8703553630745542</v>
      </c>
      <c r="D301" s="6">
        <v>-0.1268155280915228</v>
      </c>
      <c r="E301" s="6">
        <v>-1.1301485378893621</v>
      </c>
      <c r="F301" s="6">
        <v>-0.79756612834603213</v>
      </c>
      <c r="G301" s="6">
        <v>-0.71333672342007748</v>
      </c>
      <c r="H301" s="6">
        <v>0.79059479065217197</v>
      </c>
      <c r="I301" s="6">
        <v>0.49555007529506556</v>
      </c>
      <c r="J301" s="6">
        <v>-4.5359097947963757E-2</v>
      </c>
      <c r="K301" s="6">
        <v>-0.19161514423568365</v>
      </c>
      <c r="L301" s="6">
        <v>-0.43427609229222597</v>
      </c>
      <c r="N301" s="8">
        <f>SQRT((C301-Sheet4!$C$525)^2+(D301-Sheet4!$D$525)^2+(E301-Sheet4!$E$525)^2+(F301-Sheet4!$F$525)^2+(G301-Sheet4!$G$525)^2+(H301-Sheet4!$H$525)^2+(I301-Sheet4!$I$525)^2+(J301-Sheet4!$J$525)^2+(K301-Sheet4!$K$525)^2+(L301-Sheet4!$L$525)^2)</f>
        <v>2.3513578109899993</v>
      </c>
      <c r="O301" s="8">
        <f>SQRT((C301-Sheet4!$C$526)^2+(D301-Sheet4!$D$526)^2+(E301-Sheet4!$E$526)^2+(F301-Sheet4!$F$526)^2+(G301-Sheet4!$G$526)^2+(H301-Sheet4!$H$526)^2+(I301-Sheet4!$I$526)^2+(J301-Sheet4!$J$526)^2+(K301-Sheet4!$K$526)^2+(L301-Sheet4!$L$526)^2)</f>
        <v>4.6281653627677075</v>
      </c>
      <c r="P301" s="12">
        <f t="shared" si="4"/>
        <v>0</v>
      </c>
      <c r="Q301" s="11">
        <f>IF(P301=Sheet1!$M301, 1, 0)</f>
        <v>0</v>
      </c>
    </row>
    <row r="302" spans="1:17" x14ac:dyDescent="0.35">
      <c r="A302" s="6" t="s">
        <v>322</v>
      </c>
      <c r="B302" s="6" t="s">
        <v>331</v>
      </c>
      <c r="C302" s="6">
        <v>-0.15207143083854427</v>
      </c>
      <c r="D302" s="6">
        <v>-0.43984210562365039</v>
      </c>
      <c r="E302" s="6">
        <v>-1.0118947054783247</v>
      </c>
      <c r="F302" s="6">
        <v>-0.87922129422624684</v>
      </c>
      <c r="G302" s="6">
        <v>-1.262099863532268</v>
      </c>
      <c r="H302" s="6">
        <v>0.85415365009654687</v>
      </c>
      <c r="I302" s="6">
        <v>0.88633502650071505</v>
      </c>
      <c r="J302" s="6">
        <v>-0.47429871485021918</v>
      </c>
      <c r="K302" s="6">
        <v>0.36548966776394587</v>
      </c>
      <c r="L302" s="6">
        <v>-0.3854336947288074</v>
      </c>
      <c r="N302" s="8">
        <f>SQRT((C302-Sheet4!$C$525)^2+(D302-Sheet4!$D$525)^2+(E302-Sheet4!$E$525)^2+(F302-Sheet4!$F$525)^2+(G302-Sheet4!$G$525)^2+(H302-Sheet4!$H$525)^2+(I302-Sheet4!$I$525)^2+(J302-Sheet4!$J$525)^2+(K302-Sheet4!$K$525)^2+(L302-Sheet4!$L$525)^2)</f>
        <v>2.0521707013463799</v>
      </c>
      <c r="O302" s="8">
        <f>SQRT((C302-Sheet4!$C$526)^2+(D302-Sheet4!$D$526)^2+(E302-Sheet4!$E$526)^2+(F302-Sheet4!$F$526)^2+(G302-Sheet4!$G$526)^2+(H302-Sheet4!$H$526)^2+(I302-Sheet4!$I$526)^2+(J302-Sheet4!$J$526)^2+(K302-Sheet4!$K$526)^2+(L302-Sheet4!$L$526)^2)</f>
        <v>4.4462040768373168</v>
      </c>
      <c r="P302" s="12">
        <f t="shared" si="4"/>
        <v>0</v>
      </c>
      <c r="Q302" s="11">
        <f>IF(P302=Sheet1!$M302, 1, 0)</f>
        <v>1</v>
      </c>
    </row>
    <row r="303" spans="1:17" x14ac:dyDescent="0.35">
      <c r="A303" s="6" t="s">
        <v>322</v>
      </c>
      <c r="B303" s="6" t="s">
        <v>332</v>
      </c>
      <c r="C303" s="6">
        <v>0.14451537835508185</v>
      </c>
      <c r="D303" s="6">
        <v>-0.9124508599368617</v>
      </c>
      <c r="E303" s="6">
        <v>-0.84869704891106756</v>
      </c>
      <c r="F303" s="6">
        <v>-0.69588233687255807</v>
      </c>
      <c r="G303" s="6">
        <v>-0.64074900647402055</v>
      </c>
      <c r="H303" s="6">
        <v>0.31982832324214455</v>
      </c>
      <c r="I303" s="6">
        <v>0.44455040792728123</v>
      </c>
      <c r="J303" s="6">
        <v>-0.19719613047973569</v>
      </c>
      <c r="K303" s="6">
        <v>0.69724871311204029</v>
      </c>
      <c r="L303" s="6">
        <v>-0.38849611038565041</v>
      </c>
      <c r="N303" s="8">
        <f>SQRT((C303-Sheet4!$C$525)^2+(D303-Sheet4!$D$525)^2+(E303-Sheet4!$E$525)^2+(F303-Sheet4!$F$525)^2+(G303-Sheet4!$G$525)^2+(H303-Sheet4!$H$525)^2+(I303-Sheet4!$I$525)^2+(J303-Sheet4!$J$525)^2+(K303-Sheet4!$K$525)^2+(L303-Sheet4!$L$525)^2)</f>
        <v>1.3410461201281869</v>
      </c>
      <c r="O303" s="8">
        <f>SQRT((C303-Sheet4!$C$526)^2+(D303-Sheet4!$D$526)^2+(E303-Sheet4!$E$526)^2+(F303-Sheet4!$F$526)^2+(G303-Sheet4!$G$526)^2+(H303-Sheet4!$H$526)^2+(I303-Sheet4!$I$526)^2+(J303-Sheet4!$J$526)^2+(K303-Sheet4!$K$526)^2+(L303-Sheet4!$L$526)^2)</f>
        <v>4.2685088827456177</v>
      </c>
      <c r="P303" s="12">
        <f t="shared" si="4"/>
        <v>0</v>
      </c>
      <c r="Q303" s="11">
        <f>IF(P303=Sheet1!$M303, 1, 0)</f>
        <v>1</v>
      </c>
    </row>
    <row r="304" spans="1:17" x14ac:dyDescent="0.35">
      <c r="A304" s="6" t="s">
        <v>322</v>
      </c>
      <c r="B304" s="6" t="s">
        <v>333</v>
      </c>
      <c r="C304" s="6">
        <v>1.5912148367746703</v>
      </c>
      <c r="D304" s="6">
        <v>-0.24957104869235763</v>
      </c>
      <c r="E304" s="6">
        <v>-0.47809469562289436</v>
      </c>
      <c r="F304" s="6">
        <v>-0.40469693401669876</v>
      </c>
      <c r="G304" s="6">
        <v>-1.2272577593981593</v>
      </c>
      <c r="H304" s="6">
        <v>0.50781172956491283</v>
      </c>
      <c r="I304" s="6">
        <v>0.82003545892259477</v>
      </c>
      <c r="J304" s="6">
        <v>-0.92980981244553462</v>
      </c>
      <c r="K304" s="6">
        <v>1.2684376355273892</v>
      </c>
      <c r="L304" s="6">
        <v>-0.37195417222543659</v>
      </c>
      <c r="N304" s="8">
        <f>SQRT((C304-Sheet4!$C$525)^2+(D304-Sheet4!$D$525)^2+(E304-Sheet4!$E$525)^2+(F304-Sheet4!$F$525)^2+(G304-Sheet4!$G$525)^2+(H304-Sheet4!$H$525)^2+(I304-Sheet4!$I$525)^2+(J304-Sheet4!$J$525)^2+(K304-Sheet4!$K$525)^2+(L304-Sheet4!$L$525)^2)</f>
        <v>2.4204011009030899</v>
      </c>
      <c r="O304" s="8">
        <f>SQRT((C304-Sheet4!$C$526)^2+(D304-Sheet4!$D$526)^2+(E304-Sheet4!$E$526)^2+(F304-Sheet4!$F$526)^2+(G304-Sheet4!$G$526)^2+(H304-Sheet4!$H$526)^2+(I304-Sheet4!$I$526)^2+(J304-Sheet4!$J$526)^2+(K304-Sheet4!$K$526)^2+(L304-Sheet4!$L$526)^2)</f>
        <v>4.92801062004912</v>
      </c>
      <c r="P304" s="12">
        <f t="shared" si="4"/>
        <v>0</v>
      </c>
      <c r="Q304" s="11">
        <f>IF(P304=Sheet1!$M304, 1, 0)</f>
        <v>0</v>
      </c>
    </row>
    <row r="305" spans="1:17" x14ac:dyDescent="0.35">
      <c r="A305" s="6" t="s">
        <v>322</v>
      </c>
      <c r="B305" s="6" t="s">
        <v>334</v>
      </c>
      <c r="C305" s="6">
        <v>4.1179702753682719E-2</v>
      </c>
      <c r="D305" s="6">
        <v>5.7317752809727819E-2</v>
      </c>
      <c r="E305" s="6">
        <v>-0.55472023188923636</v>
      </c>
      <c r="F305" s="6">
        <v>-0.31533845060061522</v>
      </c>
      <c r="G305" s="6">
        <v>-0.44621392505858753</v>
      </c>
      <c r="H305" s="6">
        <v>0.76474033935276597</v>
      </c>
      <c r="I305" s="6">
        <v>0.60009939339902385</v>
      </c>
      <c r="J305" s="6">
        <v>-0.78556463154035128</v>
      </c>
      <c r="K305" s="6">
        <v>0.47346784761780619</v>
      </c>
      <c r="L305" s="6">
        <v>-0.41013171071157739</v>
      </c>
      <c r="N305" s="8">
        <f>SQRT((C305-Sheet4!$C$525)^2+(D305-Sheet4!$D$525)^2+(E305-Sheet4!$E$525)^2+(F305-Sheet4!$F$525)^2+(G305-Sheet4!$G$525)^2+(H305-Sheet4!$H$525)^2+(I305-Sheet4!$I$525)^2+(J305-Sheet4!$J$525)^2+(K305-Sheet4!$K$525)^2+(L305-Sheet4!$L$525)^2)</f>
        <v>1.5078076948292891</v>
      </c>
      <c r="O305" s="8">
        <f>SQRT((C305-Sheet4!$C$526)^2+(D305-Sheet4!$D$526)^2+(E305-Sheet4!$E$526)^2+(F305-Sheet4!$F$526)^2+(G305-Sheet4!$G$526)^2+(H305-Sheet4!$H$526)^2+(I305-Sheet4!$I$526)^2+(J305-Sheet4!$J$526)^2+(K305-Sheet4!$K$526)^2+(L305-Sheet4!$L$526)^2)</f>
        <v>3.6849076484457535</v>
      </c>
      <c r="P305" s="12">
        <f t="shared" si="4"/>
        <v>0</v>
      </c>
      <c r="Q305" s="11">
        <f>IF(P305=Sheet1!$M305, 1, 0)</f>
        <v>1</v>
      </c>
    </row>
    <row r="306" spans="1:17" x14ac:dyDescent="0.35">
      <c r="A306" s="6" t="s">
        <v>322</v>
      </c>
      <c r="B306" s="6" t="s">
        <v>335</v>
      </c>
      <c r="C306" s="6">
        <v>1.1013768939888173</v>
      </c>
      <c r="D306" s="6">
        <v>-0.50735764195410882</v>
      </c>
      <c r="E306" s="6">
        <v>-1.1758291460481429</v>
      </c>
      <c r="F306" s="6">
        <v>-0.7575088771595111</v>
      </c>
      <c r="G306" s="6">
        <v>-0.73946830152065901</v>
      </c>
      <c r="H306" s="6">
        <v>-0.23496511089095434</v>
      </c>
      <c r="I306" s="6">
        <v>0.41713808671709751</v>
      </c>
      <c r="J306" s="6">
        <v>-0.51605389879645636</v>
      </c>
      <c r="K306" s="6">
        <v>1.2731323389992963</v>
      </c>
      <c r="L306" s="6">
        <v>-0.39571398099618771</v>
      </c>
      <c r="N306" s="8">
        <f>SQRT((C306-Sheet4!$C$525)^2+(D306-Sheet4!$D$525)^2+(E306-Sheet4!$E$525)^2+(F306-Sheet4!$F$525)^2+(G306-Sheet4!$G$525)^2+(H306-Sheet4!$H$525)^2+(I306-Sheet4!$I$525)^2+(J306-Sheet4!$J$525)^2+(K306-Sheet4!$K$525)^2+(L306-Sheet4!$L$525)^2)</f>
        <v>1.8214622862932501</v>
      </c>
      <c r="O306" s="8">
        <f>SQRT((C306-Sheet4!$C$526)^2+(D306-Sheet4!$D$526)^2+(E306-Sheet4!$E$526)^2+(F306-Sheet4!$F$526)^2+(G306-Sheet4!$G$526)^2+(H306-Sheet4!$H$526)^2+(I306-Sheet4!$I$526)^2+(J306-Sheet4!$J$526)^2+(K306-Sheet4!$K$526)^2+(L306-Sheet4!$L$526)^2)</f>
        <v>4.9586285168416566</v>
      </c>
      <c r="P306" s="12">
        <f t="shared" si="4"/>
        <v>0</v>
      </c>
      <c r="Q306" s="11">
        <f>IF(P306=Sheet1!$M306, 1, 0)</f>
        <v>0</v>
      </c>
    </row>
    <row r="307" spans="1:17" x14ac:dyDescent="0.35">
      <c r="A307" s="6" t="s">
        <v>322</v>
      </c>
      <c r="B307" s="6" t="s">
        <v>336</v>
      </c>
      <c r="C307" s="6">
        <v>2.1213134323922374</v>
      </c>
      <c r="D307" s="6">
        <v>-0.44597988165369196</v>
      </c>
      <c r="E307" s="6">
        <v>-1.4079161068548518</v>
      </c>
      <c r="F307" s="6">
        <v>-1.1288087823884114</v>
      </c>
      <c r="G307" s="6">
        <v>-1.386950736679488</v>
      </c>
      <c r="H307" s="6">
        <v>0.55628882575130034</v>
      </c>
      <c r="I307" s="6">
        <v>0.4573003247692275</v>
      </c>
      <c r="J307" s="6">
        <v>-0.52744167623633942</v>
      </c>
      <c r="K307" s="6">
        <v>0.73480634088729546</v>
      </c>
      <c r="L307" s="6">
        <v>-0.41774111217307142</v>
      </c>
      <c r="N307" s="8">
        <f>SQRT((C307-Sheet4!$C$525)^2+(D307-Sheet4!$D$525)^2+(E307-Sheet4!$E$525)^2+(F307-Sheet4!$F$525)^2+(G307-Sheet4!$G$525)^2+(H307-Sheet4!$H$525)^2+(I307-Sheet4!$I$525)^2+(J307-Sheet4!$J$525)^2+(K307-Sheet4!$K$525)^2+(L307-Sheet4!$L$525)^2)</f>
        <v>2.7833342922998257</v>
      </c>
      <c r="O307" s="8">
        <f>SQRT((C307-Sheet4!$C$526)^2+(D307-Sheet4!$D$526)^2+(E307-Sheet4!$E$526)^2+(F307-Sheet4!$F$526)^2+(G307-Sheet4!$G$526)^2+(H307-Sheet4!$H$526)^2+(I307-Sheet4!$I$526)^2+(J307-Sheet4!$J$526)^2+(K307-Sheet4!$K$526)^2+(L307-Sheet4!$L$526)^2)</f>
        <v>5.6317742313016081</v>
      </c>
      <c r="P307" s="12">
        <f t="shared" si="4"/>
        <v>0</v>
      </c>
      <c r="Q307" s="11">
        <f>IF(P307=Sheet1!$M307, 1, 0)</f>
        <v>0</v>
      </c>
    </row>
    <row r="308" spans="1:17" x14ac:dyDescent="0.35">
      <c r="A308" s="6" t="s">
        <v>322</v>
      </c>
      <c r="B308" s="6" t="s">
        <v>337</v>
      </c>
      <c r="C308" s="6">
        <v>0.75781932315819156</v>
      </c>
      <c r="D308" s="6">
        <v>-0.5380465221043178</v>
      </c>
      <c r="E308" s="6">
        <v>-1.0737845616934472</v>
      </c>
      <c r="F308" s="6">
        <v>-0.88692461176211568</v>
      </c>
      <c r="G308" s="6">
        <v>-0.63784549779618094</v>
      </c>
      <c r="H308" s="6">
        <v>-0.23658101409716734</v>
      </c>
      <c r="I308" s="6">
        <v>0.35020102329687958</v>
      </c>
      <c r="J308" s="6">
        <v>-4.5359097947963757E-2</v>
      </c>
      <c r="K308" s="6">
        <v>0.58144602747166874</v>
      </c>
      <c r="L308" s="6">
        <v>-0.41094878950311398</v>
      </c>
      <c r="N308" s="8">
        <f>SQRT((C308-Sheet4!$C$525)^2+(D308-Sheet4!$D$525)^2+(E308-Sheet4!$E$525)^2+(F308-Sheet4!$F$525)^2+(G308-Sheet4!$G$525)^2+(H308-Sheet4!$H$525)^2+(I308-Sheet4!$I$525)^2+(J308-Sheet4!$J$525)^2+(K308-Sheet4!$K$525)^2+(L308-Sheet4!$L$525)^2)</f>
        <v>1.3231257493336503</v>
      </c>
      <c r="O308" s="8">
        <f>SQRT((C308-Sheet4!$C$526)^2+(D308-Sheet4!$D$526)^2+(E308-Sheet4!$E$526)^2+(F308-Sheet4!$F$526)^2+(G308-Sheet4!$G$526)^2+(H308-Sheet4!$H$526)^2+(I308-Sheet4!$I$526)^2+(J308-Sheet4!$J$526)^2+(K308-Sheet4!$K$526)^2+(L308-Sheet4!$L$526)^2)</f>
        <v>4.4795890712558926</v>
      </c>
      <c r="P308" s="12">
        <f t="shared" si="4"/>
        <v>0</v>
      </c>
      <c r="Q308" s="11">
        <f>IF(P308=Sheet1!$M308, 1, 0)</f>
        <v>1</v>
      </c>
    </row>
    <row r="309" spans="1:17" x14ac:dyDescent="0.35">
      <c r="A309" s="6" t="s">
        <v>322</v>
      </c>
      <c r="B309" s="6" t="s">
        <v>338</v>
      </c>
      <c r="C309" s="6">
        <v>2.952024902486603</v>
      </c>
      <c r="D309" s="6">
        <v>-1.2070641093788641</v>
      </c>
      <c r="E309" s="6">
        <v>-1.5707453714208284</v>
      </c>
      <c r="F309" s="6">
        <v>-1.2520618629623208</v>
      </c>
      <c r="G309" s="6">
        <v>-0.35910866472332004</v>
      </c>
      <c r="H309" s="6">
        <v>-1.4361198275092175</v>
      </c>
      <c r="I309" s="6">
        <v>-1.5590990237845532</v>
      </c>
      <c r="J309" s="6">
        <v>-1.3701372067876727</v>
      </c>
      <c r="K309" s="6">
        <v>-5.3903842393077189E-2</v>
      </c>
      <c r="L309" s="6">
        <v>-0.44290788699405059</v>
      </c>
      <c r="N309" s="8">
        <f>SQRT((C309-Sheet4!$C$525)^2+(D309-Sheet4!$D$525)^2+(E309-Sheet4!$E$525)^2+(F309-Sheet4!$F$525)^2+(G309-Sheet4!$G$525)^2+(H309-Sheet4!$H$525)^2+(I309-Sheet4!$I$525)^2+(J309-Sheet4!$J$525)^2+(K309-Sheet4!$K$525)^2+(L309-Sheet4!$L$525)^2)</f>
        <v>3.7980944196331645</v>
      </c>
      <c r="O309" s="8">
        <f>SQRT((C309-Sheet4!$C$526)^2+(D309-Sheet4!$D$526)^2+(E309-Sheet4!$E$526)^2+(F309-Sheet4!$F$526)^2+(G309-Sheet4!$G$526)^2+(H309-Sheet4!$H$526)^2+(I309-Sheet4!$I$526)^2+(J309-Sheet4!$J$526)^2+(K309-Sheet4!$K$526)^2+(L309-Sheet4!$L$526)^2)</f>
        <v>7.0081714600334877</v>
      </c>
      <c r="P309" s="12">
        <f t="shared" si="4"/>
        <v>0</v>
      </c>
      <c r="Q309" s="11">
        <f>IF(P309=Sheet1!$M309, 1, 0)</f>
        <v>0</v>
      </c>
    </row>
    <row r="310" spans="1:17" x14ac:dyDescent="0.35">
      <c r="A310" s="6" t="s">
        <v>322</v>
      </c>
      <c r="B310" s="6" t="s">
        <v>339</v>
      </c>
      <c r="C310" s="6">
        <v>2.1347336500028091</v>
      </c>
      <c r="D310" s="6">
        <v>-1.2807174217393646</v>
      </c>
      <c r="E310" s="6">
        <v>-1.4624381230443642</v>
      </c>
      <c r="F310" s="6">
        <v>-1.1765693511108013</v>
      </c>
      <c r="G310" s="6">
        <v>-0.31555603455568837</v>
      </c>
      <c r="H310" s="6">
        <v>-1.8880340908467614</v>
      </c>
      <c r="I310" s="6">
        <v>-0.15214570027579766</v>
      </c>
      <c r="J310" s="6">
        <v>-1.1461775838033095</v>
      </c>
      <c r="K310" s="6">
        <v>2.1698207021335314</v>
      </c>
      <c r="L310" s="6">
        <v>-0.40972860402054001</v>
      </c>
      <c r="N310" s="8">
        <f>SQRT((C310-Sheet4!$C$525)^2+(D310-Sheet4!$D$525)^2+(E310-Sheet4!$E$525)^2+(F310-Sheet4!$F$525)^2+(G310-Sheet4!$G$525)^2+(H310-Sheet4!$H$525)^2+(I310-Sheet4!$I$525)^2+(J310-Sheet4!$J$525)^2+(K310-Sheet4!$K$525)^2+(L310-Sheet4!$L$525)^2)</f>
        <v>3.6575213157802193</v>
      </c>
      <c r="O310" s="8">
        <f>SQRT((C310-Sheet4!$C$526)^2+(D310-Sheet4!$D$526)^2+(E310-Sheet4!$E$526)^2+(F310-Sheet4!$F$526)^2+(G310-Sheet4!$G$526)^2+(H310-Sheet4!$H$526)^2+(I310-Sheet4!$I$526)^2+(J310-Sheet4!$J$526)^2+(K310-Sheet4!$K$526)^2+(L310-Sheet4!$L$526)^2)</f>
        <v>6.8619400877554977</v>
      </c>
      <c r="P310" s="12">
        <f t="shared" si="4"/>
        <v>0</v>
      </c>
      <c r="Q310" s="11">
        <f>IF(P310=Sheet1!$M310, 1, 0)</f>
        <v>0</v>
      </c>
    </row>
    <row r="311" spans="1:17" x14ac:dyDescent="0.35">
      <c r="A311" s="6" t="s">
        <v>322</v>
      </c>
      <c r="B311" s="6" t="s">
        <v>340</v>
      </c>
      <c r="C311" s="6">
        <v>8.5466420868568094E-2</v>
      </c>
      <c r="D311" s="6">
        <v>-0.32936213708289924</v>
      </c>
      <c r="E311" s="6">
        <v>-0.76286171261271329</v>
      </c>
      <c r="F311" s="6">
        <v>-0.63271513307843041</v>
      </c>
      <c r="G311" s="6">
        <v>-0.69881918003086696</v>
      </c>
      <c r="H311" s="6">
        <v>0.63923852367022937</v>
      </c>
      <c r="I311" s="6">
        <v>0.58352450150449442</v>
      </c>
      <c r="J311" s="6">
        <v>-1.552341645825799</v>
      </c>
      <c r="K311" s="6">
        <v>-0.35592976575242774</v>
      </c>
      <c r="L311" s="6">
        <v>-0.42955388086498325</v>
      </c>
      <c r="N311" s="8">
        <f>SQRT((C311-Sheet4!$C$525)^2+(D311-Sheet4!$D$525)^2+(E311-Sheet4!$E$525)^2+(F311-Sheet4!$F$525)^2+(G311-Sheet4!$G$525)^2+(H311-Sheet4!$H$525)^2+(I311-Sheet4!$I$525)^2+(J311-Sheet4!$J$525)^2+(K311-Sheet4!$K$525)^2+(L311-Sheet4!$L$525)^2)</f>
        <v>1.88710650760607</v>
      </c>
      <c r="O311" s="8">
        <f>SQRT((C311-Sheet4!$C$526)^2+(D311-Sheet4!$D$526)^2+(E311-Sheet4!$E$526)^2+(F311-Sheet4!$F$526)^2+(G311-Sheet4!$G$526)^2+(H311-Sheet4!$H$526)^2+(I311-Sheet4!$I$526)^2+(J311-Sheet4!$J$526)^2+(K311-Sheet4!$K$526)^2+(L311-Sheet4!$L$526)^2)</f>
        <v>4.4060657639067031</v>
      </c>
      <c r="P311" s="12">
        <f t="shared" si="4"/>
        <v>0</v>
      </c>
      <c r="Q311" s="11">
        <f>IF(P311=Sheet1!$M311, 1, 0)</f>
        <v>1</v>
      </c>
    </row>
    <row r="312" spans="1:17" x14ac:dyDescent="0.35">
      <c r="A312" s="6" t="s">
        <v>322</v>
      </c>
      <c r="B312" s="6" t="s">
        <v>341</v>
      </c>
      <c r="C312" s="6">
        <v>1.9092739941452108</v>
      </c>
      <c r="D312" s="6">
        <v>-0.6669398187351937</v>
      </c>
      <c r="E312" s="6">
        <v>-1.6742635237806462</v>
      </c>
      <c r="F312" s="6">
        <v>-1.3183103937707965</v>
      </c>
      <c r="G312" s="6">
        <v>-0.46073146844780222</v>
      </c>
      <c r="H312" s="6">
        <v>-1.627873674646483</v>
      </c>
      <c r="I312" s="6">
        <v>-0.60604273984908019</v>
      </c>
      <c r="J312" s="6">
        <v>-1.1765449903096639</v>
      </c>
      <c r="K312" s="6">
        <v>1.9538643424258106</v>
      </c>
      <c r="L312" s="6">
        <v>-0.41533519709292871</v>
      </c>
      <c r="N312" s="8">
        <f>SQRT((C312-Sheet4!$C$525)^2+(D312-Sheet4!$D$525)^2+(E312-Sheet4!$E$525)^2+(F312-Sheet4!$F$525)^2+(G312-Sheet4!$G$525)^2+(H312-Sheet4!$H$525)^2+(I312-Sheet4!$I$525)^2+(J312-Sheet4!$J$525)^2+(K312-Sheet4!$K$525)^2+(L312-Sheet4!$L$525)^2)</f>
        <v>3.3406723139648671</v>
      </c>
      <c r="O312" s="8">
        <f>SQRT((C312-Sheet4!$C$526)^2+(D312-Sheet4!$D$526)^2+(E312-Sheet4!$E$526)^2+(F312-Sheet4!$F$526)^2+(G312-Sheet4!$G$526)^2+(H312-Sheet4!$H$526)^2+(I312-Sheet4!$I$526)^2+(J312-Sheet4!$J$526)^2+(K312-Sheet4!$K$526)^2+(L312-Sheet4!$L$526)^2)</f>
        <v>6.6573906937465832</v>
      </c>
      <c r="P312" s="12">
        <f t="shared" si="4"/>
        <v>0</v>
      </c>
      <c r="Q312" s="11">
        <f>IF(P312=Sheet1!$M312, 1, 0)</f>
        <v>0</v>
      </c>
    </row>
    <row r="313" spans="1:17" x14ac:dyDescent="0.35">
      <c r="A313" s="6" t="s">
        <v>322</v>
      </c>
      <c r="B313" s="6" t="s">
        <v>342</v>
      </c>
      <c r="C313" s="6">
        <v>2.3964278934089496</v>
      </c>
      <c r="D313" s="6">
        <v>-1.0904463648080713</v>
      </c>
      <c r="E313" s="6">
        <v>-1.867300932451623</v>
      </c>
      <c r="F313" s="6">
        <v>-1.9869583558842505</v>
      </c>
      <c r="G313" s="6">
        <v>-2.6122313987289285</v>
      </c>
      <c r="H313" s="6">
        <v>0.21964232445694415</v>
      </c>
      <c r="I313" s="6">
        <v>-2.2412195748286714</v>
      </c>
      <c r="J313" s="6">
        <v>-1.4460557230535587</v>
      </c>
      <c r="K313" s="6">
        <v>-0.10085087711214884</v>
      </c>
      <c r="L313" s="6">
        <v>-0.44253432585874242</v>
      </c>
      <c r="N313" s="8">
        <f>SQRT((C313-Sheet4!$C$525)^2+(D313-Sheet4!$D$525)^2+(E313-Sheet4!$E$525)^2+(F313-Sheet4!$F$525)^2+(G313-Sheet4!$G$525)^2+(H313-Sheet4!$H$525)^2+(I313-Sheet4!$I$525)^2+(J313-Sheet4!$J$525)^2+(K313-Sheet4!$K$525)^2+(L313-Sheet4!$L$525)^2)</f>
        <v>4.5383872200032283</v>
      </c>
      <c r="O313" s="8">
        <f>SQRT((C313-Sheet4!$C$526)^2+(D313-Sheet4!$D$526)^2+(E313-Sheet4!$E$526)^2+(F313-Sheet4!$F$526)^2+(G313-Sheet4!$G$526)^2+(H313-Sheet4!$H$526)^2+(I313-Sheet4!$I$526)^2+(J313-Sheet4!$J$526)^2+(K313-Sheet4!$K$526)^2+(L313-Sheet4!$L$526)^2)</f>
        <v>7.8031502273134619</v>
      </c>
      <c r="P313" s="12">
        <f t="shared" si="4"/>
        <v>0</v>
      </c>
      <c r="Q313" s="11">
        <f>IF(P313=Sheet1!$M313, 1, 0)</f>
        <v>0</v>
      </c>
    </row>
    <row r="314" spans="1:17" x14ac:dyDescent="0.35">
      <c r="A314" s="6" t="s">
        <v>322</v>
      </c>
      <c r="B314" s="6" t="s">
        <v>343</v>
      </c>
      <c r="C314" s="6">
        <v>0.54443786315010712</v>
      </c>
      <c r="D314" s="6">
        <v>-0.82038421948623641</v>
      </c>
      <c r="E314" s="6">
        <v>-1.6444237716769265</v>
      </c>
      <c r="F314" s="6">
        <v>-1.4646734269523125</v>
      </c>
      <c r="G314" s="6">
        <v>-1.3492051238675355</v>
      </c>
      <c r="H314" s="6">
        <v>-0.32976476565544532</v>
      </c>
      <c r="I314" s="6">
        <v>5.6315440090021318E-2</v>
      </c>
      <c r="J314" s="6">
        <v>-0.61854389575540236</v>
      </c>
      <c r="K314" s="6">
        <v>9.9456471022549467E-2</v>
      </c>
      <c r="L314" s="6">
        <v>-0.41891455549994094</v>
      </c>
      <c r="N314" s="8">
        <f>SQRT((C314-Sheet4!$C$525)^2+(D314-Sheet4!$D$525)^2+(E314-Sheet4!$E$525)^2+(F314-Sheet4!$F$525)^2+(G314-Sheet4!$G$525)^2+(H314-Sheet4!$H$525)^2+(I314-Sheet4!$I$525)^2+(J314-Sheet4!$J$525)^2+(K314-Sheet4!$K$525)^2+(L314-Sheet4!$L$525)^2)</f>
        <v>2.0651544793561447</v>
      </c>
      <c r="O314" s="8">
        <f>SQRT((C314-Sheet4!$C$526)^2+(D314-Sheet4!$D$526)^2+(E314-Sheet4!$E$526)^2+(F314-Sheet4!$F$526)^2+(G314-Sheet4!$G$526)^2+(H314-Sheet4!$H$526)^2+(I314-Sheet4!$I$526)^2+(J314-Sheet4!$J$526)^2+(K314-Sheet4!$K$526)^2+(L314-Sheet4!$L$526)^2)</f>
        <v>5.4578553727571917</v>
      </c>
      <c r="P314" s="12">
        <f t="shared" si="4"/>
        <v>0</v>
      </c>
      <c r="Q314" s="11">
        <f>IF(P314=Sheet1!$M314, 1, 0)</f>
        <v>1</v>
      </c>
    </row>
    <row r="315" spans="1:17" x14ac:dyDescent="0.35">
      <c r="A315" s="6" t="s">
        <v>322</v>
      </c>
      <c r="B315" s="6" t="s">
        <v>344</v>
      </c>
      <c r="C315" s="6">
        <v>-0.4164497177667994</v>
      </c>
      <c r="D315" s="6">
        <v>1.9416149940325327</v>
      </c>
      <c r="E315" s="6">
        <v>1.0658361817436401</v>
      </c>
      <c r="F315" s="6">
        <v>1.5118884689075804</v>
      </c>
      <c r="G315" s="6">
        <v>2.1250972074018888E-2</v>
      </c>
      <c r="H315" s="6">
        <v>0.68179064143383628</v>
      </c>
      <c r="I315" s="6">
        <v>0.73014854518687478</v>
      </c>
      <c r="J315" s="6">
        <v>1.7842771440598861</v>
      </c>
      <c r="K315" s="6">
        <v>-1.1149068270440565</v>
      </c>
      <c r="L315" s="6">
        <v>-0.11353933906008178</v>
      </c>
      <c r="N315" s="8">
        <f>SQRT((C315-Sheet4!$C$525)^2+(D315-Sheet4!$D$525)^2+(E315-Sheet4!$E$525)^2+(F315-Sheet4!$F$525)^2+(G315-Sheet4!$G$525)^2+(H315-Sheet4!$H$525)^2+(I315-Sheet4!$I$525)^2+(J315-Sheet4!$J$525)^2+(K315-Sheet4!$K$525)^2+(L315-Sheet4!$L$525)^2)</f>
        <v>4.4656833081426637</v>
      </c>
      <c r="O315" s="8">
        <f>SQRT((C315-Sheet4!$C$526)^2+(D315-Sheet4!$D$526)^2+(E315-Sheet4!$E$526)^2+(F315-Sheet4!$F$526)^2+(G315-Sheet4!$G$526)^2+(H315-Sheet4!$H$526)^2+(I315-Sheet4!$I$526)^2+(J315-Sheet4!$J$526)^2+(K315-Sheet4!$K$526)^2+(L315-Sheet4!$L$526)^2)</f>
        <v>1.7778859846226083</v>
      </c>
      <c r="P315" s="12">
        <f t="shared" si="4"/>
        <v>1</v>
      </c>
      <c r="Q315" s="11">
        <f>IF(P315=Sheet1!$M315, 1, 0)</f>
        <v>0</v>
      </c>
    </row>
    <row r="316" spans="1:17" x14ac:dyDescent="0.35">
      <c r="A316" s="6" t="s">
        <v>345</v>
      </c>
      <c r="B316" s="6" t="s">
        <v>346</v>
      </c>
      <c r="C316" s="6">
        <v>-0.61909500368642634</v>
      </c>
      <c r="D316" s="6">
        <v>-1.0536197086278214</v>
      </c>
      <c r="E316" s="6">
        <v>-0.18301270259722169</v>
      </c>
      <c r="F316" s="6">
        <v>-0.43551020416017633</v>
      </c>
      <c r="G316" s="6">
        <v>-0.16747709198573077</v>
      </c>
      <c r="H316" s="6">
        <v>0.83260827401370774</v>
      </c>
      <c r="I316" s="6">
        <v>0.66703645681924084</v>
      </c>
      <c r="J316" s="6">
        <v>-0.41356390183751041</v>
      </c>
      <c r="K316" s="6">
        <v>0.528239388123389</v>
      </c>
      <c r="L316" s="6">
        <v>-0.16749357745504403</v>
      </c>
      <c r="N316" s="8">
        <f>SQRT((C316-Sheet4!$C$525)^2+(D316-Sheet4!$D$525)^2+(E316-Sheet4!$E$525)^2+(F316-Sheet4!$F$525)^2+(G316-Sheet4!$G$525)^2+(H316-Sheet4!$H$525)^2+(I316-Sheet4!$I$525)^2+(J316-Sheet4!$J$525)^2+(K316-Sheet4!$K$525)^2+(L316-Sheet4!$L$525)^2)</f>
        <v>1.8351355547843131</v>
      </c>
      <c r="O316" s="8">
        <f>SQRT((C316-Sheet4!$C$526)^2+(D316-Sheet4!$D$526)^2+(E316-Sheet4!$E$526)^2+(F316-Sheet4!$F$526)^2+(G316-Sheet4!$G$526)^2+(H316-Sheet4!$H$526)^2+(I316-Sheet4!$I$526)^2+(J316-Sheet4!$J$526)^2+(K316-Sheet4!$K$526)^2+(L316-Sheet4!$L$526)^2)</f>
        <v>3.6800392049379584</v>
      </c>
      <c r="P316" s="12">
        <f t="shared" si="4"/>
        <v>0</v>
      </c>
      <c r="Q316" s="11">
        <f>IF(P316=Sheet1!$M316, 1, 0)</f>
        <v>1</v>
      </c>
    </row>
    <row r="317" spans="1:17" x14ac:dyDescent="0.35">
      <c r="A317" s="6" t="s">
        <v>345</v>
      </c>
      <c r="B317" s="6" t="s">
        <v>347</v>
      </c>
      <c r="C317" s="6">
        <v>-0.77745357149116789</v>
      </c>
      <c r="D317" s="6">
        <v>-1.0045175003874875</v>
      </c>
      <c r="E317" s="6">
        <v>-0.41694162341033297</v>
      </c>
      <c r="F317" s="6">
        <v>-0.29068783448583185</v>
      </c>
      <c r="G317" s="6">
        <v>1.2145930386671946</v>
      </c>
      <c r="H317" s="6">
        <v>0.26758078624126053</v>
      </c>
      <c r="I317" s="6">
        <v>-0.67744227416397784</v>
      </c>
      <c r="J317" s="6">
        <v>-0.24274724023926728</v>
      </c>
      <c r="K317" s="6">
        <v>0.10884587796636379</v>
      </c>
      <c r="L317" s="6">
        <v>-0.33685166998712923</v>
      </c>
      <c r="N317" s="8">
        <f>SQRT((C317-Sheet4!$C$525)^2+(D317-Sheet4!$D$525)^2+(E317-Sheet4!$E$525)^2+(F317-Sheet4!$F$525)^2+(G317-Sheet4!$G$525)^2+(H317-Sheet4!$H$525)^2+(I317-Sheet4!$I$525)^2+(J317-Sheet4!$J$525)^2+(K317-Sheet4!$K$525)^2+(L317-Sheet4!$L$525)^2)</f>
        <v>2.0618803788345952</v>
      </c>
      <c r="O317" s="8">
        <f>SQRT((C317-Sheet4!$C$526)^2+(D317-Sheet4!$D$526)^2+(E317-Sheet4!$E$526)^2+(F317-Sheet4!$F$526)^2+(G317-Sheet4!$G$526)^2+(H317-Sheet4!$H$526)^2+(I317-Sheet4!$I$526)^2+(J317-Sheet4!$J$526)^2+(K317-Sheet4!$K$526)^2+(L317-Sheet4!$L$526)^2)</f>
        <v>3.7061878870848433</v>
      </c>
      <c r="P317" s="12">
        <f t="shared" si="4"/>
        <v>0</v>
      </c>
      <c r="Q317" s="11">
        <f>IF(P317=Sheet1!$M317, 1, 0)</f>
        <v>1</v>
      </c>
    </row>
    <row r="318" spans="1:17" x14ac:dyDescent="0.35">
      <c r="A318" s="6" t="s">
        <v>345</v>
      </c>
      <c r="B318" s="6" t="s">
        <v>348</v>
      </c>
      <c r="C318" s="6">
        <v>-0.17220175725440129</v>
      </c>
      <c r="D318" s="6">
        <v>-0.80810866742615273</v>
      </c>
      <c r="E318" s="6">
        <v>-1.0660483296665568</v>
      </c>
      <c r="F318" s="6">
        <v>-0.5726292562986498</v>
      </c>
      <c r="G318" s="6">
        <v>0.98231234443981319</v>
      </c>
      <c r="H318" s="6">
        <v>-0.77306087855985339</v>
      </c>
      <c r="I318" s="6">
        <v>-1.2492760445252618</v>
      </c>
      <c r="J318" s="6">
        <v>-0.69825833783458258</v>
      </c>
      <c r="K318" s="6">
        <v>0.11354058143827095</v>
      </c>
      <c r="L318" s="6">
        <v>-0.30614159310387706</v>
      </c>
      <c r="N318" s="8">
        <f>SQRT((C318-Sheet4!$C$525)^2+(D318-Sheet4!$D$525)^2+(E318-Sheet4!$E$525)^2+(F318-Sheet4!$F$525)^2+(G318-Sheet4!$G$525)^2+(H318-Sheet4!$H$525)^2+(I318-Sheet4!$I$525)^2+(J318-Sheet4!$J$525)^2+(K318-Sheet4!$K$525)^2+(L318-Sheet4!$L$525)^2)</f>
        <v>1.9762086262852494</v>
      </c>
      <c r="O318" s="8">
        <f>SQRT((C318-Sheet4!$C$526)^2+(D318-Sheet4!$D$526)^2+(E318-Sheet4!$E$526)^2+(F318-Sheet4!$F$526)^2+(G318-Sheet4!$G$526)^2+(H318-Sheet4!$H$526)^2+(I318-Sheet4!$I$526)^2+(J318-Sheet4!$J$526)^2+(K318-Sheet4!$K$526)^2+(L318-Sheet4!$L$526)^2)</f>
        <v>4.6379226456710061</v>
      </c>
      <c r="P318" s="12">
        <f t="shared" si="4"/>
        <v>0</v>
      </c>
      <c r="Q318" s="11">
        <f>IF(P318=Sheet1!$M318, 1, 0)</f>
        <v>1</v>
      </c>
    </row>
    <row r="319" spans="1:17" x14ac:dyDescent="0.35">
      <c r="A319" s="6" t="s">
        <v>345</v>
      </c>
      <c r="B319" s="6" t="s">
        <v>349</v>
      </c>
      <c r="C319" s="6">
        <v>-0.95191640042859527</v>
      </c>
      <c r="D319" s="6">
        <v>-0.85721087566648646</v>
      </c>
      <c r="E319" s="6">
        <v>-0.94558414524783652</v>
      </c>
      <c r="F319" s="6">
        <v>-0.6003611994277781</v>
      </c>
      <c r="G319" s="6">
        <v>0.44225973036114985</v>
      </c>
      <c r="H319" s="6">
        <v>0.36345770980989323</v>
      </c>
      <c r="I319" s="6">
        <v>0.2373642592456566</v>
      </c>
      <c r="J319" s="6">
        <v>1.0061123523345556</v>
      </c>
      <c r="K319" s="6">
        <v>-1.3465121983248018</v>
      </c>
      <c r="L319" s="6">
        <v>-0.34472088010487245</v>
      </c>
      <c r="N319" s="8">
        <f>SQRT((C319-Sheet4!$C$525)^2+(D319-Sheet4!$D$525)^2+(E319-Sheet4!$E$525)^2+(F319-Sheet4!$F$525)^2+(G319-Sheet4!$G$525)^2+(H319-Sheet4!$H$525)^2+(I319-Sheet4!$I$525)^2+(J319-Sheet4!$J$525)^2+(K319-Sheet4!$K$525)^2+(L319-Sheet4!$L$525)^2)</f>
        <v>2.74011160548323</v>
      </c>
      <c r="O319" s="8">
        <f>SQRT((C319-Sheet4!$C$526)^2+(D319-Sheet4!$D$526)^2+(E319-Sheet4!$E$526)^2+(F319-Sheet4!$F$526)^2+(G319-Sheet4!$G$526)^2+(H319-Sheet4!$H$526)^2+(I319-Sheet4!$I$526)^2+(J319-Sheet4!$J$526)^2+(K319-Sheet4!$K$526)^2+(L319-Sheet4!$L$526)^2)</f>
        <v>3.5853056049327603</v>
      </c>
      <c r="P319" s="12">
        <f t="shared" si="4"/>
        <v>0</v>
      </c>
      <c r="Q319" s="11">
        <f>IF(P319=Sheet1!$M319, 1, 0)</f>
        <v>1</v>
      </c>
    </row>
    <row r="320" spans="1:17" x14ac:dyDescent="0.35">
      <c r="A320" s="6" t="s">
        <v>345</v>
      </c>
      <c r="B320" s="6" t="s">
        <v>350</v>
      </c>
      <c r="C320" s="6">
        <v>-1.0364637713751945</v>
      </c>
      <c r="D320" s="6">
        <v>-0.64238871461502689</v>
      </c>
      <c r="E320" s="6">
        <v>-0.735600704517957</v>
      </c>
      <c r="F320" s="6">
        <v>-0.57416991980582233</v>
      </c>
      <c r="G320" s="6">
        <v>0.51194393862936305</v>
      </c>
      <c r="H320" s="6">
        <v>-0.36962371140869682</v>
      </c>
      <c r="I320" s="6">
        <v>-0.22035775538020902</v>
      </c>
      <c r="J320" s="6">
        <v>-0.61095204412881376</v>
      </c>
      <c r="K320" s="6">
        <v>-8.5217088313108893E-3</v>
      </c>
      <c r="L320" s="6">
        <v>-0.17078811586902648</v>
      </c>
      <c r="N320" s="8">
        <f>SQRT((C320-Sheet4!$C$525)^2+(D320-Sheet4!$D$525)^2+(E320-Sheet4!$E$525)^2+(F320-Sheet4!$F$525)^2+(G320-Sheet4!$G$525)^2+(H320-Sheet4!$H$525)^2+(I320-Sheet4!$I$525)^2+(J320-Sheet4!$J$525)^2+(K320-Sheet4!$K$525)^2+(L320-Sheet4!$L$525)^2)</f>
        <v>1.6227376726181202</v>
      </c>
      <c r="O320" s="8">
        <f>SQRT((C320-Sheet4!$C$526)^2+(D320-Sheet4!$D$526)^2+(E320-Sheet4!$E$526)^2+(F320-Sheet4!$F$526)^2+(G320-Sheet4!$G$526)^2+(H320-Sheet4!$H$526)^2+(I320-Sheet4!$I$526)^2+(J320-Sheet4!$J$526)^2+(K320-Sheet4!$K$526)^2+(L320-Sheet4!$L$526)^2)</f>
        <v>3.8735149455294793</v>
      </c>
      <c r="P320" s="12">
        <f t="shared" si="4"/>
        <v>0</v>
      </c>
      <c r="Q320" s="11">
        <f>IF(P320=Sheet1!$M320, 1, 0)</f>
        <v>1</v>
      </c>
    </row>
    <row r="321" spans="1:17" x14ac:dyDescent="0.35">
      <c r="A321" s="6" t="s">
        <v>345</v>
      </c>
      <c r="B321" s="6" t="s">
        <v>351</v>
      </c>
      <c r="C321" s="6">
        <v>-0.2876156287053146</v>
      </c>
      <c r="D321" s="6">
        <v>-0.59942428240473467</v>
      </c>
      <c r="E321" s="6">
        <v>-0.41104735138984516</v>
      </c>
      <c r="F321" s="6">
        <v>-0.38466830842343708</v>
      </c>
      <c r="G321" s="6">
        <v>0.42193516961625177</v>
      </c>
      <c r="H321" s="6">
        <v>-9.384289754836074E-2</v>
      </c>
      <c r="I321" s="6">
        <v>-1.7777600976239292</v>
      </c>
      <c r="J321" s="6">
        <v>0.71382606471089516</v>
      </c>
      <c r="K321" s="6">
        <v>-0.78627758401056824</v>
      </c>
      <c r="L321" s="6">
        <v>-6.5095806499006745E-2</v>
      </c>
      <c r="N321" s="8">
        <f>SQRT((C321-Sheet4!$C$525)^2+(D321-Sheet4!$D$525)^2+(E321-Sheet4!$E$525)^2+(F321-Sheet4!$F$525)^2+(G321-Sheet4!$G$525)^2+(H321-Sheet4!$H$525)^2+(I321-Sheet4!$I$525)^2+(J321-Sheet4!$J$525)^2+(K321-Sheet4!$K$525)^2+(L321-Sheet4!$L$525)^2)</f>
        <v>2.329111360041034</v>
      </c>
      <c r="O321" s="8">
        <f>SQRT((C321-Sheet4!$C$526)^2+(D321-Sheet4!$D$526)^2+(E321-Sheet4!$E$526)^2+(F321-Sheet4!$F$526)^2+(G321-Sheet4!$G$526)^2+(H321-Sheet4!$H$526)^2+(I321-Sheet4!$I$526)^2+(J321-Sheet4!$J$526)^2+(K321-Sheet4!$K$526)^2+(L321-Sheet4!$L$526)^2)</f>
        <v>3.8627168474937115</v>
      </c>
      <c r="P321" s="12">
        <f t="shared" si="4"/>
        <v>0</v>
      </c>
      <c r="Q321" s="11">
        <f>IF(P321=Sheet1!$M321, 1, 0)</f>
        <v>1</v>
      </c>
    </row>
    <row r="322" spans="1:17" x14ac:dyDescent="0.35">
      <c r="A322" s="6" t="s">
        <v>345</v>
      </c>
      <c r="B322" s="6" t="s">
        <v>352</v>
      </c>
      <c r="C322" s="6">
        <v>-0.40168747839517105</v>
      </c>
      <c r="D322" s="6">
        <v>-0.83265977154631954</v>
      </c>
      <c r="E322" s="6">
        <v>-0.59561174403137074</v>
      </c>
      <c r="F322" s="6">
        <v>-0.46170148378213</v>
      </c>
      <c r="G322" s="6">
        <v>0.6338913030987392</v>
      </c>
      <c r="H322" s="6">
        <v>-0.63947954684625308</v>
      </c>
      <c r="I322" s="6">
        <v>-2.1041579687777499</v>
      </c>
      <c r="J322" s="6">
        <v>-0.421155753464099</v>
      </c>
      <c r="K322" s="6">
        <v>1.3013005598307392</v>
      </c>
      <c r="L322" s="6">
        <v>-0.25558998305202518</v>
      </c>
      <c r="N322" s="8">
        <f>SQRT((C322-Sheet4!$C$525)^2+(D322-Sheet4!$D$525)^2+(E322-Sheet4!$E$525)^2+(F322-Sheet4!$F$525)^2+(G322-Sheet4!$G$525)^2+(H322-Sheet4!$H$525)^2+(I322-Sheet4!$I$525)^2+(J322-Sheet4!$J$525)^2+(K322-Sheet4!$K$525)^2+(L322-Sheet4!$L$525)^2)</f>
        <v>2.5189300550642213</v>
      </c>
      <c r="O322" s="8">
        <f>SQRT((C322-Sheet4!$C$526)^2+(D322-Sheet4!$D$526)^2+(E322-Sheet4!$E$526)^2+(F322-Sheet4!$F$526)^2+(G322-Sheet4!$G$526)^2+(H322-Sheet4!$H$526)^2+(I322-Sheet4!$I$526)^2+(J322-Sheet4!$J$526)^2+(K322-Sheet4!$K$526)^2+(L322-Sheet4!$L$526)^2)</f>
        <v>5.0056577504348523</v>
      </c>
      <c r="P322" s="12">
        <f t="shared" si="4"/>
        <v>0</v>
      </c>
      <c r="Q322" s="11">
        <f>IF(P322=Sheet1!$M322, 1, 0)</f>
        <v>1</v>
      </c>
    </row>
    <row r="323" spans="1:17" x14ac:dyDescent="0.35">
      <c r="A323" s="6" t="s">
        <v>345</v>
      </c>
      <c r="B323" s="6" t="s">
        <v>353</v>
      </c>
      <c r="C323" s="6">
        <v>-0.44865824003217064</v>
      </c>
      <c r="D323" s="6">
        <v>-0.55645985019444255</v>
      </c>
      <c r="E323" s="6">
        <v>-1.1629354260033258</v>
      </c>
      <c r="F323" s="6">
        <v>-0.6434997776286463</v>
      </c>
      <c r="G323" s="6">
        <v>0.83423340186985562</v>
      </c>
      <c r="H323" s="6">
        <v>-0.40409631314123895</v>
      </c>
      <c r="I323" s="6">
        <v>-0.51870580948174894</v>
      </c>
      <c r="J323" s="6">
        <v>-0.33384945975833041</v>
      </c>
      <c r="K323" s="6">
        <v>0.45155923141557353</v>
      </c>
      <c r="L323" s="6">
        <v>-0.32289509332332544</v>
      </c>
      <c r="N323" s="8">
        <f>SQRT((C323-Sheet4!$C$525)^2+(D323-Sheet4!$D$525)^2+(E323-Sheet4!$E$525)^2+(F323-Sheet4!$F$525)^2+(G323-Sheet4!$G$525)^2+(H323-Sheet4!$H$525)^2+(I323-Sheet4!$I$525)^2+(J323-Sheet4!$J$525)^2+(K323-Sheet4!$K$525)^2+(L323-Sheet4!$L$525)^2)</f>
        <v>1.6219415864885227</v>
      </c>
      <c r="O323" s="8">
        <f>SQRT((C323-Sheet4!$C$526)^2+(D323-Sheet4!$D$526)^2+(E323-Sheet4!$E$526)^2+(F323-Sheet4!$F$526)^2+(G323-Sheet4!$G$526)^2+(H323-Sheet4!$H$526)^2+(I323-Sheet4!$I$526)^2+(J323-Sheet4!$J$526)^2+(K323-Sheet4!$K$526)^2+(L323-Sheet4!$L$526)^2)</f>
        <v>4.1649247410804175</v>
      </c>
      <c r="P323" s="12">
        <f t="shared" ref="P323:P386" si="5">IF(N323&lt;=O323, 0, 1)</f>
        <v>0</v>
      </c>
      <c r="Q323" s="11">
        <f>IF(P323=Sheet1!$M323, 1, 0)</f>
        <v>1</v>
      </c>
    </row>
    <row r="324" spans="1:17" x14ac:dyDescent="0.35">
      <c r="A324" s="6" t="s">
        <v>345</v>
      </c>
      <c r="B324" s="6" t="s">
        <v>354</v>
      </c>
      <c r="C324" s="6">
        <v>-0.80697805023442493</v>
      </c>
      <c r="D324" s="6">
        <v>-0.97382862023727912</v>
      </c>
      <c r="E324" s="6">
        <v>-1.0546281776268616</v>
      </c>
      <c r="F324" s="6">
        <v>-0.76983418521690161</v>
      </c>
      <c r="G324" s="6">
        <v>0.69486498533342511</v>
      </c>
      <c r="H324" s="6">
        <v>-0.40786675395573613</v>
      </c>
      <c r="I324" s="6">
        <v>-2.3132566049856664</v>
      </c>
      <c r="J324" s="6">
        <v>-0.81213611223341153</v>
      </c>
      <c r="K324" s="6">
        <v>0.39365788859538886</v>
      </c>
      <c r="L324" s="6">
        <v>-0.36626368565499096</v>
      </c>
      <c r="N324" s="8">
        <f>SQRT((C324-Sheet4!$C$525)^2+(D324-Sheet4!$D$525)^2+(E324-Sheet4!$E$525)^2+(F324-Sheet4!$F$525)^2+(G324-Sheet4!$G$525)^2+(H324-Sheet4!$H$525)^2+(I324-Sheet4!$I$525)^2+(J324-Sheet4!$J$525)^2+(K324-Sheet4!$K$525)^2+(L324-Sheet4!$L$525)^2)</f>
        <v>2.7468368930674609</v>
      </c>
      <c r="O324" s="8">
        <f>SQRT((C324-Sheet4!$C$526)^2+(D324-Sheet4!$D$526)^2+(E324-Sheet4!$E$526)^2+(F324-Sheet4!$F$526)^2+(G324-Sheet4!$G$526)^2+(H324-Sheet4!$H$526)^2+(I324-Sheet4!$I$526)^2+(J324-Sheet4!$J$526)^2+(K324-Sheet4!$K$526)^2+(L324-Sheet4!$L$526)^2)</f>
        <v>5.2897868222161772</v>
      </c>
      <c r="P324" s="12">
        <f t="shared" si="5"/>
        <v>0</v>
      </c>
      <c r="Q324" s="11">
        <f>IF(P324=Sheet1!$M324, 1, 0)</f>
        <v>1</v>
      </c>
    </row>
    <row r="325" spans="1:17" x14ac:dyDescent="0.35">
      <c r="A325" s="6" t="s">
        <v>345</v>
      </c>
      <c r="B325" s="6" t="s">
        <v>355</v>
      </c>
      <c r="C325" s="6">
        <v>-3.5315537626573863E-2</v>
      </c>
      <c r="D325" s="6">
        <v>-0.93700196405702862</v>
      </c>
      <c r="E325" s="6">
        <v>-0.70355060040655437</v>
      </c>
      <c r="F325" s="6">
        <v>-0.62501181554255936</v>
      </c>
      <c r="G325" s="6">
        <v>0.96489129237275895</v>
      </c>
      <c r="H325" s="6">
        <v>-0.30067850794361262</v>
      </c>
      <c r="I325" s="6">
        <v>-1.2167637565782996</v>
      </c>
      <c r="J325" s="6">
        <v>-0.91083018337906307</v>
      </c>
      <c r="K325" s="6">
        <v>0.44529962678636542</v>
      </c>
      <c r="L325" s="6">
        <v>-0.38580439324662275</v>
      </c>
      <c r="N325" s="8">
        <f>SQRT((C325-Sheet4!$C$525)^2+(D325-Sheet4!$D$525)^2+(E325-Sheet4!$E$525)^2+(F325-Sheet4!$F$525)^2+(G325-Sheet4!$G$525)^2+(H325-Sheet4!$H$525)^2+(I325-Sheet4!$I$525)^2+(J325-Sheet4!$J$525)^2+(K325-Sheet4!$K$525)^2+(L325-Sheet4!$L$525)^2)</f>
        <v>1.8622500218279325</v>
      </c>
      <c r="O325" s="8">
        <f>SQRT((C325-Sheet4!$C$526)^2+(D325-Sheet4!$D$526)^2+(E325-Sheet4!$E$526)^2+(F325-Sheet4!$F$526)^2+(G325-Sheet4!$G$526)^2+(H325-Sheet4!$H$526)^2+(I325-Sheet4!$I$526)^2+(J325-Sheet4!$J$526)^2+(K325-Sheet4!$K$526)^2+(L325-Sheet4!$L$526)^2)</f>
        <v>4.5972967424803954</v>
      </c>
      <c r="P325" s="12">
        <f t="shared" si="5"/>
        <v>0</v>
      </c>
      <c r="Q325" s="11">
        <f>IF(P325=Sheet1!$M325, 1, 0)</f>
        <v>1</v>
      </c>
    </row>
    <row r="326" spans="1:17" x14ac:dyDescent="0.35">
      <c r="A326" s="6" t="s">
        <v>345</v>
      </c>
      <c r="B326" s="6" t="s">
        <v>356</v>
      </c>
      <c r="C326" s="6">
        <v>-0.39497736958988527</v>
      </c>
      <c r="D326" s="6">
        <v>-1.483264030730741</v>
      </c>
      <c r="E326" s="6">
        <v>-0.88590464104039701</v>
      </c>
      <c r="F326" s="6">
        <v>-1.0825888771731962</v>
      </c>
      <c r="G326" s="6">
        <v>-0.34168761265626574</v>
      </c>
      <c r="H326" s="6">
        <v>-0.31576027120159983</v>
      </c>
      <c r="I326" s="6">
        <v>0.87358510965876879</v>
      </c>
      <c r="J326" s="6">
        <v>-0.48568649229010219</v>
      </c>
      <c r="K326" s="6">
        <v>-0.61570335786461383</v>
      </c>
      <c r="L326" s="6">
        <v>-0.40392344559023469</v>
      </c>
      <c r="N326" s="8">
        <f>SQRT((C326-Sheet4!$C$525)^2+(D326-Sheet4!$D$525)^2+(E326-Sheet4!$E$525)^2+(F326-Sheet4!$F$525)^2+(G326-Sheet4!$G$525)^2+(H326-Sheet4!$H$525)^2+(I326-Sheet4!$I$525)^2+(J326-Sheet4!$J$525)^2+(K326-Sheet4!$K$525)^2+(L326-Sheet4!$L$525)^2)</f>
        <v>2.0809712708493322</v>
      </c>
      <c r="O326" s="8">
        <f>SQRT((C326-Sheet4!$C$526)^2+(D326-Sheet4!$D$526)^2+(E326-Sheet4!$E$526)^2+(F326-Sheet4!$F$526)^2+(G326-Sheet4!$G$526)^2+(H326-Sheet4!$H$526)^2+(I326-Sheet4!$I$526)^2+(J326-Sheet4!$J$526)^2+(K326-Sheet4!$K$526)^2+(L326-Sheet4!$L$526)^2)</f>
        <v>4.5943583297745656</v>
      </c>
      <c r="P326" s="12">
        <f t="shared" si="5"/>
        <v>0</v>
      </c>
      <c r="Q326" s="11">
        <f>IF(P326=Sheet1!$M326, 1, 0)</f>
        <v>1</v>
      </c>
    </row>
    <row r="327" spans="1:17" x14ac:dyDescent="0.35">
      <c r="A327" s="6" t="s">
        <v>345</v>
      </c>
      <c r="B327" s="6" t="s">
        <v>357</v>
      </c>
      <c r="C327" s="6">
        <v>-1.0646462283573943</v>
      </c>
      <c r="D327" s="6">
        <v>-0.88176197978665327</v>
      </c>
      <c r="E327" s="6">
        <v>-0.62434632013124902</v>
      </c>
      <c r="F327" s="6">
        <v>-0.27219987239974702</v>
      </c>
      <c r="G327" s="6">
        <v>0.29998780514687567</v>
      </c>
      <c r="H327" s="6">
        <v>-7.8761134290373527E-2</v>
      </c>
      <c r="I327" s="6">
        <v>0.74098597450252912</v>
      </c>
      <c r="J327" s="6">
        <v>0.74419347121724921</v>
      </c>
      <c r="K327" s="6">
        <v>-0.31211253334796235</v>
      </c>
      <c r="L327" s="6">
        <v>-6.7054275659500187E-2</v>
      </c>
      <c r="N327" s="8">
        <f>SQRT((C327-Sheet4!$C$525)^2+(D327-Sheet4!$D$525)^2+(E327-Sheet4!$E$525)^2+(F327-Sheet4!$F$525)^2+(G327-Sheet4!$G$525)^2+(H327-Sheet4!$H$525)^2+(I327-Sheet4!$I$525)^2+(J327-Sheet4!$J$525)^2+(K327-Sheet4!$K$525)^2+(L327-Sheet4!$L$525)^2)</f>
        <v>2.2285312167427955</v>
      </c>
      <c r="O327" s="8">
        <f>SQRT((C327-Sheet4!$C$526)^2+(D327-Sheet4!$D$526)^2+(E327-Sheet4!$E$526)^2+(F327-Sheet4!$F$526)^2+(G327-Sheet4!$G$526)^2+(H327-Sheet4!$H$526)^2+(I327-Sheet4!$I$526)^2+(J327-Sheet4!$J$526)^2+(K327-Sheet4!$K$526)^2+(L327-Sheet4!$L$526)^2)</f>
        <v>3.2077741247831826</v>
      </c>
      <c r="P327" s="12">
        <f t="shared" si="5"/>
        <v>0</v>
      </c>
      <c r="Q327" s="11">
        <f>IF(P327=Sheet1!$M327, 1, 0)</f>
        <v>1</v>
      </c>
    </row>
    <row r="328" spans="1:17" x14ac:dyDescent="0.35">
      <c r="A328" s="6" t="s">
        <v>345</v>
      </c>
      <c r="B328" s="6" t="s">
        <v>358</v>
      </c>
      <c r="C328" s="6">
        <v>-1.0324377060920231</v>
      </c>
      <c r="D328" s="6">
        <v>1.2234951985176528</v>
      </c>
      <c r="E328" s="6">
        <v>1.5786378475260825</v>
      </c>
      <c r="F328" s="6">
        <v>1.5411610755438856</v>
      </c>
      <c r="G328" s="6">
        <v>1.005540413862551</v>
      </c>
      <c r="H328" s="6">
        <v>1.0383666156048186</v>
      </c>
      <c r="I328" s="6">
        <v>0.71166116576605254</v>
      </c>
      <c r="J328" s="6">
        <v>2.7788097071429916</v>
      </c>
      <c r="K328" s="6">
        <v>-1.1775028733361506</v>
      </c>
      <c r="L328" s="6">
        <v>6.1751872993741137E-2</v>
      </c>
      <c r="N328" s="8">
        <f>SQRT((C328-Sheet4!$C$525)^2+(D328-Sheet4!$D$525)^2+(E328-Sheet4!$E$525)^2+(F328-Sheet4!$F$525)^2+(G328-Sheet4!$G$525)^2+(H328-Sheet4!$H$525)^2+(I328-Sheet4!$I$525)^2+(J328-Sheet4!$J$525)^2+(K328-Sheet4!$K$525)^2+(L328-Sheet4!$L$525)^2)</f>
        <v>5.3017268620474045</v>
      </c>
      <c r="O328" s="8">
        <f>SQRT((C328-Sheet4!$C$526)^2+(D328-Sheet4!$D$526)^2+(E328-Sheet4!$E$526)^2+(F328-Sheet4!$F$526)^2+(G328-Sheet4!$G$526)^2+(H328-Sheet4!$H$526)^2+(I328-Sheet4!$I$526)^2+(J328-Sheet4!$J$526)^2+(K328-Sheet4!$K$526)^2+(L328-Sheet4!$L$526)^2)</f>
        <v>2.0992074830609377</v>
      </c>
      <c r="P328" s="12">
        <f t="shared" si="5"/>
        <v>1</v>
      </c>
      <c r="Q328" s="11">
        <f>IF(P328=Sheet1!$M328, 1, 0)</f>
        <v>0</v>
      </c>
    </row>
    <row r="329" spans="1:17" x14ac:dyDescent="0.35">
      <c r="A329" s="6" t="s">
        <v>345</v>
      </c>
      <c r="B329" s="6" t="s">
        <v>359</v>
      </c>
      <c r="C329" s="6">
        <v>-0.9988871620655948</v>
      </c>
      <c r="D329" s="6">
        <v>-0.32936213708289924</v>
      </c>
      <c r="E329" s="6">
        <v>0.5312993878856489</v>
      </c>
      <c r="F329" s="6">
        <v>0.33636221293392737</v>
      </c>
      <c r="G329" s="6">
        <v>0.73261059814537755</v>
      </c>
      <c r="H329" s="6">
        <v>0.80836972592051393</v>
      </c>
      <c r="I329" s="6">
        <v>0.30748880187635996</v>
      </c>
      <c r="J329" s="6">
        <v>1.5565215952622287</v>
      </c>
      <c r="K329" s="6">
        <v>-0.80662129905549784</v>
      </c>
      <c r="L329" s="6">
        <v>-0.31313908395750112</v>
      </c>
      <c r="N329" s="8">
        <f>SQRT((C329-Sheet4!$C$525)^2+(D329-Sheet4!$D$525)^2+(E329-Sheet4!$E$525)^2+(F329-Sheet4!$F$525)^2+(G329-Sheet4!$G$525)^2+(H329-Sheet4!$H$525)^2+(I329-Sheet4!$I$525)^2+(J329-Sheet4!$J$525)^2+(K329-Sheet4!$K$525)^2+(L329-Sheet4!$L$525)^2)</f>
        <v>3.1971362214070811</v>
      </c>
      <c r="O329" s="8">
        <f>SQRT((C329-Sheet4!$C$526)^2+(D329-Sheet4!$D$526)^2+(E329-Sheet4!$E$526)^2+(F329-Sheet4!$F$526)^2+(G329-Sheet4!$G$526)^2+(H329-Sheet4!$H$526)^2+(I329-Sheet4!$I$526)^2+(J329-Sheet4!$J$526)^2+(K329-Sheet4!$K$526)^2+(L329-Sheet4!$L$526)^2)</f>
        <v>2.0754921945377287</v>
      </c>
      <c r="P329" s="12">
        <f t="shared" si="5"/>
        <v>1</v>
      </c>
      <c r="Q329" s="11">
        <f>IF(P329=Sheet1!$M329, 1, 0)</f>
        <v>0</v>
      </c>
    </row>
    <row r="330" spans="1:17" x14ac:dyDescent="0.35">
      <c r="A330" s="6" t="s">
        <v>360</v>
      </c>
      <c r="B330" s="6" t="s">
        <v>361</v>
      </c>
      <c r="C330" s="6">
        <v>-1.1169850770386225</v>
      </c>
      <c r="D330" s="6">
        <v>5.7317752809727819E-2</v>
      </c>
      <c r="E330" s="6">
        <v>1.0286285896143106</v>
      </c>
      <c r="F330" s="6">
        <v>0.48426590962261684</v>
      </c>
      <c r="G330" s="6">
        <v>0.297084296469036</v>
      </c>
      <c r="H330" s="6">
        <v>0.72865183441401093</v>
      </c>
      <c r="I330" s="6">
        <v>9.4565190615860259E-2</v>
      </c>
      <c r="J330" s="6">
        <v>-0.13646131746702692</v>
      </c>
      <c r="K330" s="6">
        <v>8.5372360606830192E-2</v>
      </c>
      <c r="L330" s="6">
        <v>-0.17196795307146395</v>
      </c>
      <c r="N330" s="8">
        <f>SQRT((C330-Sheet4!$C$525)^2+(D330-Sheet4!$D$525)^2+(E330-Sheet4!$E$525)^2+(F330-Sheet4!$F$525)^2+(G330-Sheet4!$G$525)^2+(H330-Sheet4!$H$525)^2+(I330-Sheet4!$I$525)^2+(J330-Sheet4!$J$525)^2+(K330-Sheet4!$K$525)^2+(L330-Sheet4!$L$525)^2)</f>
        <v>2.5166286646759946</v>
      </c>
      <c r="O330" s="8">
        <f>SQRT((C330-Sheet4!$C$526)^2+(D330-Sheet4!$D$526)^2+(E330-Sheet4!$E$526)^2+(F330-Sheet4!$F$526)^2+(G330-Sheet4!$G$526)^2+(H330-Sheet4!$H$526)^2+(I330-Sheet4!$I$526)^2+(J330-Sheet4!$J$526)^2+(K330-Sheet4!$K$526)^2+(L330-Sheet4!$L$526)^2)</f>
        <v>2.1895840898467442</v>
      </c>
      <c r="P330" s="12">
        <f t="shared" si="5"/>
        <v>1</v>
      </c>
      <c r="Q330" s="11">
        <f>IF(P330=Sheet1!$M330, 1, 0)</f>
        <v>0</v>
      </c>
    </row>
    <row r="331" spans="1:17" x14ac:dyDescent="0.35">
      <c r="A331" s="6" t="s">
        <v>360</v>
      </c>
      <c r="B331" s="6" t="s">
        <v>362</v>
      </c>
      <c r="C331" s="6">
        <v>-0.85394881187142446</v>
      </c>
      <c r="D331" s="6">
        <v>-0.17591773633185653</v>
      </c>
      <c r="E331" s="6">
        <v>0.56777019601241741</v>
      </c>
      <c r="F331" s="6">
        <v>0.22389377691023513</v>
      </c>
      <c r="G331" s="6">
        <v>7.0610619597338095E-2</v>
      </c>
      <c r="H331" s="6">
        <v>-0.24681506773651563</v>
      </c>
      <c r="I331" s="6">
        <v>1.4878210353696941E-2</v>
      </c>
      <c r="J331" s="6">
        <v>3.4355344131216416E-2</v>
      </c>
      <c r="K331" s="6">
        <v>-0.45295363750517287</v>
      </c>
      <c r="L331" s="6">
        <v>-7.7193374288930097E-2</v>
      </c>
      <c r="N331" s="8">
        <f>SQRT((C331-Sheet4!$C$525)^2+(D331-Sheet4!$D$525)^2+(E331-Sheet4!$E$525)^2+(F331-Sheet4!$F$525)^2+(G331-Sheet4!$G$525)^2+(H331-Sheet4!$H$525)^2+(I331-Sheet4!$I$525)^2+(J331-Sheet4!$J$525)^2+(K331-Sheet4!$K$525)^2+(L331-Sheet4!$L$525)^2)</f>
        <v>1.8418658138468491</v>
      </c>
      <c r="O331" s="8">
        <f>SQRT((C331-Sheet4!$C$526)^2+(D331-Sheet4!$D$526)^2+(E331-Sheet4!$E$526)^2+(F331-Sheet4!$F$526)^2+(G331-Sheet4!$G$526)^2+(H331-Sheet4!$H$526)^2+(I331-Sheet4!$I$526)^2+(J331-Sheet4!$J$526)^2+(K331-Sheet4!$K$526)^2+(L331-Sheet4!$L$526)^2)</f>
        <v>2.4707860601934093</v>
      </c>
      <c r="P331" s="12">
        <f t="shared" si="5"/>
        <v>0</v>
      </c>
      <c r="Q331" s="11">
        <f>IF(P331=Sheet1!$M331, 1, 0)</f>
        <v>1</v>
      </c>
    </row>
    <row r="332" spans="1:17" x14ac:dyDescent="0.35">
      <c r="A332" s="6" t="s">
        <v>360</v>
      </c>
      <c r="B332" s="6" t="s">
        <v>363</v>
      </c>
      <c r="C332" s="6">
        <v>-0.92910203049062401</v>
      </c>
      <c r="D332" s="6">
        <v>-0.51349541798415099</v>
      </c>
      <c r="E332" s="6">
        <v>0.30326473909302543</v>
      </c>
      <c r="F332" s="6">
        <v>-4.5722336845190045E-2</v>
      </c>
      <c r="G332" s="6">
        <v>-0.25458235232099824</v>
      </c>
      <c r="H332" s="6">
        <v>-1.5066809341805147</v>
      </c>
      <c r="I332" s="6">
        <v>-0.89419086047706242</v>
      </c>
      <c r="J332" s="6">
        <v>-5.6746875387846736E-2</v>
      </c>
      <c r="K332" s="6">
        <v>0.11980018606748125</v>
      </c>
      <c r="L332" s="6">
        <v>-0.22270005429049292</v>
      </c>
      <c r="N332" s="8">
        <f>SQRT((C332-Sheet4!$C$525)^2+(D332-Sheet4!$D$525)^2+(E332-Sheet4!$E$525)^2+(F332-Sheet4!$F$525)^2+(G332-Sheet4!$G$525)^2+(H332-Sheet4!$H$525)^2+(I332-Sheet4!$I$525)^2+(J332-Sheet4!$J$525)^2+(K332-Sheet4!$K$525)^2+(L332-Sheet4!$L$525)^2)</f>
        <v>2.0297409977926986</v>
      </c>
      <c r="O332" s="8">
        <f>SQRT((C332-Sheet4!$C$526)^2+(D332-Sheet4!$D$526)^2+(E332-Sheet4!$E$526)^2+(F332-Sheet4!$F$526)^2+(G332-Sheet4!$G$526)^2+(H332-Sheet4!$H$526)^2+(I332-Sheet4!$I$526)^2+(J332-Sheet4!$J$526)^2+(K332-Sheet4!$K$526)^2+(L332-Sheet4!$L$526)^2)</f>
        <v>3.9325376368800335</v>
      </c>
      <c r="P332" s="12">
        <f t="shared" si="5"/>
        <v>0</v>
      </c>
      <c r="Q332" s="11">
        <f>IF(P332=Sheet1!$M332, 1, 0)</f>
        <v>1</v>
      </c>
    </row>
    <row r="333" spans="1:17" x14ac:dyDescent="0.35">
      <c r="A333" s="6" t="s">
        <v>360</v>
      </c>
      <c r="B333" s="6" t="s">
        <v>364</v>
      </c>
      <c r="C333" s="6">
        <v>-1.0270696190477946</v>
      </c>
      <c r="D333" s="6">
        <v>0.31510434607147958</v>
      </c>
      <c r="E333" s="6">
        <v>0.42999158753351407</v>
      </c>
      <c r="F333" s="6">
        <v>9.4478042307632709E-2</v>
      </c>
      <c r="G333" s="6">
        <v>-0.71624023209792131</v>
      </c>
      <c r="H333" s="6">
        <v>-0.72943149199210511</v>
      </c>
      <c r="I333" s="6">
        <v>-1.9588089167795646</v>
      </c>
      <c r="J333" s="6">
        <v>-0.34144131138491884</v>
      </c>
      <c r="K333" s="6">
        <v>-0.93650809511159194</v>
      </c>
      <c r="L333" s="6">
        <v>-0.3685332816364229</v>
      </c>
      <c r="N333" s="8">
        <f>SQRT((C333-Sheet4!$C$525)^2+(D333-Sheet4!$D$525)^2+(E333-Sheet4!$E$525)^2+(F333-Sheet4!$F$525)^2+(G333-Sheet4!$G$525)^2+(H333-Sheet4!$H$525)^2+(I333-Sheet4!$I$525)^2+(J333-Sheet4!$J$525)^2+(K333-Sheet4!$K$525)^2+(L333-Sheet4!$L$525)^2)</f>
        <v>2.7617462182318251</v>
      </c>
      <c r="O333" s="8">
        <f>SQRT((C333-Sheet4!$C$526)^2+(D333-Sheet4!$D$526)^2+(E333-Sheet4!$E$526)^2+(F333-Sheet4!$F$526)^2+(G333-Sheet4!$G$526)^2+(H333-Sheet4!$H$526)^2+(I333-Sheet4!$I$526)^2+(J333-Sheet4!$J$526)^2+(K333-Sheet4!$K$526)^2+(L333-Sheet4!$L$526)^2)</f>
        <v>4.1007079577863257</v>
      </c>
      <c r="P333" s="12">
        <f t="shared" si="5"/>
        <v>0</v>
      </c>
      <c r="Q333" s="11">
        <f>IF(P333=Sheet1!$M333, 1, 0)</f>
        <v>1</v>
      </c>
    </row>
    <row r="334" spans="1:17" x14ac:dyDescent="0.35">
      <c r="A334" s="6" t="s">
        <v>360</v>
      </c>
      <c r="B334" s="6" t="s">
        <v>365</v>
      </c>
      <c r="C334" s="6">
        <v>-0.89420946470313845</v>
      </c>
      <c r="D334" s="6">
        <v>0.25372658577106266</v>
      </c>
      <c r="E334" s="6">
        <v>-0.13770048643972138</v>
      </c>
      <c r="F334" s="6">
        <v>0.13299462998697917</v>
      </c>
      <c r="G334" s="6">
        <v>0.4771018344952544</v>
      </c>
      <c r="H334" s="6">
        <v>-0.26782180941728351</v>
      </c>
      <c r="I334" s="6">
        <v>-1.6024487410471699</v>
      </c>
      <c r="J334" s="6">
        <v>3.0559418317921867E-2</v>
      </c>
      <c r="K334" s="6">
        <v>0.15422801152813231</v>
      </c>
      <c r="L334" s="6">
        <v>-0.30950326721132332</v>
      </c>
      <c r="N334" s="8">
        <f>SQRT((C334-Sheet4!$C$525)^2+(D334-Sheet4!$D$525)^2+(E334-Sheet4!$E$525)^2+(F334-Sheet4!$F$525)^2+(G334-Sheet4!$G$525)^2+(H334-Sheet4!$H$525)^2+(I334-Sheet4!$I$525)^2+(J334-Sheet4!$J$525)^2+(K334-Sheet4!$K$525)^2+(L334-Sheet4!$L$525)^2)</f>
        <v>2.1537194448643056</v>
      </c>
      <c r="O334" s="8">
        <f>SQRT((C334-Sheet4!$C$526)^2+(D334-Sheet4!$D$526)^2+(E334-Sheet4!$E$526)^2+(F334-Sheet4!$F$526)^2+(G334-Sheet4!$G$526)^2+(H334-Sheet4!$H$526)^2+(I334-Sheet4!$I$526)^2+(J334-Sheet4!$J$526)^2+(K334-Sheet4!$K$526)^2+(L334-Sheet4!$L$526)^2)</f>
        <v>3.4646891793903953</v>
      </c>
      <c r="P334" s="12">
        <f t="shared" si="5"/>
        <v>0</v>
      </c>
      <c r="Q334" s="11">
        <f>IF(P334=Sheet1!$M334, 1, 0)</f>
        <v>1</v>
      </c>
    </row>
    <row r="335" spans="1:17" x14ac:dyDescent="0.35">
      <c r="A335" s="6" t="s">
        <v>360</v>
      </c>
      <c r="B335" s="6" t="s">
        <v>366</v>
      </c>
      <c r="C335" s="6">
        <v>-1.1559037081092793</v>
      </c>
      <c r="D335" s="6">
        <v>-0.21274439251210708</v>
      </c>
      <c r="E335" s="6">
        <v>-0.57166626394813891</v>
      </c>
      <c r="F335" s="6">
        <v>-0.25525257382083466</v>
      </c>
      <c r="G335" s="6">
        <v>0.5525930601191551</v>
      </c>
      <c r="H335" s="6">
        <v>0.22449003407558307</v>
      </c>
      <c r="I335" s="6">
        <v>6.1415406826799662E-2</v>
      </c>
      <c r="J335" s="6">
        <v>-0.15544094653349833</v>
      </c>
      <c r="K335" s="6">
        <v>0.36861947007854989</v>
      </c>
      <c r="L335" s="6">
        <v>-0.39534953008881302</v>
      </c>
      <c r="N335" s="8">
        <f>SQRT((C335-Sheet4!$C$525)^2+(D335-Sheet4!$D$525)^2+(E335-Sheet4!$E$525)^2+(F335-Sheet4!$F$525)^2+(G335-Sheet4!$G$525)^2+(H335-Sheet4!$H$525)^2+(I335-Sheet4!$I$525)^2+(J335-Sheet4!$J$525)^2+(K335-Sheet4!$K$525)^2+(L335-Sheet4!$L$525)^2)</f>
        <v>1.781884489877896</v>
      </c>
      <c r="O335" s="8">
        <f>SQRT((C335-Sheet4!$C$526)^2+(D335-Sheet4!$D$526)^2+(E335-Sheet4!$E$526)^2+(F335-Sheet4!$F$526)^2+(G335-Sheet4!$G$526)^2+(H335-Sheet4!$H$526)^2+(I335-Sheet4!$I$526)^2+(J335-Sheet4!$J$526)^2+(K335-Sheet4!$K$526)^2+(L335-Sheet4!$L$526)^2)</f>
        <v>3.2607244220673208</v>
      </c>
      <c r="P335" s="12">
        <f t="shared" si="5"/>
        <v>0</v>
      </c>
      <c r="Q335" s="11">
        <f>IF(P335=Sheet1!$M335, 1, 0)</f>
        <v>1</v>
      </c>
    </row>
    <row r="336" spans="1:17" x14ac:dyDescent="0.35">
      <c r="A336" s="6" t="s">
        <v>360</v>
      </c>
      <c r="B336" s="6" t="s">
        <v>367</v>
      </c>
      <c r="C336" s="6">
        <v>-1.1693239257198504</v>
      </c>
      <c r="D336" s="6">
        <v>-4.0600074906890537E-3</v>
      </c>
      <c r="E336" s="6">
        <v>0.33494645120314759</v>
      </c>
      <c r="F336" s="6">
        <v>0.10064069633632691</v>
      </c>
      <c r="G336" s="6">
        <v>-7.7468322972619519E-2</v>
      </c>
      <c r="H336" s="6">
        <v>0.25249902298327331</v>
      </c>
      <c r="I336" s="6">
        <v>-1.1396267596845251</v>
      </c>
      <c r="J336" s="6">
        <v>-1.0474835126576578</v>
      </c>
      <c r="K336" s="6">
        <v>0.15266311037082919</v>
      </c>
      <c r="L336" s="6">
        <v>-0.37601248623953765</v>
      </c>
      <c r="N336" s="8">
        <f>SQRT((C336-Sheet4!$C$525)^2+(D336-Sheet4!$D$525)^2+(E336-Sheet4!$E$525)^2+(F336-Sheet4!$F$525)^2+(G336-Sheet4!$G$525)^2+(H336-Sheet4!$H$525)^2+(I336-Sheet4!$I$525)^2+(J336-Sheet4!$J$525)^2+(K336-Sheet4!$K$525)^2+(L336-Sheet4!$L$525)^2)</f>
        <v>2.107765851965266</v>
      </c>
      <c r="O336" s="8">
        <f>SQRT((C336-Sheet4!$C$526)^2+(D336-Sheet4!$D$526)^2+(E336-Sheet4!$E$526)^2+(F336-Sheet4!$F$526)^2+(G336-Sheet4!$G$526)^2+(H336-Sheet4!$H$526)^2+(I336-Sheet4!$I$526)^2+(J336-Sheet4!$J$526)^2+(K336-Sheet4!$K$526)^2+(L336-Sheet4!$L$526)^2)</f>
        <v>3.6638986642299032</v>
      </c>
      <c r="P336" s="12">
        <f t="shared" si="5"/>
        <v>0</v>
      </c>
      <c r="Q336" s="11">
        <f>IF(P336=Sheet1!$M336, 1, 0)</f>
        <v>1</v>
      </c>
    </row>
    <row r="337" spans="1:17" x14ac:dyDescent="0.35">
      <c r="A337" s="6" t="s">
        <v>360</v>
      </c>
      <c r="B337" s="6" t="s">
        <v>368</v>
      </c>
      <c r="C337" s="6">
        <v>-0.67814396117294018</v>
      </c>
      <c r="D337" s="6">
        <v>-0.29253548090264925</v>
      </c>
      <c r="E337" s="6">
        <v>-0.3333166391196617</v>
      </c>
      <c r="F337" s="6">
        <v>-0.34769238425126531</v>
      </c>
      <c r="G337" s="6">
        <v>-0.1152139357845678</v>
      </c>
      <c r="H337" s="6">
        <v>-8.3608843909011674E-2</v>
      </c>
      <c r="I337" s="6">
        <v>-1.5361491734690502</v>
      </c>
      <c r="J337" s="6">
        <v>-0.30727797906527027</v>
      </c>
      <c r="K337" s="6">
        <v>0.31228302841566613</v>
      </c>
      <c r="L337" s="6">
        <v>-0.33286853624849744</v>
      </c>
      <c r="N337" s="8">
        <f>SQRT((C337-Sheet4!$C$525)^2+(D337-Sheet4!$D$525)^2+(E337-Sheet4!$E$525)^2+(F337-Sheet4!$F$525)^2+(G337-Sheet4!$G$525)^2+(H337-Sheet4!$H$525)^2+(I337-Sheet4!$I$525)^2+(J337-Sheet4!$J$525)^2+(K337-Sheet4!$K$525)^2+(L337-Sheet4!$L$525)^2)</f>
        <v>1.606594730235817</v>
      </c>
      <c r="O337" s="8">
        <f>SQRT((C337-Sheet4!$C$526)^2+(D337-Sheet4!$D$526)^2+(E337-Sheet4!$E$526)^2+(F337-Sheet4!$F$526)^2+(G337-Sheet4!$G$526)^2+(H337-Sheet4!$H$526)^2+(I337-Sheet4!$I$526)^2+(J337-Sheet4!$J$526)^2+(K337-Sheet4!$K$526)^2+(L337-Sheet4!$L$526)^2)</f>
        <v>4.0130052880828595</v>
      </c>
      <c r="P337" s="12">
        <f t="shared" si="5"/>
        <v>0</v>
      </c>
      <c r="Q337" s="11">
        <f>IF(P337=Sheet1!$M337, 1, 0)</f>
        <v>1</v>
      </c>
    </row>
    <row r="338" spans="1:17" x14ac:dyDescent="0.35">
      <c r="A338" s="6" t="s">
        <v>360</v>
      </c>
      <c r="B338" s="6" t="s">
        <v>369</v>
      </c>
      <c r="C338" s="6">
        <v>-0.94252224810119523</v>
      </c>
      <c r="D338" s="6">
        <v>0.14938439326035369</v>
      </c>
      <c r="E338" s="6">
        <v>8.9597378350341081E-2</v>
      </c>
      <c r="F338" s="6">
        <v>-0.15973143637605478</v>
      </c>
      <c r="G338" s="6">
        <v>-1.0995033775730998</v>
      </c>
      <c r="H338" s="6">
        <v>-0.19133572432320567</v>
      </c>
      <c r="I338" s="6">
        <v>-0.11389594974995963</v>
      </c>
      <c r="J338" s="6">
        <v>0.16721274759651661</v>
      </c>
      <c r="K338" s="6">
        <v>-0.79566699095438254</v>
      </c>
      <c r="L338" s="6">
        <v>-0.35263683237832011</v>
      </c>
      <c r="N338" s="8">
        <f>SQRT((C338-Sheet4!$C$525)^2+(D338-Sheet4!$D$525)^2+(E338-Sheet4!$E$525)^2+(F338-Sheet4!$F$525)^2+(G338-Sheet4!$G$525)^2+(H338-Sheet4!$H$525)^2+(I338-Sheet4!$I$525)^2+(J338-Sheet4!$J$525)^2+(K338-Sheet4!$K$525)^2+(L338-Sheet4!$L$525)^2)</f>
        <v>1.976419322576364</v>
      </c>
      <c r="O338" s="8">
        <f>SQRT((C338-Sheet4!$C$526)^2+(D338-Sheet4!$D$526)^2+(E338-Sheet4!$E$526)^2+(F338-Sheet4!$F$526)^2+(G338-Sheet4!$G$526)^2+(H338-Sheet4!$H$526)^2+(I338-Sheet4!$I$526)^2+(J338-Sheet4!$J$526)^2+(K338-Sheet4!$K$526)^2+(L338-Sheet4!$L$526)^2)</f>
        <v>3.2614321104774997</v>
      </c>
      <c r="P338" s="12">
        <f t="shared" si="5"/>
        <v>0</v>
      </c>
      <c r="Q338" s="11">
        <f>IF(P338=Sheet1!$M338, 1, 0)</f>
        <v>1</v>
      </c>
    </row>
    <row r="339" spans="1:17" x14ac:dyDescent="0.35">
      <c r="A339" s="6" t="s">
        <v>360</v>
      </c>
      <c r="B339" s="6" t="s">
        <v>370</v>
      </c>
      <c r="C339" s="6">
        <v>-1.0780664459679656</v>
      </c>
      <c r="D339" s="6">
        <v>-0.15136663221169019</v>
      </c>
      <c r="E339" s="6">
        <v>-8.9441134271977168E-2</v>
      </c>
      <c r="F339" s="6">
        <v>-0.21519532263431357</v>
      </c>
      <c r="G339" s="6">
        <v>-0.45202094241427504</v>
      </c>
      <c r="H339" s="6">
        <v>-0.7595950185080792</v>
      </c>
      <c r="I339" s="6">
        <v>0.15066482472042295</v>
      </c>
      <c r="J339" s="6">
        <v>-0.93360573825882887</v>
      </c>
      <c r="K339" s="6">
        <v>0.62369835871883106</v>
      </c>
      <c r="L339" s="6">
        <v>-0.38378409572728733</v>
      </c>
      <c r="N339" s="8">
        <f>SQRT((C339-Sheet4!$C$525)^2+(D339-Sheet4!$D$525)^2+(E339-Sheet4!$E$525)^2+(F339-Sheet4!$F$525)^2+(G339-Sheet4!$G$525)^2+(H339-Sheet4!$H$525)^2+(I339-Sheet4!$I$525)^2+(J339-Sheet4!$J$525)^2+(K339-Sheet4!$K$525)^2+(L339-Sheet4!$L$525)^2)</f>
        <v>1.6883500068805231</v>
      </c>
      <c r="O339" s="8">
        <f>SQRT((C339-Sheet4!$C$526)^2+(D339-Sheet4!$D$526)^2+(E339-Sheet4!$E$526)^2+(F339-Sheet4!$F$526)^2+(G339-Sheet4!$G$526)^2+(H339-Sheet4!$H$526)^2+(I339-Sheet4!$I$526)^2+(J339-Sheet4!$J$526)^2+(K339-Sheet4!$K$526)^2+(L339-Sheet4!$L$526)^2)</f>
        <v>3.9143425203524065</v>
      </c>
      <c r="P339" s="12">
        <f t="shared" si="5"/>
        <v>0</v>
      </c>
      <c r="Q339" s="11">
        <f>IF(P339=Sheet1!$M339, 1, 0)</f>
        <v>1</v>
      </c>
    </row>
    <row r="340" spans="1:17" x14ac:dyDescent="0.35">
      <c r="A340" s="6" t="s">
        <v>360</v>
      </c>
      <c r="B340" s="6" t="s">
        <v>371</v>
      </c>
      <c r="C340" s="6">
        <v>-0.92910203049062401</v>
      </c>
      <c r="D340" s="6">
        <v>0.45627319476243916</v>
      </c>
      <c r="E340" s="6">
        <v>0.17837985065893922</v>
      </c>
      <c r="F340" s="6">
        <v>0.16997055415915097</v>
      </c>
      <c r="G340" s="6">
        <v>0.23320710555650215</v>
      </c>
      <c r="H340" s="6">
        <v>0.41355070920249304</v>
      </c>
      <c r="I340" s="6">
        <v>-1.4182124426810483</v>
      </c>
      <c r="J340" s="6">
        <v>-0.74001352178081992</v>
      </c>
      <c r="K340" s="6">
        <v>3.6860424730457635E-2</v>
      </c>
      <c r="L340" s="6">
        <v>-0.37944033486961065</v>
      </c>
      <c r="N340" s="8">
        <f>SQRT((C340-Sheet4!$C$525)^2+(D340-Sheet4!$D$525)^2+(E340-Sheet4!$E$525)^2+(F340-Sheet4!$F$525)^2+(G340-Sheet4!$G$525)^2+(H340-Sheet4!$H$525)^2+(I340-Sheet4!$I$525)^2+(J340-Sheet4!$J$525)^2+(K340-Sheet4!$K$525)^2+(L340-Sheet4!$L$525)^2)</f>
        <v>2.2262434117703069</v>
      </c>
      <c r="O340" s="8">
        <f>SQRT((C340-Sheet4!$C$526)^2+(D340-Sheet4!$D$526)^2+(E340-Sheet4!$E$526)^2+(F340-Sheet4!$F$526)^2+(G340-Sheet4!$G$526)^2+(H340-Sheet4!$H$526)^2+(I340-Sheet4!$I$526)^2+(J340-Sheet4!$J$526)^2+(K340-Sheet4!$K$526)^2+(L340-Sheet4!$L$526)^2)</f>
        <v>3.4317337485029689</v>
      </c>
      <c r="P340" s="12">
        <f t="shared" si="5"/>
        <v>0</v>
      </c>
      <c r="Q340" s="11">
        <f>IF(P340=Sheet1!$M340, 1, 0)</f>
        <v>1</v>
      </c>
    </row>
    <row r="341" spans="1:17" x14ac:dyDescent="0.35">
      <c r="A341" s="6" t="s">
        <v>360</v>
      </c>
      <c r="B341" s="6" t="s">
        <v>372</v>
      </c>
      <c r="C341" s="6">
        <v>-0.79087378910173933</v>
      </c>
      <c r="D341" s="6">
        <v>0.48696207491264815</v>
      </c>
      <c r="E341" s="6">
        <v>0.36736494731583069</v>
      </c>
      <c r="F341" s="6">
        <v>0.23775974847480039</v>
      </c>
      <c r="G341" s="6">
        <v>-0.39104726017958491</v>
      </c>
      <c r="H341" s="6">
        <v>3.8661165361098287E-2</v>
      </c>
      <c r="I341" s="6">
        <v>-1.1428142388950124</v>
      </c>
      <c r="J341" s="6">
        <v>-0.69825833783458258</v>
      </c>
      <c r="K341" s="6">
        <v>1.3983244315834844</v>
      </c>
      <c r="L341" s="6">
        <v>-0.34743689815006207</v>
      </c>
      <c r="N341" s="8">
        <f>SQRT((C341-Sheet4!$C$525)^2+(D341-Sheet4!$D$525)^2+(E341-Sheet4!$E$525)^2+(F341-Sheet4!$F$525)^2+(G341-Sheet4!$G$525)^2+(H341-Sheet4!$H$525)^2+(I341-Sheet4!$I$525)^2+(J341-Sheet4!$J$525)^2+(K341-Sheet4!$K$525)^2+(L341-Sheet4!$L$525)^2)</f>
        <v>2.2770697239809969</v>
      </c>
      <c r="O341" s="8">
        <f>SQRT((C341-Sheet4!$C$526)^2+(D341-Sheet4!$D$526)^2+(E341-Sheet4!$E$526)^2+(F341-Sheet4!$F$526)^2+(G341-Sheet4!$G$526)^2+(H341-Sheet4!$H$526)^2+(I341-Sheet4!$I$526)^2+(J341-Sheet4!$J$526)^2+(K341-Sheet4!$K$526)^2+(L341-Sheet4!$L$526)^2)</f>
        <v>3.8706176691069243</v>
      </c>
      <c r="P341" s="12">
        <f t="shared" si="5"/>
        <v>0</v>
      </c>
      <c r="Q341" s="11">
        <f>IF(P341=Sheet1!$M341, 1, 0)</f>
        <v>1</v>
      </c>
    </row>
    <row r="342" spans="1:17" x14ac:dyDescent="0.35">
      <c r="A342" s="6" t="s">
        <v>360</v>
      </c>
      <c r="B342" s="6" t="s">
        <v>373</v>
      </c>
      <c r="C342" s="6">
        <v>-0.82174028960605328</v>
      </c>
      <c r="D342" s="6">
        <v>-0.50735764195410882</v>
      </c>
      <c r="E342" s="6">
        <v>4.5758730197962741E-2</v>
      </c>
      <c r="F342" s="6">
        <v>-0.27836252642844123</v>
      </c>
      <c r="G342" s="6">
        <v>-3.6819201482827475E-2</v>
      </c>
      <c r="H342" s="6">
        <v>-0.97073970411989952</v>
      </c>
      <c r="I342" s="6">
        <v>-1.5355116776269531</v>
      </c>
      <c r="J342" s="6">
        <v>-0.7703809282871743</v>
      </c>
      <c r="K342" s="6">
        <v>-0.28863901598842656</v>
      </c>
      <c r="L342" s="6">
        <v>-0.33407129528589591</v>
      </c>
      <c r="N342" s="8">
        <f>SQRT((C342-Sheet4!$C$525)^2+(D342-Sheet4!$D$525)^2+(E342-Sheet4!$E$525)^2+(F342-Sheet4!$F$525)^2+(G342-Sheet4!$G$525)^2+(H342-Sheet4!$H$525)^2+(I342-Sheet4!$I$525)^2+(J342-Sheet4!$J$525)^2+(K342-Sheet4!$K$525)^2+(L342-Sheet4!$L$525)^2)</f>
        <v>2.001790718869684</v>
      </c>
      <c r="O342" s="8">
        <f>SQRT((C342-Sheet4!$C$526)^2+(D342-Sheet4!$D$526)^2+(E342-Sheet4!$E$526)^2+(F342-Sheet4!$F$526)^2+(G342-Sheet4!$G$526)^2+(H342-Sheet4!$H$526)^2+(I342-Sheet4!$I$526)^2+(J342-Sheet4!$J$526)^2+(K342-Sheet4!$K$526)^2+(L342-Sheet4!$L$526)^2)</f>
        <v>4.2832524639837786</v>
      </c>
      <c r="P342" s="12">
        <f t="shared" si="5"/>
        <v>0</v>
      </c>
      <c r="Q342" s="11">
        <f>IF(P342=Sheet1!$M342, 1, 0)</f>
        <v>1</v>
      </c>
    </row>
    <row r="343" spans="1:17" x14ac:dyDescent="0.35">
      <c r="A343" s="6" t="s">
        <v>360</v>
      </c>
      <c r="B343" s="6" t="s">
        <v>374</v>
      </c>
      <c r="C343" s="6">
        <v>-1.1438255122597651</v>
      </c>
      <c r="D343" s="6">
        <v>1.8986505618222407</v>
      </c>
      <c r="E343" s="6">
        <v>1.3797061668346178</v>
      </c>
      <c r="F343" s="6">
        <v>1.6782801276823569</v>
      </c>
      <c r="G343" s="6">
        <v>1.0403825179966555</v>
      </c>
      <c r="H343" s="6">
        <v>0.81752651075572047</v>
      </c>
      <c r="I343" s="6">
        <v>0.9424346606052777</v>
      </c>
      <c r="J343" s="6">
        <v>0.30386607687511136</v>
      </c>
      <c r="K343" s="6">
        <v>-0.96467631594303382</v>
      </c>
      <c r="L343" s="6">
        <v>-0.22843705317144289</v>
      </c>
      <c r="N343" s="8">
        <f>SQRT((C343-Sheet4!$C$525)^2+(D343-Sheet4!$D$525)^2+(E343-Sheet4!$E$525)^2+(F343-Sheet4!$F$525)^2+(G343-Sheet4!$G$525)^2+(H343-Sheet4!$H$525)^2+(I343-Sheet4!$I$525)^2+(J343-Sheet4!$J$525)^2+(K343-Sheet4!$K$525)^2+(L343-Sheet4!$L$525)^2)</f>
        <v>4.5549332037427135</v>
      </c>
      <c r="O343" s="8">
        <f>SQRT((C343-Sheet4!$C$526)^2+(D343-Sheet4!$D$526)^2+(E343-Sheet4!$E$526)^2+(F343-Sheet4!$F$526)^2+(G343-Sheet4!$G$526)^2+(H343-Sheet4!$H$526)^2+(I343-Sheet4!$I$526)^2+(J343-Sheet4!$J$526)^2+(K343-Sheet4!$K$526)^2+(L343-Sheet4!$L$526)^2)</f>
        <v>1.7264729252989941</v>
      </c>
      <c r="P343" s="12">
        <f t="shared" si="5"/>
        <v>1</v>
      </c>
      <c r="Q343" s="11">
        <f>IF(P343=Sheet1!$M343, 1, 0)</f>
        <v>0</v>
      </c>
    </row>
    <row r="344" spans="1:17" x14ac:dyDescent="0.35">
      <c r="A344" s="6" t="s">
        <v>375</v>
      </c>
      <c r="B344" s="6" t="s">
        <v>376</v>
      </c>
      <c r="C344" s="6">
        <v>-1.0337797278530803</v>
      </c>
      <c r="D344" s="6">
        <v>-0.33549991311294136</v>
      </c>
      <c r="E344" s="6">
        <v>0.36294424330046482</v>
      </c>
      <c r="F344" s="6">
        <v>-8.7464126730160494E-3</v>
      </c>
      <c r="G344" s="6">
        <v>-1.9398149415773152E-2</v>
      </c>
      <c r="H344" s="6">
        <v>-0.58076839702051719</v>
      </c>
      <c r="I344" s="6">
        <v>-1.3780502046289178</v>
      </c>
      <c r="J344" s="6">
        <v>-0.58438056343575373</v>
      </c>
      <c r="K344" s="6">
        <v>0.43904002215715515</v>
      </c>
      <c r="L344" s="6">
        <v>-0.23919945019365965</v>
      </c>
      <c r="N344" s="8">
        <f>SQRT((C344-Sheet4!$C$525)^2+(D344-Sheet4!$D$525)^2+(E344-Sheet4!$E$525)^2+(F344-Sheet4!$F$525)^2+(G344-Sheet4!$G$525)^2+(H344-Sheet4!$H$525)^2+(I344-Sheet4!$I$525)^2+(J344-Sheet4!$J$525)^2+(K344-Sheet4!$K$525)^2+(L344-Sheet4!$L$525)^2)</f>
        <v>1.9754778341153687</v>
      </c>
      <c r="O344" s="8">
        <f>SQRT((C344-Sheet4!$C$526)^2+(D344-Sheet4!$D$526)^2+(E344-Sheet4!$E$526)^2+(F344-Sheet4!$F$526)^2+(G344-Sheet4!$G$526)^2+(H344-Sheet4!$H$526)^2+(I344-Sheet4!$I$526)^2+(J344-Sheet4!$J$526)^2+(K344-Sheet4!$K$526)^2+(L344-Sheet4!$L$526)^2)</f>
        <v>3.8736875380692104</v>
      </c>
      <c r="P344" s="12">
        <f t="shared" si="5"/>
        <v>0</v>
      </c>
      <c r="Q344" s="11">
        <f>IF(P344=Sheet1!$M344, 1, 0)</f>
        <v>1</v>
      </c>
    </row>
    <row r="345" spans="1:17" x14ac:dyDescent="0.35">
      <c r="A345" s="6" t="s">
        <v>375</v>
      </c>
      <c r="B345" s="6" t="s">
        <v>377</v>
      </c>
      <c r="C345" s="6">
        <v>-0.9948610967824234</v>
      </c>
      <c r="D345" s="6">
        <v>-0.59942428240473467</v>
      </c>
      <c r="E345" s="6">
        <v>0.51398496382546588</v>
      </c>
      <c r="F345" s="6">
        <v>-0.12275551220388296</v>
      </c>
      <c r="G345" s="6">
        <v>-9.7792883717517598E-2</v>
      </c>
      <c r="H345" s="6">
        <v>-0.33622837848029724</v>
      </c>
      <c r="I345" s="6">
        <v>-1.342350437471469</v>
      </c>
      <c r="J345" s="6">
        <v>0.19378422828957678</v>
      </c>
      <c r="K345" s="6">
        <v>-0.3074178298760552</v>
      </c>
      <c r="L345" s="6">
        <v>-8.5186032174175308E-2</v>
      </c>
      <c r="N345" s="8">
        <f>SQRT((C345-Sheet4!$C$525)^2+(D345-Sheet4!$D$525)^2+(E345-Sheet4!$E$525)^2+(F345-Sheet4!$F$525)^2+(G345-Sheet4!$G$525)^2+(H345-Sheet4!$H$525)^2+(I345-Sheet4!$I$525)^2+(J345-Sheet4!$J$525)^2+(K345-Sheet4!$K$525)^2+(L345-Sheet4!$L$525)^2)</f>
        <v>2.0802737085770109</v>
      </c>
      <c r="O345" s="8">
        <f>SQRT((C345-Sheet4!$C$526)^2+(D345-Sheet4!$D$526)^2+(E345-Sheet4!$E$526)^2+(F345-Sheet4!$F$526)^2+(G345-Sheet4!$G$526)^2+(H345-Sheet4!$H$526)^2+(I345-Sheet4!$I$526)^2+(J345-Sheet4!$J$526)^2+(K345-Sheet4!$K$526)^2+(L345-Sheet4!$L$526)^2)</f>
        <v>3.4823610317592211</v>
      </c>
      <c r="P345" s="12">
        <f t="shared" si="5"/>
        <v>0</v>
      </c>
      <c r="Q345" s="11">
        <f>IF(P345=Sheet1!$M345, 1, 0)</f>
        <v>1</v>
      </c>
    </row>
    <row r="346" spans="1:17" x14ac:dyDescent="0.35">
      <c r="A346" s="6" t="s">
        <v>375</v>
      </c>
      <c r="B346" s="6" t="s">
        <v>378</v>
      </c>
      <c r="C346" s="6">
        <v>-1.2391090572948216</v>
      </c>
      <c r="D346" s="6">
        <v>-0.56259762622448473</v>
      </c>
      <c r="E346" s="6">
        <v>0.87758786908930964</v>
      </c>
      <c r="F346" s="6">
        <v>-5.6650856586689469E-3</v>
      </c>
      <c r="G346" s="6">
        <v>-0.65236304118539146</v>
      </c>
      <c r="H346" s="6">
        <v>-6.5914599008273019E-4</v>
      </c>
      <c r="I346" s="6">
        <v>-1.2378011193675107</v>
      </c>
      <c r="J346" s="6">
        <v>-0.40976797602421622</v>
      </c>
      <c r="K346" s="6">
        <v>0.21525915666292322</v>
      </c>
      <c r="L346" s="6">
        <v>-0.20592405013644743</v>
      </c>
      <c r="N346" s="8">
        <f>SQRT((C346-Sheet4!$C$525)^2+(D346-Sheet4!$D$525)^2+(E346-Sheet4!$E$525)^2+(F346-Sheet4!$F$525)^2+(G346-Sheet4!$G$525)^2+(H346-Sheet4!$H$525)^2+(I346-Sheet4!$I$525)^2+(J346-Sheet4!$J$525)^2+(K346-Sheet4!$K$525)^2+(L346-Sheet4!$L$525)^2)</f>
        <v>2.2649910793931425</v>
      </c>
      <c r="O346" s="8">
        <f>SQRT((C346-Sheet4!$C$526)^2+(D346-Sheet4!$D$526)^2+(E346-Sheet4!$E$526)^2+(F346-Sheet4!$F$526)^2+(G346-Sheet4!$G$526)^2+(H346-Sheet4!$H$526)^2+(I346-Sheet4!$I$526)^2+(J346-Sheet4!$J$526)^2+(K346-Sheet4!$K$526)^2+(L346-Sheet4!$L$526)^2)</f>
        <v>3.7710594319022053</v>
      </c>
      <c r="P346" s="12">
        <f t="shared" si="5"/>
        <v>0</v>
      </c>
      <c r="Q346" s="11">
        <f>IF(P346=Sheet1!$M346, 1, 0)</f>
        <v>1</v>
      </c>
    </row>
    <row r="347" spans="1:17" x14ac:dyDescent="0.35">
      <c r="A347" s="6" t="s">
        <v>375</v>
      </c>
      <c r="B347" s="6" t="s">
        <v>379</v>
      </c>
      <c r="C347" s="6">
        <v>-0.96131055275599508</v>
      </c>
      <c r="D347" s="6">
        <v>-0.54418429813435942</v>
      </c>
      <c r="E347" s="6">
        <v>-0.16827702254600208</v>
      </c>
      <c r="F347" s="6">
        <v>-0.50638072549017288</v>
      </c>
      <c r="G347" s="6">
        <v>-0.9833630304594112</v>
      </c>
      <c r="H347" s="6">
        <v>-1.1802684865255069</v>
      </c>
      <c r="I347" s="6">
        <v>-1.2741383823670567</v>
      </c>
      <c r="J347" s="6">
        <v>-0.69825833783458258</v>
      </c>
      <c r="K347" s="6">
        <v>0.94137329365120404</v>
      </c>
      <c r="L347" s="6">
        <v>-0.33476421587931188</v>
      </c>
      <c r="N347" s="8">
        <f>SQRT((C347-Sheet4!$C$525)^2+(D347-Sheet4!$D$525)^2+(E347-Sheet4!$E$525)^2+(F347-Sheet4!$F$525)^2+(G347-Sheet4!$G$525)^2+(H347-Sheet4!$H$525)^2+(I347-Sheet4!$I$525)^2+(J347-Sheet4!$J$525)^2+(K347-Sheet4!$K$525)^2+(L347-Sheet4!$L$525)^2)</f>
        <v>2.1321741118919588</v>
      </c>
      <c r="O347" s="8">
        <f>SQRT((C347-Sheet4!$C$526)^2+(D347-Sheet4!$D$526)^2+(E347-Sheet4!$E$526)^2+(F347-Sheet4!$F$526)^2+(G347-Sheet4!$G$526)^2+(H347-Sheet4!$H$526)^2+(I347-Sheet4!$I$526)^2+(J347-Sheet4!$J$526)^2+(K347-Sheet4!$K$526)^2+(L347-Sheet4!$L$526)^2)</f>
        <v>4.8911877004974391</v>
      </c>
      <c r="P347" s="12">
        <f t="shared" si="5"/>
        <v>0</v>
      </c>
      <c r="Q347" s="11">
        <f>IF(P347=Sheet1!$M347, 1, 0)</f>
        <v>1</v>
      </c>
    </row>
    <row r="348" spans="1:17" x14ac:dyDescent="0.35">
      <c r="A348" s="6" t="s">
        <v>375</v>
      </c>
      <c r="B348" s="6" t="s">
        <v>380</v>
      </c>
      <c r="C348" s="6">
        <v>-1.1639558386756221</v>
      </c>
      <c r="D348" s="6">
        <v>-0.40915322547344196</v>
      </c>
      <c r="E348" s="6">
        <v>0.59945190812253957</v>
      </c>
      <c r="F348" s="6">
        <v>5.9042781642633359E-2</v>
      </c>
      <c r="G348" s="6">
        <v>0.26514570101276702</v>
      </c>
      <c r="H348" s="6">
        <v>0.11191544404275017</v>
      </c>
      <c r="I348" s="6">
        <v>-0.41734397058827694</v>
      </c>
      <c r="J348" s="6">
        <v>-3.7767246321375333E-2</v>
      </c>
      <c r="K348" s="6">
        <v>0.13231939532589962</v>
      </c>
      <c r="L348" s="6">
        <v>-0.32154416771189909</v>
      </c>
      <c r="N348" s="8">
        <f>SQRT((C348-Sheet4!$C$525)^2+(D348-Sheet4!$D$525)^2+(E348-Sheet4!$E$525)^2+(F348-Sheet4!$F$525)^2+(G348-Sheet4!$G$525)^2+(H348-Sheet4!$H$525)^2+(I348-Sheet4!$I$525)^2+(J348-Sheet4!$J$525)^2+(K348-Sheet4!$K$525)^2+(L348-Sheet4!$L$525)^2)</f>
        <v>1.9433666789389668</v>
      </c>
      <c r="O348" s="8">
        <f>SQRT((C348-Sheet4!$C$526)^2+(D348-Sheet4!$D$526)^2+(E348-Sheet4!$E$526)^2+(F348-Sheet4!$F$526)^2+(G348-Sheet4!$G$526)^2+(H348-Sheet4!$H$526)^2+(I348-Sheet4!$I$526)^2+(J348-Sheet4!$J$526)^2+(K348-Sheet4!$K$526)^2+(L348-Sheet4!$L$526)^2)</f>
        <v>2.8743239707115062</v>
      </c>
      <c r="P348" s="12">
        <f t="shared" si="5"/>
        <v>0</v>
      </c>
      <c r="Q348" s="11">
        <f>IF(P348=Sheet1!$M348, 1, 0)</f>
        <v>1</v>
      </c>
    </row>
    <row r="349" spans="1:17" x14ac:dyDescent="0.35">
      <c r="A349" s="6" t="s">
        <v>375</v>
      </c>
      <c r="B349" s="6" t="s">
        <v>381</v>
      </c>
      <c r="C349" s="6">
        <v>-0.99754514030453767</v>
      </c>
      <c r="D349" s="6">
        <v>-0.41529100150348353</v>
      </c>
      <c r="E349" s="6">
        <v>0.88827123712644385</v>
      </c>
      <c r="F349" s="6">
        <v>-0.11043020414649235</v>
      </c>
      <c r="G349" s="6">
        <v>-1.0269156606270429</v>
      </c>
      <c r="H349" s="6">
        <v>0.34945321535604773</v>
      </c>
      <c r="I349" s="6">
        <v>-0.8170538635832888</v>
      </c>
      <c r="J349" s="6">
        <v>-0.99434055127153764</v>
      </c>
      <c r="K349" s="6">
        <v>-3.3560127348147624E-2</v>
      </c>
      <c r="L349" s="6">
        <v>-0.35771321436398518</v>
      </c>
      <c r="N349" s="8">
        <f>SQRT((C349-Sheet4!$C$525)^2+(D349-Sheet4!$D$525)^2+(E349-Sheet4!$E$525)^2+(F349-Sheet4!$F$525)^2+(G349-Sheet4!$G$525)^2+(H349-Sheet4!$H$525)^2+(I349-Sheet4!$I$525)^2+(J349-Sheet4!$J$525)^2+(K349-Sheet4!$K$525)^2+(L349-Sheet4!$L$525)^2)</f>
        <v>2.2088847901570965</v>
      </c>
      <c r="O349" s="8">
        <f>SQRT((C349-Sheet4!$C$526)^2+(D349-Sheet4!$D$526)^2+(E349-Sheet4!$E$526)^2+(F349-Sheet4!$F$526)^2+(G349-Sheet4!$G$526)^2+(H349-Sheet4!$H$526)^2+(I349-Sheet4!$I$526)^2+(J349-Sheet4!$J$526)^2+(K349-Sheet4!$K$526)^2+(L349-Sheet4!$L$526)^2)</f>
        <v>3.9083436203577886</v>
      </c>
      <c r="P349" s="12">
        <f t="shared" si="5"/>
        <v>0</v>
      </c>
      <c r="Q349" s="11">
        <f>IF(P349=Sheet1!$M349, 1, 0)</f>
        <v>1</v>
      </c>
    </row>
    <row r="350" spans="1:17" x14ac:dyDescent="0.35">
      <c r="A350" s="6" t="s">
        <v>375</v>
      </c>
      <c r="B350" s="6" t="s">
        <v>382</v>
      </c>
      <c r="C350" s="6">
        <v>-0.81771422432288199</v>
      </c>
      <c r="D350" s="6">
        <v>-0.26184660075244082</v>
      </c>
      <c r="E350" s="6">
        <v>0.72028448454254035</v>
      </c>
      <c r="F350" s="6">
        <v>-0.13508082026127355</v>
      </c>
      <c r="G350" s="6">
        <v>-1.0036875912043053</v>
      </c>
      <c r="H350" s="6">
        <v>0.56113653536993924</v>
      </c>
      <c r="I350" s="6">
        <v>0.35848846924414518</v>
      </c>
      <c r="J350" s="6">
        <v>-0.49327834391669079</v>
      </c>
      <c r="K350" s="6">
        <v>0.11510548259557409</v>
      </c>
      <c r="L350" s="6">
        <v>-0.35492036533688881</v>
      </c>
      <c r="N350" s="8">
        <f>SQRT((C350-Sheet4!$C$525)^2+(D350-Sheet4!$D$525)^2+(E350-Sheet4!$E$525)^2+(F350-Sheet4!$F$525)^2+(G350-Sheet4!$G$525)^2+(H350-Sheet4!$H$525)^2+(I350-Sheet4!$I$525)^2+(J350-Sheet4!$J$525)^2+(K350-Sheet4!$K$525)^2+(L350-Sheet4!$L$525)^2)</f>
        <v>1.990997533795938</v>
      </c>
      <c r="O350" s="8">
        <f>SQRT((C350-Sheet4!$C$526)^2+(D350-Sheet4!$D$526)^2+(E350-Sheet4!$E$526)^2+(F350-Sheet4!$F$526)^2+(G350-Sheet4!$G$526)^2+(H350-Sheet4!$H$526)^2+(I350-Sheet4!$I$526)^2+(J350-Sheet4!$J$526)^2+(K350-Sheet4!$K$526)^2+(L350-Sheet4!$L$526)^2)</f>
        <v>3.3057266006365342</v>
      </c>
      <c r="P350" s="12">
        <f t="shared" si="5"/>
        <v>0</v>
      </c>
      <c r="Q350" s="11">
        <f>IF(P350=Sheet1!$M350, 1, 0)</f>
        <v>1</v>
      </c>
    </row>
    <row r="351" spans="1:17" x14ac:dyDescent="0.35">
      <c r="A351" s="6" t="s">
        <v>375</v>
      </c>
      <c r="B351" s="6" t="s">
        <v>383</v>
      </c>
      <c r="C351" s="6">
        <v>-0.73048280985416836</v>
      </c>
      <c r="D351" s="6">
        <v>-0.42142877753352509</v>
      </c>
      <c r="E351" s="6">
        <v>-0.25079683083283189</v>
      </c>
      <c r="F351" s="6">
        <v>-0.58649522786321284</v>
      </c>
      <c r="G351" s="6">
        <v>-1.6134244135511859</v>
      </c>
      <c r="H351" s="6">
        <v>0.58645235226727477</v>
      </c>
      <c r="I351" s="6">
        <v>0.1831771126673859</v>
      </c>
      <c r="J351" s="6">
        <v>-9.8502059334084097E-2</v>
      </c>
      <c r="K351" s="6">
        <v>0.3044585226291549</v>
      </c>
      <c r="L351" s="6">
        <v>-0.38769150591997681</v>
      </c>
      <c r="N351" s="8">
        <f>SQRT((C351-Sheet4!$C$525)^2+(D351-Sheet4!$D$525)^2+(E351-Sheet4!$E$525)^2+(F351-Sheet4!$F$525)^2+(G351-Sheet4!$G$525)^2+(H351-Sheet4!$H$525)^2+(I351-Sheet4!$I$525)^2+(J351-Sheet4!$J$525)^2+(K351-Sheet4!$K$525)^2+(L351-Sheet4!$L$525)^2)</f>
        <v>1.9138119813020138</v>
      </c>
      <c r="O351" s="8">
        <f>SQRT((C351-Sheet4!$C$526)^2+(D351-Sheet4!$D$526)^2+(E351-Sheet4!$E$526)^2+(F351-Sheet4!$F$526)^2+(G351-Sheet4!$G$526)^2+(H351-Sheet4!$H$526)^2+(I351-Sheet4!$I$526)^2+(J351-Sheet4!$J$526)^2+(K351-Sheet4!$K$526)^2+(L351-Sheet4!$L$526)^2)</f>
        <v>4.0578806104149416</v>
      </c>
      <c r="P351" s="12">
        <f t="shared" si="5"/>
        <v>0</v>
      </c>
      <c r="Q351" s="11">
        <f>IF(P351=Sheet1!$M351, 1, 0)</f>
        <v>1</v>
      </c>
    </row>
    <row r="352" spans="1:17" x14ac:dyDescent="0.35">
      <c r="A352" s="6" t="s">
        <v>375</v>
      </c>
      <c r="B352" s="6" t="s">
        <v>384</v>
      </c>
      <c r="C352" s="6">
        <v>-0.80563602847336779</v>
      </c>
      <c r="D352" s="6">
        <v>0.41330876255214699</v>
      </c>
      <c r="E352" s="6">
        <v>0.42188696350534327</v>
      </c>
      <c r="F352" s="6">
        <v>0.41185472478544566</v>
      </c>
      <c r="G352" s="6">
        <v>0.26514570101276702</v>
      </c>
      <c r="H352" s="6">
        <v>1.0415984220172445</v>
      </c>
      <c r="I352" s="6">
        <v>-0.80557893842553685</v>
      </c>
      <c r="J352" s="6">
        <v>-0.61854389575540236</v>
      </c>
      <c r="K352" s="6">
        <v>0.31697773188757328</v>
      </c>
      <c r="L352" s="6">
        <v>-0.14640772505785399</v>
      </c>
      <c r="N352" s="8">
        <f>SQRT((C352-Sheet4!$C$525)^2+(D352-Sheet4!$D$525)^2+(E352-Sheet4!$E$525)^2+(F352-Sheet4!$F$525)^2+(G352-Sheet4!$G$525)^2+(H352-Sheet4!$H$525)^2+(I352-Sheet4!$I$525)^2+(J352-Sheet4!$J$525)^2+(K352-Sheet4!$K$525)^2+(L352-Sheet4!$L$525)^2)</f>
        <v>2.3204160443006847</v>
      </c>
      <c r="O352" s="8">
        <f>SQRT((C352-Sheet4!$C$526)^2+(D352-Sheet4!$D$526)^2+(E352-Sheet4!$E$526)^2+(F352-Sheet4!$F$526)^2+(G352-Sheet4!$G$526)^2+(H352-Sheet4!$H$526)^2+(I352-Sheet4!$I$526)^2+(J352-Sheet4!$J$526)^2+(K352-Sheet4!$K$526)^2+(L352-Sheet4!$L$526)^2)</f>
        <v>2.8936788521766408</v>
      </c>
      <c r="P352" s="12">
        <f t="shared" si="5"/>
        <v>0</v>
      </c>
      <c r="Q352" s="11">
        <f>IF(P352=Sheet1!$M352, 1, 0)</f>
        <v>1</v>
      </c>
    </row>
    <row r="353" spans="1:17" x14ac:dyDescent="0.35">
      <c r="A353" s="6" t="s">
        <v>375</v>
      </c>
      <c r="B353" s="6" t="s">
        <v>385</v>
      </c>
      <c r="C353" s="6">
        <v>-1.0002291838266519</v>
      </c>
      <c r="D353" s="6">
        <v>-0.28639770487260768</v>
      </c>
      <c r="E353" s="6">
        <v>0.5596655719842466</v>
      </c>
      <c r="F353" s="6">
        <v>0.16534856363762923</v>
      </c>
      <c r="G353" s="6">
        <v>0.2303035968786625</v>
      </c>
      <c r="H353" s="6">
        <v>0.51158217037941001</v>
      </c>
      <c r="I353" s="6">
        <v>-1.4488122431017194</v>
      </c>
      <c r="J353" s="6">
        <v>0.67207088076465782</v>
      </c>
      <c r="K353" s="6">
        <v>-0.18379063844917023</v>
      </c>
      <c r="L353" s="6">
        <v>-0.12363739987377473</v>
      </c>
      <c r="N353" s="8">
        <f>SQRT((C353-Sheet4!$C$525)^2+(D353-Sheet4!$D$525)^2+(E353-Sheet4!$E$525)^2+(F353-Sheet4!$F$525)^2+(G353-Sheet4!$G$525)^2+(H353-Sheet4!$H$525)^2+(I353-Sheet4!$I$525)^2+(J353-Sheet4!$J$525)^2+(K353-Sheet4!$K$525)^2+(L353-Sheet4!$L$525)^2)</f>
        <v>2.5158013673784665</v>
      </c>
      <c r="O353" s="8">
        <f>SQRT((C353-Sheet4!$C$526)^2+(D353-Sheet4!$D$526)^2+(E353-Sheet4!$E$526)^2+(F353-Sheet4!$F$526)^2+(G353-Sheet4!$G$526)^2+(H353-Sheet4!$H$526)^2+(I353-Sheet4!$I$526)^2+(J353-Sheet4!$J$526)^2+(K353-Sheet4!$K$526)^2+(L353-Sheet4!$L$526)^2)</f>
        <v>3.0004532149475174</v>
      </c>
      <c r="P353" s="12">
        <f t="shared" si="5"/>
        <v>0</v>
      </c>
      <c r="Q353" s="11">
        <f>IF(P353=Sheet1!$M353, 1, 0)</f>
        <v>1</v>
      </c>
    </row>
    <row r="354" spans="1:17" x14ac:dyDescent="0.35">
      <c r="A354" s="6" t="s">
        <v>375</v>
      </c>
      <c r="B354" s="6" t="s">
        <v>386</v>
      </c>
      <c r="C354" s="6">
        <v>-0.83247646369451034</v>
      </c>
      <c r="D354" s="6">
        <v>-0.45825543371377514</v>
      </c>
      <c r="E354" s="6">
        <v>0.43293872354375795</v>
      </c>
      <c r="F354" s="6">
        <v>-0.12583683921823005</v>
      </c>
      <c r="G354" s="6">
        <v>-0.52460865936033196</v>
      </c>
      <c r="H354" s="6">
        <v>0.65809072774271371</v>
      </c>
      <c r="I354" s="6">
        <v>-0.57735542695470121</v>
      </c>
      <c r="J354" s="6">
        <v>-0.99434055127153764</v>
      </c>
      <c r="K354" s="6">
        <v>0.92572428207817936</v>
      </c>
      <c r="L354" s="6">
        <v>-0.26091169344632958</v>
      </c>
      <c r="N354" s="8">
        <f>SQRT((C354-Sheet4!$C$525)^2+(D354-Sheet4!$D$525)^2+(E354-Sheet4!$E$525)^2+(F354-Sheet4!$F$525)^2+(G354-Sheet4!$G$525)^2+(H354-Sheet4!$H$525)^2+(I354-Sheet4!$I$525)^2+(J354-Sheet4!$J$525)^2+(K354-Sheet4!$K$525)^2+(L354-Sheet4!$L$525)^2)</f>
        <v>1.9388786225386396</v>
      </c>
      <c r="O354" s="8">
        <f>SQRT((C354-Sheet4!$C$526)^2+(D354-Sheet4!$D$526)^2+(E354-Sheet4!$E$526)^2+(F354-Sheet4!$F$526)^2+(G354-Sheet4!$G$526)^2+(H354-Sheet4!$H$526)^2+(I354-Sheet4!$I$526)^2+(J354-Sheet4!$J$526)^2+(K354-Sheet4!$K$526)^2+(L354-Sheet4!$L$526)^2)</f>
        <v>3.8862547905465554</v>
      </c>
      <c r="P354" s="12">
        <f t="shared" si="5"/>
        <v>0</v>
      </c>
      <c r="Q354" s="11">
        <f>IF(P354=Sheet1!$M354, 1, 0)</f>
        <v>1</v>
      </c>
    </row>
    <row r="355" spans="1:17" x14ac:dyDescent="0.35">
      <c r="A355" s="6" t="s">
        <v>375</v>
      </c>
      <c r="B355" s="6" t="s">
        <v>387</v>
      </c>
      <c r="C355" s="6">
        <v>-0.99083503149925212</v>
      </c>
      <c r="D355" s="6">
        <v>1.0823263498266933</v>
      </c>
      <c r="E355" s="6">
        <v>1.5130640712981553</v>
      </c>
      <c r="F355" s="6">
        <v>1.1775644878508531</v>
      </c>
      <c r="G355" s="6">
        <v>0.47419832581741478</v>
      </c>
      <c r="H355" s="6">
        <v>0.76904941456933362</v>
      </c>
      <c r="I355" s="6">
        <v>0.92649726455284509</v>
      </c>
      <c r="J355" s="6">
        <v>1.2946027141449223</v>
      </c>
      <c r="K355" s="6">
        <v>-0.9818902286733594</v>
      </c>
      <c r="L355" s="6">
        <v>1.4802334233680535E-2</v>
      </c>
      <c r="N355" s="8">
        <f>SQRT((C355-Sheet4!$C$525)^2+(D355-Sheet4!$D$525)^2+(E355-Sheet4!$E$525)^2+(F355-Sheet4!$F$525)^2+(G355-Sheet4!$G$525)^2+(H355-Sheet4!$H$525)^2+(I355-Sheet4!$I$525)^2+(J355-Sheet4!$J$525)^2+(K355-Sheet4!$K$525)^2+(L355-Sheet4!$L$525)^2)</f>
        <v>4.1303628632763845</v>
      </c>
      <c r="O355" s="8">
        <f>SQRT((C355-Sheet4!$C$526)^2+(D355-Sheet4!$D$526)^2+(E355-Sheet4!$E$526)^2+(F355-Sheet4!$F$526)^2+(G355-Sheet4!$G$526)^2+(H355-Sheet4!$H$526)^2+(I355-Sheet4!$I$526)^2+(J355-Sheet4!$J$526)^2+(K355-Sheet4!$K$526)^2+(L355-Sheet4!$L$526)^2)</f>
        <v>1.0599368017577775</v>
      </c>
      <c r="P355" s="12">
        <f t="shared" si="5"/>
        <v>1</v>
      </c>
      <c r="Q355" s="11">
        <f>IF(P355=Sheet1!$M355, 1, 0)</f>
        <v>0</v>
      </c>
    </row>
    <row r="356" spans="1:17" x14ac:dyDescent="0.35">
      <c r="A356" s="6" t="s">
        <v>375</v>
      </c>
      <c r="B356" s="6" t="s">
        <v>388</v>
      </c>
      <c r="C356" s="6">
        <v>-1.0565940977910515</v>
      </c>
      <c r="D356" s="6">
        <v>1.5487973281098641</v>
      </c>
      <c r="E356" s="6">
        <v>1.2761880144748001</v>
      </c>
      <c r="F356" s="6">
        <v>1.4379366205632369</v>
      </c>
      <c r="G356" s="6">
        <v>0.70938252872263574</v>
      </c>
      <c r="H356" s="6">
        <v>0.64139306127851359</v>
      </c>
      <c r="I356" s="6">
        <v>-2.2734044330044362E-2</v>
      </c>
      <c r="J356" s="6">
        <v>0.24313126386240255</v>
      </c>
      <c r="K356" s="6">
        <v>-0.54997750925791578</v>
      </c>
      <c r="L356" s="6">
        <v>-0.32685476195652313</v>
      </c>
      <c r="N356" s="8">
        <f>SQRT((C356-Sheet4!$C$525)^2+(D356-Sheet4!$D$525)^2+(E356-Sheet4!$E$525)^2+(F356-Sheet4!$F$525)^2+(G356-Sheet4!$G$525)^2+(H356-Sheet4!$H$525)^2+(I356-Sheet4!$I$525)^2+(J356-Sheet4!$J$525)^2+(K356-Sheet4!$K$525)^2+(L356-Sheet4!$L$525)^2)</f>
        <v>3.7916470868074925</v>
      </c>
      <c r="O356" s="8">
        <f>SQRT((C356-Sheet4!$C$526)^2+(D356-Sheet4!$D$526)^2+(E356-Sheet4!$E$526)^2+(F356-Sheet4!$F$526)^2+(G356-Sheet4!$G$526)^2+(H356-Sheet4!$H$526)^2+(I356-Sheet4!$I$526)^2+(J356-Sheet4!$J$526)^2+(K356-Sheet4!$K$526)^2+(L356-Sheet4!$L$526)^2)</f>
        <v>1.6511910142846762</v>
      </c>
      <c r="P356" s="12">
        <f t="shared" si="5"/>
        <v>1</v>
      </c>
      <c r="Q356" s="11">
        <f>IF(P356=Sheet1!$M356, 1, 0)</f>
        <v>0</v>
      </c>
    </row>
    <row r="357" spans="1:17" x14ac:dyDescent="0.35">
      <c r="A357" s="6" t="s">
        <v>389</v>
      </c>
      <c r="B357" s="6" t="s">
        <v>390</v>
      </c>
      <c r="C357" s="6">
        <v>-0.34129649914759991</v>
      </c>
      <c r="D357" s="6">
        <v>0.21689992959081214</v>
      </c>
      <c r="E357" s="6">
        <v>0.12827853848479256</v>
      </c>
      <c r="F357" s="6">
        <v>0.46269662052218491</v>
      </c>
      <c r="G357" s="6">
        <v>0.93585620559433369</v>
      </c>
      <c r="H357" s="6">
        <v>0.22125822766315714</v>
      </c>
      <c r="I357" s="6">
        <v>-1.4245874011020214</v>
      </c>
      <c r="J357" s="6">
        <v>0.24313126386240255</v>
      </c>
      <c r="K357" s="6">
        <v>-0.64543647985335773</v>
      </c>
      <c r="L357" s="6">
        <v>0.30558743705803298</v>
      </c>
      <c r="N357" s="8">
        <f>SQRT((C357-Sheet4!$C$525)^2+(D357-Sheet4!$D$525)^2+(E357-Sheet4!$E$525)^2+(F357-Sheet4!$F$525)^2+(G357-Sheet4!$G$525)^2+(H357-Sheet4!$H$525)^2+(I357-Sheet4!$I$525)^2+(J357-Sheet4!$J$525)^2+(K357-Sheet4!$K$525)^2+(L357-Sheet4!$L$525)^2)</f>
        <v>2.4996498686899247</v>
      </c>
      <c r="O357" s="8">
        <f>SQRT((C357-Sheet4!$C$526)^2+(D357-Sheet4!$D$526)^2+(E357-Sheet4!$E$526)^2+(F357-Sheet4!$F$526)^2+(G357-Sheet4!$G$526)^2+(H357-Sheet4!$H$526)^2+(I357-Sheet4!$I$526)^2+(J357-Sheet4!$J$526)^2+(K357-Sheet4!$K$526)^2+(L357-Sheet4!$L$526)^2)</f>
        <v>2.7640006039922622</v>
      </c>
      <c r="P357" s="12">
        <f t="shared" si="5"/>
        <v>0</v>
      </c>
      <c r="Q357" s="11">
        <f>IF(P357=Sheet1!$M357, 1, 0)</f>
        <v>1</v>
      </c>
    </row>
    <row r="358" spans="1:17" x14ac:dyDescent="0.35">
      <c r="A358" s="6" t="s">
        <v>389</v>
      </c>
      <c r="B358" s="6" t="s">
        <v>391</v>
      </c>
      <c r="C358" s="6">
        <v>-0.27285338933368619</v>
      </c>
      <c r="D358" s="6">
        <v>0.16165994532043684</v>
      </c>
      <c r="E358" s="6">
        <v>-9.6808974297586975E-2</v>
      </c>
      <c r="F358" s="6">
        <v>0.33019955890523101</v>
      </c>
      <c r="G358" s="6">
        <v>0.99973339650686344</v>
      </c>
      <c r="H358" s="6">
        <v>0.57137058900928761</v>
      </c>
      <c r="I358" s="6">
        <v>-1.151101684842277</v>
      </c>
      <c r="J358" s="6">
        <v>3.0559418317921867E-2</v>
      </c>
      <c r="K358" s="6">
        <v>0.47972745224701652</v>
      </c>
      <c r="L358" s="6">
        <v>-9.50427626824186E-3</v>
      </c>
      <c r="N358" s="8">
        <f>SQRT((C358-Sheet4!$C$525)^2+(D358-Sheet4!$D$525)^2+(E358-Sheet4!$E$525)^2+(F358-Sheet4!$F$525)^2+(G358-Sheet4!$G$525)^2+(H358-Sheet4!$H$525)^2+(I358-Sheet4!$I$525)^2+(J358-Sheet4!$J$525)^2+(K358-Sheet4!$K$525)^2+(L358-Sheet4!$L$525)^2)</f>
        <v>2.1558056955053746</v>
      </c>
      <c r="O358" s="8">
        <f>SQRT((C358-Sheet4!$C$526)^2+(D358-Sheet4!$D$526)^2+(E358-Sheet4!$E$526)^2+(F358-Sheet4!$F$526)^2+(G358-Sheet4!$G$526)^2+(H358-Sheet4!$H$526)^2+(I358-Sheet4!$I$526)^2+(J358-Sheet4!$J$526)^2+(K358-Sheet4!$K$526)^2+(L358-Sheet4!$L$526)^2)</f>
        <v>3.0006357431448016</v>
      </c>
      <c r="P358" s="12">
        <f t="shared" si="5"/>
        <v>0</v>
      </c>
      <c r="Q358" s="11">
        <f>IF(P358=Sheet1!$M358, 1, 0)</f>
        <v>1</v>
      </c>
    </row>
    <row r="359" spans="1:17" x14ac:dyDescent="0.35">
      <c r="A359" s="6" t="s">
        <v>389</v>
      </c>
      <c r="B359" s="6" t="s">
        <v>392</v>
      </c>
      <c r="C359" s="6">
        <v>-0.57480828557154096</v>
      </c>
      <c r="D359" s="6">
        <v>0.48696207491264815</v>
      </c>
      <c r="E359" s="6">
        <v>0.26642553896497639</v>
      </c>
      <c r="F359" s="6">
        <v>0.63679159683283015</v>
      </c>
      <c r="G359" s="6">
        <v>0.86617199732612049</v>
      </c>
      <c r="H359" s="6">
        <v>0.37800083866580919</v>
      </c>
      <c r="I359" s="6">
        <v>-0.5314557263236952</v>
      </c>
      <c r="J359" s="6">
        <v>0.22794756060922539</v>
      </c>
      <c r="K359" s="6">
        <v>-0.78314778169596422</v>
      </c>
      <c r="L359" s="6">
        <v>2.1357723228726941</v>
      </c>
      <c r="N359" s="8">
        <f>SQRT((C359-Sheet4!$C$525)^2+(D359-Sheet4!$D$525)^2+(E359-Sheet4!$E$525)^2+(F359-Sheet4!$F$525)^2+(G359-Sheet4!$G$525)^2+(H359-Sheet4!$H$525)^2+(I359-Sheet4!$I$525)^2+(J359-Sheet4!$J$525)^2+(K359-Sheet4!$K$525)^2+(L359-Sheet4!$L$525)^2)</f>
        <v>3.4216513135457909</v>
      </c>
      <c r="O359" s="8">
        <f>SQRT((C359-Sheet4!$C$526)^2+(D359-Sheet4!$D$526)^2+(E359-Sheet4!$E$526)^2+(F359-Sheet4!$F$526)^2+(G359-Sheet4!$G$526)^2+(H359-Sheet4!$H$526)^2+(I359-Sheet4!$I$526)^2+(J359-Sheet4!$J$526)^2+(K359-Sheet4!$K$526)^2+(L359-Sheet4!$L$526)^2)</f>
        <v>2.408998088959557</v>
      </c>
      <c r="P359" s="12">
        <f t="shared" si="5"/>
        <v>1</v>
      </c>
      <c r="Q359" s="11">
        <f>IF(P359=Sheet1!$M359, 1, 0)</f>
        <v>0</v>
      </c>
    </row>
    <row r="360" spans="1:17" x14ac:dyDescent="0.35">
      <c r="A360" s="6" t="s">
        <v>389</v>
      </c>
      <c r="B360" s="6" t="s">
        <v>393</v>
      </c>
      <c r="C360" s="6">
        <v>-0.33056032505914285</v>
      </c>
      <c r="D360" s="6">
        <v>0.60971759551348181</v>
      </c>
      <c r="E360" s="6">
        <v>0.20011497873448814</v>
      </c>
      <c r="F360" s="6">
        <v>0.59827500915348375</v>
      </c>
      <c r="G360" s="6">
        <v>1.1042597089091852</v>
      </c>
      <c r="H360" s="6">
        <v>0.5018867511421321</v>
      </c>
      <c r="I360" s="6">
        <v>-0.39311912858857961</v>
      </c>
      <c r="J360" s="6">
        <v>0.11027386039710205</v>
      </c>
      <c r="K360" s="6">
        <v>-0.23386747548284592</v>
      </c>
      <c r="L360" s="6">
        <v>1.4614403555442765</v>
      </c>
      <c r="N360" s="8">
        <f>SQRT((C360-Sheet4!$C$525)^2+(D360-Sheet4!$D$525)^2+(E360-Sheet4!$E$525)^2+(F360-Sheet4!$F$525)^2+(G360-Sheet4!$G$525)^2+(H360-Sheet4!$H$525)^2+(I360-Sheet4!$I$525)^2+(J360-Sheet4!$J$525)^2+(K360-Sheet4!$K$525)^2+(L360-Sheet4!$L$525)^2)</f>
        <v>2.9177272834309824</v>
      </c>
      <c r="O360" s="8">
        <f>SQRT((C360-Sheet4!$C$526)^2+(D360-Sheet4!$D$526)^2+(E360-Sheet4!$E$526)^2+(F360-Sheet4!$F$526)^2+(G360-Sheet4!$G$526)^2+(H360-Sheet4!$H$526)^2+(I360-Sheet4!$I$526)^2+(J360-Sheet4!$J$526)^2+(K360-Sheet4!$K$526)^2+(L360-Sheet4!$L$526)^2)</f>
        <v>2.0810510305292809</v>
      </c>
      <c r="P360" s="12">
        <f t="shared" si="5"/>
        <v>1</v>
      </c>
      <c r="Q360" s="11">
        <f>IF(P360=Sheet1!$M360, 1, 0)</f>
        <v>0</v>
      </c>
    </row>
    <row r="361" spans="1:17" x14ac:dyDescent="0.35">
      <c r="A361" s="6" t="s">
        <v>389</v>
      </c>
      <c r="B361" s="6" t="s">
        <v>394</v>
      </c>
      <c r="C361" s="6">
        <v>-0.85797487715459597</v>
      </c>
      <c r="D361" s="6">
        <v>0.67109535581389879</v>
      </c>
      <c r="E361" s="6">
        <v>0.77738524474101633</v>
      </c>
      <c r="F361" s="6">
        <v>0.81242723665065009</v>
      </c>
      <c r="G361" s="6">
        <v>0.77325971963516549</v>
      </c>
      <c r="H361" s="6">
        <v>0.603150018731475</v>
      </c>
      <c r="I361" s="6">
        <v>0.14046489124686626</v>
      </c>
      <c r="J361" s="6">
        <v>0.28868237362193416</v>
      </c>
      <c r="K361" s="6">
        <v>-0.61257355555000981</v>
      </c>
      <c r="L361" s="6">
        <v>0.14289389415963666</v>
      </c>
      <c r="N361" s="8">
        <f>SQRT((C361-Sheet4!$C$525)^2+(D361-Sheet4!$D$525)^2+(E361-Sheet4!$E$525)^2+(F361-Sheet4!$F$525)^2+(G361-Sheet4!$G$525)^2+(H361-Sheet4!$H$525)^2+(I361-Sheet4!$I$525)^2+(J361-Sheet4!$J$525)^2+(K361-Sheet4!$K$525)^2+(L361-Sheet4!$L$525)^2)</f>
        <v>2.9041699346423364</v>
      </c>
      <c r="O361" s="8">
        <f>SQRT((C361-Sheet4!$C$526)^2+(D361-Sheet4!$D$526)^2+(E361-Sheet4!$E$526)^2+(F361-Sheet4!$F$526)^2+(G361-Sheet4!$G$526)^2+(H361-Sheet4!$H$526)^2+(I361-Sheet4!$I$526)^2+(J361-Sheet4!$J$526)^2+(K361-Sheet4!$K$526)^2+(L361-Sheet4!$L$526)^2)</f>
        <v>1.2413936245120774</v>
      </c>
      <c r="P361" s="12">
        <f t="shared" si="5"/>
        <v>1</v>
      </c>
      <c r="Q361" s="11">
        <f>IF(P361=Sheet1!$M361, 1, 0)</f>
        <v>0</v>
      </c>
    </row>
    <row r="362" spans="1:17" x14ac:dyDescent="0.35">
      <c r="A362" s="6" t="s">
        <v>389</v>
      </c>
      <c r="B362" s="6" t="s">
        <v>395</v>
      </c>
      <c r="C362" s="6">
        <v>-0.625805112491712</v>
      </c>
      <c r="D362" s="6">
        <v>-4.7024439700981191E-2</v>
      </c>
      <c r="E362" s="6">
        <v>0.488565915737112</v>
      </c>
      <c r="F362" s="6">
        <v>0.3209555778621897</v>
      </c>
      <c r="G362" s="6">
        <v>0.5874351642532637</v>
      </c>
      <c r="H362" s="6">
        <v>0.39469850513000937</v>
      </c>
      <c r="I362" s="6">
        <v>-0.40650654127262265</v>
      </c>
      <c r="J362" s="6">
        <v>-0.80074833479352847</v>
      </c>
      <c r="K362" s="6">
        <v>-0.40913640510070748</v>
      </c>
      <c r="L362" s="6">
        <v>-0.32328217353540645</v>
      </c>
      <c r="N362" s="8">
        <f>SQRT((C362-Sheet4!$C$525)^2+(D362-Sheet4!$D$525)^2+(E362-Sheet4!$E$525)^2+(F362-Sheet4!$F$525)^2+(G362-Sheet4!$G$525)^2+(H362-Sheet4!$H$525)^2+(I362-Sheet4!$I$525)^2+(J362-Sheet4!$J$525)^2+(K362-Sheet4!$K$525)^2+(L362-Sheet4!$L$525)^2)</f>
        <v>1.9881024983770124</v>
      </c>
      <c r="O362" s="8">
        <f>SQRT((C362-Sheet4!$C$526)^2+(D362-Sheet4!$D$526)^2+(E362-Sheet4!$E$526)^2+(F362-Sheet4!$F$526)^2+(G362-Sheet4!$G$526)^2+(H362-Sheet4!$H$526)^2+(I362-Sheet4!$I$526)^2+(J362-Sheet4!$J$526)^2+(K362-Sheet4!$K$526)^2+(L362-Sheet4!$L$526)^2)</f>
        <v>2.8219549630153788</v>
      </c>
      <c r="P362" s="12">
        <f t="shared" si="5"/>
        <v>0</v>
      </c>
      <c r="Q362" s="11">
        <f>IF(P362=Sheet1!$M362, 1, 0)</f>
        <v>1</v>
      </c>
    </row>
    <row r="363" spans="1:17" x14ac:dyDescent="0.35">
      <c r="A363" s="6" t="s">
        <v>389</v>
      </c>
      <c r="B363" s="6" t="s">
        <v>396</v>
      </c>
      <c r="C363" s="6">
        <v>-5.0077776998202241E-2</v>
      </c>
      <c r="D363" s="6">
        <v>-0.15750440824173179</v>
      </c>
      <c r="E363" s="6">
        <v>-0.92937489719149491</v>
      </c>
      <c r="F363" s="6">
        <v>-0.30455380605039711</v>
      </c>
      <c r="G363" s="6">
        <v>0.77616322831300921</v>
      </c>
      <c r="H363" s="6">
        <v>0.779283468208682</v>
      </c>
      <c r="I363" s="6">
        <v>-2.2750068544598281</v>
      </c>
      <c r="J363" s="6">
        <v>-0.72862574434093696</v>
      </c>
      <c r="K363" s="6">
        <v>0.8396547184265517</v>
      </c>
      <c r="L363" s="6">
        <v>-0.42161918576021373</v>
      </c>
      <c r="N363" s="8">
        <f>SQRT((C363-Sheet4!$C$525)^2+(D363-Sheet4!$D$525)^2+(E363-Sheet4!$E$525)^2+(F363-Sheet4!$F$525)^2+(G363-Sheet4!$G$525)^2+(H363-Sheet4!$H$525)^2+(I363-Sheet4!$I$525)^2+(J363-Sheet4!$J$525)^2+(K363-Sheet4!$K$525)^2+(L363-Sheet4!$L$525)^2)</f>
        <v>2.7004698594048993</v>
      </c>
      <c r="O363" s="8">
        <f>SQRT((C363-Sheet4!$C$526)^2+(D363-Sheet4!$D$526)^2+(E363-Sheet4!$E$526)^2+(F363-Sheet4!$F$526)^2+(G363-Sheet4!$G$526)^2+(H363-Sheet4!$H$526)^2+(I363-Sheet4!$I$526)^2+(J363-Sheet4!$J$526)^2+(K363-Sheet4!$K$526)^2+(L363-Sheet4!$L$526)^2)</f>
        <v>4.8089277004801509</v>
      </c>
      <c r="P363" s="12">
        <f t="shared" si="5"/>
        <v>0</v>
      </c>
      <c r="Q363" s="11">
        <f>IF(P363=Sheet1!$M363, 1, 0)</f>
        <v>1</v>
      </c>
    </row>
    <row r="364" spans="1:17" x14ac:dyDescent="0.35">
      <c r="A364" s="6" t="s">
        <v>389</v>
      </c>
      <c r="B364" s="6" t="s">
        <v>397</v>
      </c>
      <c r="C364" s="6">
        <v>-1.2592393837106783</v>
      </c>
      <c r="D364" s="6">
        <v>1.5181084479596552</v>
      </c>
      <c r="E364" s="6">
        <v>1.671472631848766</v>
      </c>
      <c r="F364" s="6">
        <v>1.6613328291034446</v>
      </c>
      <c r="G364" s="6">
        <v>1.4817158370286845</v>
      </c>
      <c r="H364" s="6">
        <v>0.86438770373589513</v>
      </c>
      <c r="I364" s="6">
        <v>0.92968474376333143</v>
      </c>
      <c r="J364" s="6">
        <v>1.4730112273697538</v>
      </c>
      <c r="K364" s="6">
        <v>-0.80975110137010187</v>
      </c>
      <c r="L364" s="6">
        <v>1.354684907648444</v>
      </c>
      <c r="N364" s="8">
        <f>SQRT((C364-Sheet4!$C$525)^2+(D364-Sheet4!$D$525)^2+(E364-Sheet4!$E$525)^2+(F364-Sheet4!$F$525)^2+(G364-Sheet4!$G$525)^2+(H364-Sheet4!$H$525)^2+(I364-Sheet4!$I$525)^2+(J364-Sheet4!$J$525)^2+(K364-Sheet4!$K$525)^2+(L364-Sheet4!$L$525)^2)</f>
        <v>5.2106896418295499</v>
      </c>
      <c r="O364" s="8">
        <f>SQRT((C364-Sheet4!$C$526)^2+(D364-Sheet4!$D$526)^2+(E364-Sheet4!$E$526)^2+(F364-Sheet4!$F$526)^2+(G364-Sheet4!$G$526)^2+(H364-Sheet4!$H$526)^2+(I364-Sheet4!$I$526)^2+(J364-Sheet4!$J$526)^2+(K364-Sheet4!$K$526)^2+(L364-Sheet4!$L$526)^2)</f>
        <v>1.5595212307598896</v>
      </c>
      <c r="P364" s="12">
        <f t="shared" si="5"/>
        <v>1</v>
      </c>
      <c r="Q364" s="11">
        <f>IF(P364=Sheet1!$M364, 1, 0)</f>
        <v>0</v>
      </c>
    </row>
    <row r="365" spans="1:17" x14ac:dyDescent="0.35">
      <c r="A365" s="6" t="s">
        <v>389</v>
      </c>
      <c r="B365" s="6" t="s">
        <v>398</v>
      </c>
      <c r="C365" s="6">
        <v>-0.97741481388868068</v>
      </c>
      <c r="D365" s="6">
        <v>1.2603218546979034</v>
      </c>
      <c r="E365" s="6">
        <v>1.5683228714902289</v>
      </c>
      <c r="F365" s="6">
        <v>1.6690361466393155</v>
      </c>
      <c r="G365" s="6">
        <v>1.4178386461161547</v>
      </c>
      <c r="H365" s="6">
        <v>1.0755323893477153</v>
      </c>
      <c r="I365" s="6">
        <v>0.72632357013429083</v>
      </c>
      <c r="J365" s="6">
        <v>1.176929013932799</v>
      </c>
      <c r="K365" s="6">
        <v>-0.80975110137010187</v>
      </c>
      <c r="L365" s="6">
        <v>0.50812591999959322</v>
      </c>
      <c r="N365" s="8">
        <f>SQRT((C365-Sheet4!$C$525)^2+(D365-Sheet4!$D$525)^2+(E365-Sheet4!$E$525)^2+(F365-Sheet4!$F$525)^2+(G365-Sheet4!$G$525)^2+(H365-Sheet4!$H$525)^2+(I365-Sheet4!$I$525)^2+(J365-Sheet4!$J$525)^2+(K365-Sheet4!$K$525)^2+(L365-Sheet4!$L$525)^2)</f>
        <v>4.6869254991824398</v>
      </c>
      <c r="O365" s="8">
        <f>SQRT((C365-Sheet4!$C$526)^2+(D365-Sheet4!$D$526)^2+(E365-Sheet4!$E$526)^2+(F365-Sheet4!$F$526)^2+(G365-Sheet4!$G$526)^2+(H365-Sheet4!$H$526)^2+(I365-Sheet4!$I$526)^2+(J365-Sheet4!$J$526)^2+(K365-Sheet4!$K$526)^2+(L365-Sheet4!$L$526)^2)</f>
        <v>1.111372837651182</v>
      </c>
      <c r="P365" s="12">
        <f t="shared" si="5"/>
        <v>1</v>
      </c>
      <c r="Q365" s="11">
        <f>IF(P365=Sheet1!$M365, 1, 0)</f>
        <v>0</v>
      </c>
    </row>
    <row r="366" spans="1:17" x14ac:dyDescent="0.35">
      <c r="A366" s="6" t="s">
        <v>389</v>
      </c>
      <c r="B366" s="6" t="s">
        <v>399</v>
      </c>
      <c r="C366" s="6">
        <v>-1.0270696190477946</v>
      </c>
      <c r="D366" s="6">
        <v>1.4505929116291967</v>
      </c>
      <c r="E366" s="6">
        <v>2.372522610285539</v>
      </c>
      <c r="F366" s="6">
        <v>1.6428448670173597</v>
      </c>
      <c r="G366" s="6">
        <v>1.4207421547939945</v>
      </c>
      <c r="H366" s="6">
        <v>0.90209211188086313</v>
      </c>
      <c r="I366" s="6">
        <v>0.93797218971059615</v>
      </c>
      <c r="J366" s="6">
        <v>1.8450119570725949</v>
      </c>
      <c r="K366" s="6">
        <v>-0.44356423056135857</v>
      </c>
      <c r="L366" s="6">
        <v>0.37580435169501947</v>
      </c>
      <c r="N366" s="8">
        <f>SQRT((C366-Sheet4!$C$525)^2+(D366-Sheet4!$D$525)^2+(E366-Sheet4!$E$525)^2+(F366-Sheet4!$F$525)^2+(G366-Sheet4!$G$525)^2+(H366-Sheet4!$H$525)^2+(I366-Sheet4!$I$525)^2+(J366-Sheet4!$J$525)^2+(K366-Sheet4!$K$525)^2+(L366-Sheet4!$L$525)^2)</f>
        <v>5.3130999586027343</v>
      </c>
      <c r="O366" s="8">
        <f>SQRT((C366-Sheet4!$C$526)^2+(D366-Sheet4!$D$526)^2+(E366-Sheet4!$E$526)^2+(F366-Sheet4!$F$526)^2+(G366-Sheet4!$G$526)^2+(H366-Sheet4!$H$526)^2+(I366-Sheet4!$I$526)^2+(J366-Sheet4!$J$526)^2+(K366-Sheet4!$K$526)^2+(L366-Sheet4!$L$526)^2)</f>
        <v>1.8238739163015547</v>
      </c>
      <c r="P366" s="12">
        <f t="shared" si="5"/>
        <v>1</v>
      </c>
      <c r="Q366" s="11">
        <f>IF(P366=Sheet1!$M366, 1, 0)</f>
        <v>0</v>
      </c>
    </row>
    <row r="367" spans="1:17" x14ac:dyDescent="0.35">
      <c r="A367" s="6" t="s">
        <v>400</v>
      </c>
      <c r="B367" s="6" t="s">
        <v>401</v>
      </c>
      <c r="C367" s="6">
        <v>-0.66740778708448312</v>
      </c>
      <c r="D367" s="6">
        <v>0.59130426742335718</v>
      </c>
      <c r="E367" s="6">
        <v>-0.14617350246917266</v>
      </c>
      <c r="F367" s="6">
        <v>0.36871614658457746</v>
      </c>
      <c r="G367" s="6">
        <v>0.53226849937425702</v>
      </c>
      <c r="H367" s="6">
        <v>-0.50212777431815592</v>
      </c>
      <c r="I367" s="6">
        <v>-0.91076575237159274</v>
      </c>
      <c r="J367" s="6">
        <v>-0.34903316301150761</v>
      </c>
      <c r="K367" s="6">
        <v>0.31697773188757328</v>
      </c>
      <c r="L367" s="6">
        <v>-0.2878060892667727</v>
      </c>
      <c r="N367" s="8">
        <f>SQRT((C367-Sheet4!$C$525)^2+(D367-Sheet4!$D$525)^2+(E367-Sheet4!$E$525)^2+(F367-Sheet4!$F$525)^2+(G367-Sheet4!$G$525)^2+(H367-Sheet4!$H$525)^2+(I367-Sheet4!$I$525)^2+(J367-Sheet4!$J$525)^2+(K367-Sheet4!$K$525)^2+(L367-Sheet4!$L$525)^2)</f>
        <v>1.9037828824704701</v>
      </c>
      <c r="O367" s="8">
        <f>SQRT((C367-Sheet4!$C$526)^2+(D367-Sheet4!$D$526)^2+(E367-Sheet4!$E$526)^2+(F367-Sheet4!$F$526)^2+(G367-Sheet4!$G$526)^2+(H367-Sheet4!$H$526)^2+(I367-Sheet4!$I$526)^2+(J367-Sheet4!$J$526)^2+(K367-Sheet4!$K$526)^2+(L367-Sheet4!$L$526)^2)</f>
        <v>3.1683463917143482</v>
      </c>
      <c r="P367" s="12">
        <f t="shared" si="5"/>
        <v>0</v>
      </c>
      <c r="Q367" s="11">
        <f>IF(P367=Sheet1!$M367, 1, 0)</f>
        <v>1</v>
      </c>
    </row>
    <row r="368" spans="1:17" x14ac:dyDescent="0.35">
      <c r="A368" s="6" t="s">
        <v>400</v>
      </c>
      <c r="B368" s="6" t="s">
        <v>402</v>
      </c>
      <c r="C368" s="6">
        <v>-0.30103584631588609</v>
      </c>
      <c r="D368" s="6">
        <v>0.46241097079248072</v>
      </c>
      <c r="E368" s="6">
        <v>-0.33221146311582023</v>
      </c>
      <c r="F368" s="6">
        <v>0.28860164421153744</v>
      </c>
      <c r="G368" s="6">
        <v>0.89520708410454164</v>
      </c>
      <c r="H368" s="6">
        <v>0.85307638129240515</v>
      </c>
      <c r="I368" s="6">
        <v>-0.61815516084892885</v>
      </c>
      <c r="J368" s="6">
        <v>-0.19719613047973569</v>
      </c>
      <c r="K368" s="6">
        <v>-0.13214890025819365</v>
      </c>
      <c r="L368" s="6">
        <v>-0.20789031313872799</v>
      </c>
      <c r="N368" s="8">
        <f>SQRT((C368-Sheet4!$C$525)^2+(D368-Sheet4!$D$525)^2+(E368-Sheet4!$E$525)^2+(F368-Sheet4!$F$525)^2+(G368-Sheet4!$G$525)^2+(H368-Sheet4!$H$525)^2+(I368-Sheet4!$I$525)^2+(J368-Sheet4!$J$525)^2+(K368-Sheet4!$K$525)^2+(L368-Sheet4!$L$525)^2)</f>
        <v>2.0971769132558751</v>
      </c>
      <c r="O368" s="8">
        <f>SQRT((C368-Sheet4!$C$526)^2+(D368-Sheet4!$D$526)^2+(E368-Sheet4!$E$526)^2+(F368-Sheet4!$F$526)^2+(G368-Sheet4!$G$526)^2+(H368-Sheet4!$H$526)^2+(I368-Sheet4!$I$526)^2+(J368-Sheet4!$J$526)^2+(K368-Sheet4!$K$526)^2+(L368-Sheet4!$L$526)^2)</f>
        <v>2.7310630101807658</v>
      </c>
      <c r="P368" s="12">
        <f t="shared" si="5"/>
        <v>0</v>
      </c>
      <c r="Q368" s="11">
        <f>IF(P368=Sheet1!$M368, 1, 0)</f>
        <v>1</v>
      </c>
    </row>
    <row r="369" spans="1:17" x14ac:dyDescent="0.35">
      <c r="A369" s="6" t="s">
        <v>400</v>
      </c>
      <c r="B369" s="6" t="s">
        <v>403</v>
      </c>
      <c r="C369" s="6">
        <v>-0.95594246571176655</v>
      </c>
      <c r="D369" s="6">
        <v>0.22303770562085479</v>
      </c>
      <c r="E369" s="6">
        <v>-0.97579228935283668</v>
      </c>
      <c r="F369" s="6">
        <v>-0.33382641268670005</v>
      </c>
      <c r="G369" s="6">
        <v>0.53226849937425702</v>
      </c>
      <c r="H369" s="6">
        <v>0.32790783927320938</v>
      </c>
      <c r="I369" s="6">
        <v>4.7390498300658994E-2</v>
      </c>
      <c r="J369" s="6">
        <v>7.6110528077453443E-2</v>
      </c>
      <c r="K369" s="6">
        <v>-0.33089134723559105</v>
      </c>
      <c r="L369" s="6">
        <v>-0.37914579869311971</v>
      </c>
      <c r="N369" s="8">
        <f>SQRT((C369-Sheet4!$C$525)^2+(D369-Sheet4!$D$525)^2+(E369-Sheet4!$E$525)^2+(F369-Sheet4!$F$525)^2+(G369-Sheet4!$G$525)^2+(H369-Sheet4!$H$525)^2+(I369-Sheet4!$I$525)^2+(J369-Sheet4!$J$525)^2+(K369-Sheet4!$K$525)^2+(L369-Sheet4!$L$525)^2)</f>
        <v>1.9373497187929698</v>
      </c>
      <c r="O369" s="8">
        <f>SQRT((C369-Sheet4!$C$526)^2+(D369-Sheet4!$D$526)^2+(E369-Sheet4!$E$526)^2+(F369-Sheet4!$F$526)^2+(G369-Sheet4!$G$526)^2+(H369-Sheet4!$H$526)^2+(I369-Sheet4!$I$526)^2+(J369-Sheet4!$J$526)^2+(K369-Sheet4!$K$526)^2+(L369-Sheet4!$L$526)^2)</f>
        <v>3.1456096363537553</v>
      </c>
      <c r="P369" s="12">
        <f t="shared" si="5"/>
        <v>0</v>
      </c>
      <c r="Q369" s="11">
        <f>IF(P369=Sheet1!$M369, 1, 0)</f>
        <v>1</v>
      </c>
    </row>
    <row r="370" spans="1:17" x14ac:dyDescent="0.35">
      <c r="A370" s="6" t="s">
        <v>400</v>
      </c>
      <c r="B370" s="6" t="s">
        <v>404</v>
      </c>
      <c r="C370" s="6">
        <v>-0.73585089689839689</v>
      </c>
      <c r="D370" s="6">
        <v>-0.16364218427177335</v>
      </c>
      <c r="E370" s="6">
        <v>-1.2012481941364967</v>
      </c>
      <c r="F370" s="6">
        <v>-0.5341126686193034</v>
      </c>
      <c r="G370" s="6">
        <v>0.5061369212736796</v>
      </c>
      <c r="H370" s="6">
        <v>6.9363326279143211E-2</v>
      </c>
      <c r="I370" s="6">
        <v>2.0615672932572011E-2</v>
      </c>
      <c r="J370" s="6">
        <v>-0.31107390487856446</v>
      </c>
      <c r="K370" s="6">
        <v>-0.52493909074107903</v>
      </c>
      <c r="L370" s="6">
        <v>-0.11723669163484682</v>
      </c>
      <c r="N370" s="8">
        <f>SQRT((C370-Sheet4!$C$525)^2+(D370-Sheet4!$D$525)^2+(E370-Sheet4!$E$525)^2+(F370-Sheet4!$F$525)^2+(G370-Sheet4!$G$525)^2+(H370-Sheet4!$H$525)^2+(I370-Sheet4!$I$525)^2+(J370-Sheet4!$J$525)^2+(K370-Sheet4!$K$525)^2+(L370-Sheet4!$L$525)^2)</f>
        <v>1.7440690530120551</v>
      </c>
      <c r="O370" s="8">
        <f>SQRT((C370-Sheet4!$C$526)^2+(D370-Sheet4!$D$526)^2+(E370-Sheet4!$E$526)^2+(F370-Sheet4!$F$526)^2+(G370-Sheet4!$G$526)^2+(H370-Sheet4!$H$526)^2+(I370-Sheet4!$I$526)^2+(J370-Sheet4!$J$526)^2+(K370-Sheet4!$K$526)^2+(L370-Sheet4!$L$526)^2)</f>
        <v>3.5878987273226794</v>
      </c>
      <c r="P370" s="12">
        <f t="shared" si="5"/>
        <v>0</v>
      </c>
      <c r="Q370" s="11">
        <f>IF(P370=Sheet1!$M370, 1, 0)</f>
        <v>1</v>
      </c>
    </row>
    <row r="371" spans="1:17" x14ac:dyDescent="0.35">
      <c r="A371" s="6" t="s">
        <v>400</v>
      </c>
      <c r="B371" s="6" t="s">
        <v>405</v>
      </c>
      <c r="C371" s="6">
        <v>-0.74658707098685395</v>
      </c>
      <c r="D371" s="6">
        <v>0.94729527716577633</v>
      </c>
      <c r="E371" s="6">
        <v>0.3448930352377208</v>
      </c>
      <c r="F371" s="6">
        <v>0.97111557788955771</v>
      </c>
      <c r="G371" s="6">
        <v>1.2726632122240409</v>
      </c>
      <c r="H371" s="6">
        <v>2.0347595690685127E-2</v>
      </c>
      <c r="I371" s="6">
        <v>0.86657265539569839</v>
      </c>
      <c r="J371" s="6">
        <v>-4.5359097947963757E-2</v>
      </c>
      <c r="K371" s="6">
        <v>-0.95841671131382355</v>
      </c>
      <c r="L371" s="6">
        <v>2.0918661274960799E-2</v>
      </c>
      <c r="N371" s="8">
        <f>SQRT((C371-Sheet4!$C$525)^2+(D371-Sheet4!$D$525)^2+(E371-Sheet4!$E$525)^2+(F371-Sheet4!$F$525)^2+(G371-Sheet4!$G$525)^2+(H371-Sheet4!$H$525)^2+(I371-Sheet4!$I$525)^2+(J371-Sheet4!$J$525)^2+(K371-Sheet4!$K$525)^2+(L371-Sheet4!$L$525)^2)</f>
        <v>3.2405373412420064</v>
      </c>
      <c r="O371" s="8">
        <f>SQRT((C371-Sheet4!$C$526)^2+(D371-Sheet4!$D$526)^2+(E371-Sheet4!$E$526)^2+(F371-Sheet4!$F$526)^2+(G371-Sheet4!$G$526)^2+(H371-Sheet4!$H$526)^2+(I371-Sheet4!$I$526)^2+(J371-Sheet4!$J$526)^2+(K371-Sheet4!$K$526)^2+(L371-Sheet4!$L$526)^2)</f>
        <v>1.7227909394812542</v>
      </c>
      <c r="P371" s="12">
        <f t="shared" si="5"/>
        <v>1</v>
      </c>
      <c r="Q371" s="11">
        <f>IF(P371=Sheet1!$M371, 1, 0)</f>
        <v>0</v>
      </c>
    </row>
    <row r="372" spans="1:17" x14ac:dyDescent="0.35">
      <c r="A372" s="6" t="s">
        <v>406</v>
      </c>
      <c r="B372" s="6" t="s">
        <v>407</v>
      </c>
      <c r="C372" s="6">
        <v>-0.6298311777748834</v>
      </c>
      <c r="D372" s="6">
        <v>-0.24957104869235763</v>
      </c>
      <c r="E372" s="6">
        <v>-3.8603038095269521E-2</v>
      </c>
      <c r="F372" s="6">
        <v>-0.27219987239974702</v>
      </c>
      <c r="G372" s="6">
        <v>-6.0047270905565199E-2</v>
      </c>
      <c r="H372" s="6">
        <v>-0.18864255231285096</v>
      </c>
      <c r="I372" s="6">
        <v>0.19720202119352656</v>
      </c>
      <c r="J372" s="6">
        <v>-7.9522430267612701E-2</v>
      </c>
      <c r="K372" s="6">
        <v>-1.158724059448522</v>
      </c>
      <c r="L372" s="6">
        <v>-0.33929059919602167</v>
      </c>
      <c r="N372" s="8">
        <f>SQRT((C372-Sheet4!$C$525)^2+(D372-Sheet4!$D$525)^2+(E372-Sheet4!$E$525)^2+(F372-Sheet4!$F$525)^2+(G372-Sheet4!$G$525)^2+(H372-Sheet4!$H$525)^2+(I372-Sheet4!$I$525)^2+(J372-Sheet4!$J$525)^2+(K372-Sheet4!$K$525)^2+(L372-Sheet4!$L$525)^2)</f>
        <v>1.7725674046236557</v>
      </c>
      <c r="O372" s="8">
        <f>SQRT((C372-Sheet4!$C$526)^2+(D372-Sheet4!$D$526)^2+(E372-Sheet4!$E$526)^2+(F372-Sheet4!$F$526)^2+(G372-Sheet4!$G$526)^2+(H372-Sheet4!$H$526)^2+(I372-Sheet4!$I$526)^2+(J372-Sheet4!$J$526)^2+(K372-Sheet4!$K$526)^2+(L372-Sheet4!$L$526)^2)</f>
        <v>3.0523128449847907</v>
      </c>
      <c r="P372" s="12">
        <f t="shared" si="5"/>
        <v>0</v>
      </c>
      <c r="Q372" s="11">
        <f>IF(P372=Sheet1!$M372, 1, 0)</f>
        <v>1</v>
      </c>
    </row>
    <row r="373" spans="1:17" x14ac:dyDescent="0.35">
      <c r="A373" s="6" t="s">
        <v>406</v>
      </c>
      <c r="B373" s="6" t="s">
        <v>408</v>
      </c>
      <c r="C373" s="6">
        <v>-0.6177529819253692</v>
      </c>
      <c r="D373" s="6">
        <v>0.79385087641473362</v>
      </c>
      <c r="E373" s="6">
        <v>0.79433127679991888</v>
      </c>
      <c r="F373" s="6">
        <v>0.89408240253086479</v>
      </c>
      <c r="G373" s="6">
        <v>0.43645271300546234</v>
      </c>
      <c r="H373" s="6">
        <v>0.59884094351490658</v>
      </c>
      <c r="I373" s="6">
        <v>0.1831771126673859</v>
      </c>
      <c r="J373" s="6">
        <v>0.41015199964735133</v>
      </c>
      <c r="K373" s="6">
        <v>-1.57342286613364</v>
      </c>
      <c r="L373" s="6">
        <v>-0.20619771218976055</v>
      </c>
      <c r="N373" s="8">
        <f>SQRT((C373-Sheet4!$C$525)^2+(D373-Sheet4!$D$525)^2+(E373-Sheet4!$E$525)^2+(F373-Sheet4!$F$525)^2+(G373-Sheet4!$G$525)^2+(H373-Sheet4!$H$525)^2+(I373-Sheet4!$I$525)^2+(J373-Sheet4!$J$525)^2+(K373-Sheet4!$K$525)^2+(L373-Sheet4!$L$525)^2)</f>
        <v>3.2294659427998855</v>
      </c>
      <c r="O373" s="8">
        <f>SQRT((C373-Sheet4!$C$526)^2+(D373-Sheet4!$D$526)^2+(E373-Sheet4!$E$526)^2+(F373-Sheet4!$F$526)^2+(G373-Sheet4!$G$526)^2+(H373-Sheet4!$H$526)^2+(I373-Sheet4!$I$526)^2+(J373-Sheet4!$J$526)^2+(K373-Sheet4!$K$526)^2+(L373-Sheet4!$L$526)^2)</f>
        <v>1.6727373734988911</v>
      </c>
      <c r="P373" s="12">
        <f t="shared" si="5"/>
        <v>1</v>
      </c>
      <c r="Q373" s="11">
        <f>IF(P373=Sheet1!$M373, 1, 0)</f>
        <v>0</v>
      </c>
    </row>
    <row r="374" spans="1:17" x14ac:dyDescent="0.35">
      <c r="A374" s="6" t="s">
        <v>406</v>
      </c>
      <c r="B374" s="6" t="s">
        <v>409</v>
      </c>
      <c r="C374" s="6">
        <v>-0.16817569197122997</v>
      </c>
      <c r="D374" s="6">
        <v>-5.9299991761064347E-2</v>
      </c>
      <c r="E374" s="6">
        <v>0.44178013157448975</v>
      </c>
      <c r="F374" s="6">
        <v>0.17613320818784517</v>
      </c>
      <c r="G374" s="6">
        <v>0.15190886257692218</v>
      </c>
      <c r="H374" s="6">
        <v>0.40547119317142893</v>
      </c>
      <c r="I374" s="6">
        <v>0.53379982582090446</v>
      </c>
      <c r="J374" s="6">
        <v>-0.12886946584043849</v>
      </c>
      <c r="K374" s="6">
        <v>-0.91772928122396336</v>
      </c>
      <c r="L374" s="6">
        <v>-0.39197538165550377</v>
      </c>
      <c r="N374" s="8">
        <f>SQRT((C374-Sheet4!$C$525)^2+(D374-Sheet4!$D$525)^2+(E374-Sheet4!$E$525)^2+(F374-Sheet4!$F$525)^2+(G374-Sheet4!$G$525)^2+(H374-Sheet4!$H$525)^2+(I374-Sheet4!$I$525)^2+(J374-Sheet4!$J$525)^2+(K374-Sheet4!$K$525)^2+(L374-Sheet4!$L$525)^2)</f>
        <v>1.9754580268682413</v>
      </c>
      <c r="O374" s="8">
        <f>SQRT((C374-Sheet4!$C$526)^2+(D374-Sheet4!$D$526)^2+(E374-Sheet4!$E$526)^2+(F374-Sheet4!$F$526)^2+(G374-Sheet4!$G$526)^2+(H374-Sheet4!$H$526)^2+(I374-Sheet4!$I$526)^2+(J374-Sheet4!$J$526)^2+(K374-Sheet4!$K$526)^2+(L374-Sheet4!$L$526)^2)</f>
        <v>2.4374957137087967</v>
      </c>
      <c r="P374" s="12">
        <f t="shared" si="5"/>
        <v>0</v>
      </c>
      <c r="Q374" s="11">
        <f>IF(P374=Sheet1!$M374, 1, 0)</f>
        <v>1</v>
      </c>
    </row>
    <row r="375" spans="1:17" x14ac:dyDescent="0.35">
      <c r="A375" s="6" t="s">
        <v>406</v>
      </c>
      <c r="B375" s="6" t="s">
        <v>410</v>
      </c>
      <c r="C375" s="6">
        <v>-0.43926408770477066</v>
      </c>
      <c r="D375" s="6">
        <v>0.787713100384692</v>
      </c>
      <c r="E375" s="6">
        <v>-0.65087054422344426</v>
      </c>
      <c r="F375" s="6">
        <v>-1.4909066701712445E-2</v>
      </c>
      <c r="G375" s="6">
        <v>0.16932991464397237</v>
      </c>
      <c r="H375" s="6">
        <v>0.51858441760633234</v>
      </c>
      <c r="I375" s="6">
        <v>-3.357147364569868E-2</v>
      </c>
      <c r="J375" s="6">
        <v>-1.0474835126576578</v>
      </c>
      <c r="K375" s="6">
        <v>1.5219516230103671</v>
      </c>
      <c r="L375" s="6">
        <v>-0.42413709813788703</v>
      </c>
      <c r="N375" s="8">
        <f>SQRT((C375-Sheet4!$C$525)^2+(D375-Sheet4!$D$525)^2+(E375-Sheet4!$E$525)^2+(F375-Sheet4!$F$525)^2+(G375-Sheet4!$G$525)^2+(H375-Sheet4!$H$525)^2+(I375-Sheet4!$I$525)^2+(J375-Sheet4!$J$525)^2+(K375-Sheet4!$K$525)^2+(L375-Sheet4!$L$525)^2)</f>
        <v>2.2525060204972043</v>
      </c>
      <c r="O375" s="8">
        <f>SQRT((C375-Sheet4!$C$526)^2+(D375-Sheet4!$D$526)^2+(E375-Sheet4!$E$526)^2+(F375-Sheet4!$F$526)^2+(G375-Sheet4!$G$526)^2+(H375-Sheet4!$H$526)^2+(I375-Sheet4!$I$526)^2+(J375-Sheet4!$J$526)^2+(K375-Sheet4!$K$526)^2+(L375-Sheet4!$L$526)^2)</f>
        <v>3.9351005651276165</v>
      </c>
      <c r="P375" s="12">
        <f t="shared" si="5"/>
        <v>0</v>
      </c>
      <c r="Q375" s="11">
        <f>IF(P375=Sheet1!$M375, 1, 0)</f>
        <v>1</v>
      </c>
    </row>
    <row r="376" spans="1:17" x14ac:dyDescent="0.35">
      <c r="A376" s="6" t="s">
        <v>406</v>
      </c>
      <c r="B376" s="6" t="s">
        <v>411</v>
      </c>
      <c r="C376" s="6">
        <v>-0.38960928254565685</v>
      </c>
      <c r="D376" s="6">
        <v>0.40103321049206386</v>
      </c>
      <c r="E376" s="6">
        <v>0.45283189161290444</v>
      </c>
      <c r="F376" s="6">
        <v>0.36871614658457746</v>
      </c>
      <c r="G376" s="6">
        <v>0.10254921505360297</v>
      </c>
      <c r="H376" s="6">
        <v>0.56329107297822278</v>
      </c>
      <c r="I376" s="6">
        <v>0.35976346092833955</v>
      </c>
      <c r="J376" s="6">
        <v>-6.0542801201140951E-2</v>
      </c>
      <c r="K376" s="6">
        <v>-1.0053637460328941</v>
      </c>
      <c r="L376" s="6">
        <v>-0.32580999015170464</v>
      </c>
      <c r="N376" s="8">
        <f>SQRT((C376-Sheet4!$C$525)^2+(D376-Sheet4!$D$525)^2+(E376-Sheet4!$E$525)^2+(F376-Sheet4!$F$525)^2+(G376-Sheet4!$G$525)^2+(H376-Sheet4!$H$525)^2+(I376-Sheet4!$I$525)^2+(J376-Sheet4!$J$525)^2+(K376-Sheet4!$K$525)^2+(L376-Sheet4!$L$525)^2)</f>
        <v>2.2524664632610634</v>
      </c>
      <c r="O376" s="8">
        <f>SQRT((C376-Sheet4!$C$526)^2+(D376-Sheet4!$D$526)^2+(E376-Sheet4!$E$526)^2+(F376-Sheet4!$F$526)^2+(G376-Sheet4!$G$526)^2+(H376-Sheet4!$H$526)^2+(I376-Sheet4!$I$526)^2+(J376-Sheet4!$J$526)^2+(K376-Sheet4!$K$526)^2+(L376-Sheet4!$L$526)^2)</f>
        <v>2.1290036840888207</v>
      </c>
      <c r="P376" s="12">
        <f t="shared" si="5"/>
        <v>1</v>
      </c>
      <c r="Q376" s="11">
        <f>IF(P376=Sheet1!$M376, 1, 0)</f>
        <v>0</v>
      </c>
    </row>
    <row r="377" spans="1:17" x14ac:dyDescent="0.35">
      <c r="A377" s="6" t="s">
        <v>406</v>
      </c>
      <c r="B377" s="6" t="s">
        <v>412</v>
      </c>
      <c r="C377" s="6">
        <v>-0.69290620054456864</v>
      </c>
      <c r="D377" s="6">
        <v>0.95957082922585946</v>
      </c>
      <c r="E377" s="6">
        <v>0.42593927551942867</v>
      </c>
      <c r="F377" s="6">
        <v>0.64449491436869899</v>
      </c>
      <c r="G377" s="6">
        <v>0.5061369212736796</v>
      </c>
      <c r="H377" s="6">
        <v>0.72972910321815265</v>
      </c>
      <c r="I377" s="6">
        <v>0.19528953366723459</v>
      </c>
      <c r="J377" s="6">
        <v>1.1617453106796216</v>
      </c>
      <c r="K377" s="6">
        <v>-1.1696783675496383</v>
      </c>
      <c r="L377" s="6">
        <v>-0.25240679419000928</v>
      </c>
      <c r="N377" s="8">
        <f>SQRT((C377-Sheet4!$C$525)^2+(D377-Sheet4!$D$525)^2+(E377-Sheet4!$E$525)^2+(F377-Sheet4!$F$525)^2+(G377-Sheet4!$G$525)^2+(H377-Sheet4!$H$525)^2+(I377-Sheet4!$I$525)^2+(J377-Sheet4!$J$525)^2+(K377-Sheet4!$K$525)^2+(L377-Sheet4!$L$525)^2)</f>
        <v>3.238070656284127</v>
      </c>
      <c r="O377" s="8">
        <f>SQRT((C377-Sheet4!$C$526)^2+(D377-Sheet4!$D$526)^2+(E377-Sheet4!$E$526)^2+(F377-Sheet4!$F$526)^2+(G377-Sheet4!$G$526)^2+(H377-Sheet4!$H$526)^2+(I377-Sheet4!$I$526)^2+(J377-Sheet4!$J$526)^2+(K377-Sheet4!$K$526)^2+(L377-Sheet4!$L$526)^2)</f>
        <v>1.4985904415634856</v>
      </c>
      <c r="P377" s="12">
        <f t="shared" si="5"/>
        <v>1</v>
      </c>
      <c r="Q377" s="11">
        <f>IF(P377=Sheet1!$M377, 1, 0)</f>
        <v>0</v>
      </c>
    </row>
    <row r="378" spans="1:17" x14ac:dyDescent="0.35">
      <c r="A378" s="6" t="s">
        <v>406</v>
      </c>
      <c r="B378" s="6" t="s">
        <v>413</v>
      </c>
      <c r="C378" s="6">
        <v>-0.56944019852731254</v>
      </c>
      <c r="D378" s="6">
        <v>-1.6335559550772212E-2</v>
      </c>
      <c r="E378" s="6">
        <v>-0.43536122347435752</v>
      </c>
      <c r="F378" s="6">
        <v>-0.3908309624521335</v>
      </c>
      <c r="G378" s="6">
        <v>-0.55945076349443645</v>
      </c>
      <c r="H378" s="6">
        <v>-0.20210841236462521</v>
      </c>
      <c r="I378" s="6">
        <v>-0.35168189885225432</v>
      </c>
      <c r="J378" s="6">
        <v>6.4722750637570811E-2</v>
      </c>
      <c r="K378" s="6">
        <v>-0.78784248516786914</v>
      </c>
      <c r="L378" s="6">
        <v>-0.42238264793505942</v>
      </c>
      <c r="N378" s="8">
        <f>SQRT((C378-Sheet4!$C$525)^2+(D378-Sheet4!$D$525)^2+(E378-Sheet4!$E$525)^2+(F378-Sheet4!$F$525)^2+(G378-Sheet4!$G$525)^2+(H378-Sheet4!$H$525)^2+(I378-Sheet4!$I$525)^2+(J378-Sheet4!$J$525)^2+(K378-Sheet4!$K$525)^2+(L378-Sheet4!$L$525)^2)</f>
        <v>1.4376873911013146</v>
      </c>
      <c r="O378" s="8">
        <f>SQRT((C378-Sheet4!$C$526)^2+(D378-Sheet4!$D$526)^2+(E378-Sheet4!$E$526)^2+(F378-Sheet4!$F$526)^2+(G378-Sheet4!$G$526)^2+(H378-Sheet4!$H$526)^2+(I378-Sheet4!$I$526)^2+(J378-Sheet4!$J$526)^2+(K378-Sheet4!$K$526)^2+(L378-Sheet4!$L$526)^2)</f>
        <v>3.4375439636122165</v>
      </c>
      <c r="P378" s="12">
        <f t="shared" si="5"/>
        <v>0</v>
      </c>
      <c r="Q378" s="11">
        <f>IF(P378=Sheet1!$M378, 1, 0)</f>
        <v>1</v>
      </c>
    </row>
    <row r="379" spans="1:17" x14ac:dyDescent="0.35">
      <c r="A379" s="6" t="s">
        <v>406</v>
      </c>
      <c r="B379" s="6" t="s">
        <v>414</v>
      </c>
      <c r="C379" s="6">
        <v>-0.44731621827111351</v>
      </c>
      <c r="D379" s="6">
        <v>0.36420655431181326</v>
      </c>
      <c r="E379" s="6">
        <v>-0.80301644075228673</v>
      </c>
      <c r="F379" s="6">
        <v>-0.28914717097865938</v>
      </c>
      <c r="G379" s="6">
        <v>0.35225096134803863</v>
      </c>
      <c r="H379" s="6">
        <v>0.90155347747879189</v>
      </c>
      <c r="I379" s="6">
        <v>0.73779849529204189</v>
      </c>
      <c r="J379" s="6">
        <v>-0.63372759900857956</v>
      </c>
      <c r="K379" s="6">
        <v>-0.99753924024638174</v>
      </c>
      <c r="L379" s="6">
        <v>-0.42379686455660148</v>
      </c>
      <c r="N379" s="8">
        <f>SQRT((C379-Sheet4!$C$525)^2+(D379-Sheet4!$D$525)^2+(E379-Sheet4!$E$525)^2+(F379-Sheet4!$F$525)^2+(G379-Sheet4!$G$525)^2+(H379-Sheet4!$H$525)^2+(I379-Sheet4!$I$525)^2+(J379-Sheet4!$J$525)^2+(K379-Sheet4!$K$525)^2+(L379-Sheet4!$L$525)^2)</f>
        <v>2.3366961538980711</v>
      </c>
      <c r="O379" s="8">
        <f>SQRT((C379-Sheet4!$C$526)^2+(D379-Sheet4!$D$526)^2+(E379-Sheet4!$E$526)^2+(F379-Sheet4!$F$526)^2+(G379-Sheet4!$G$526)^2+(H379-Sheet4!$H$526)^2+(I379-Sheet4!$I$526)^2+(J379-Sheet4!$J$526)^2+(K379-Sheet4!$K$526)^2+(L379-Sheet4!$L$526)^2)</f>
        <v>3.2543835497796767</v>
      </c>
      <c r="P379" s="12">
        <f t="shared" si="5"/>
        <v>0</v>
      </c>
      <c r="Q379" s="11">
        <f>IF(P379=Sheet1!$M379, 1, 0)</f>
        <v>1</v>
      </c>
    </row>
    <row r="380" spans="1:17" x14ac:dyDescent="0.35">
      <c r="A380" s="6" t="s">
        <v>406</v>
      </c>
      <c r="B380" s="6" t="s">
        <v>415</v>
      </c>
      <c r="C380" s="6">
        <v>2.6417463382054338E-2</v>
      </c>
      <c r="D380" s="6">
        <v>0.41330876255214699</v>
      </c>
      <c r="E380" s="6">
        <v>5.6810490236377451E-2</v>
      </c>
      <c r="F380" s="6">
        <v>0.17459254468067273</v>
      </c>
      <c r="G380" s="6">
        <v>0.16061938861044522</v>
      </c>
      <c r="H380" s="6">
        <v>0.57675693302999698</v>
      </c>
      <c r="I380" s="6">
        <v>0.50001254618974711</v>
      </c>
      <c r="J380" s="6">
        <v>-0.63372759900857956</v>
      </c>
      <c r="K380" s="6">
        <v>-0.71898683424656706</v>
      </c>
      <c r="L380" s="6">
        <v>-0.38017627830549217</v>
      </c>
      <c r="N380" s="8">
        <f>SQRT((C380-Sheet4!$C$525)^2+(D380-Sheet4!$D$525)^2+(E380-Sheet4!$E$525)^2+(F380-Sheet4!$F$525)^2+(G380-Sheet4!$G$525)^2+(H380-Sheet4!$H$525)^2+(I380-Sheet4!$I$525)^2+(J380-Sheet4!$J$525)^2+(K380-Sheet4!$K$525)^2+(L380-Sheet4!$L$525)^2)</f>
        <v>1.8966852194012194</v>
      </c>
      <c r="O380" s="8">
        <f>SQRT((C380-Sheet4!$C$526)^2+(D380-Sheet4!$D$526)^2+(E380-Sheet4!$E$526)^2+(F380-Sheet4!$F$526)^2+(G380-Sheet4!$G$526)^2+(H380-Sheet4!$H$526)^2+(I380-Sheet4!$I$526)^2+(J380-Sheet4!$J$526)^2+(K380-Sheet4!$K$526)^2+(L380-Sheet4!$L$526)^2)</f>
        <v>2.700954417389219</v>
      </c>
      <c r="P380" s="12">
        <f t="shared" si="5"/>
        <v>0</v>
      </c>
      <c r="Q380" s="11">
        <f>IF(P380=Sheet1!$M380, 1, 0)</f>
        <v>1</v>
      </c>
    </row>
    <row r="381" spans="1:17" x14ac:dyDescent="0.35">
      <c r="A381" s="6" t="s">
        <v>406</v>
      </c>
      <c r="B381" s="6" t="s">
        <v>416</v>
      </c>
      <c r="C381" s="6">
        <v>7.7414290302225228E-2</v>
      </c>
      <c r="D381" s="6">
        <v>-0.17591773633185653</v>
      </c>
      <c r="E381" s="6">
        <v>-0.51051319173557752</v>
      </c>
      <c r="F381" s="6">
        <v>-0.69434167336538344</v>
      </c>
      <c r="G381" s="6">
        <v>-1.5001875751153368</v>
      </c>
      <c r="H381" s="6">
        <v>-0.37824186184183217</v>
      </c>
      <c r="I381" s="6">
        <v>6.1415406826799662E-2</v>
      </c>
      <c r="J381" s="6">
        <v>-0.17442057559997007</v>
      </c>
      <c r="K381" s="6">
        <v>-1.6297593077965238</v>
      </c>
      <c r="L381" s="6">
        <v>-0.42995920242794938</v>
      </c>
      <c r="N381" s="8">
        <f>SQRT((C381-Sheet4!$C$525)^2+(D381-Sheet4!$D$525)^2+(E381-Sheet4!$E$525)^2+(F381-Sheet4!$F$525)^2+(G381-Sheet4!$G$525)^2+(H381-Sheet4!$H$525)^2+(I381-Sheet4!$I$525)^2+(J381-Sheet4!$J$525)^2+(K381-Sheet4!$K$525)^2+(L381-Sheet4!$L$525)^2)</f>
        <v>2.2675243715723274</v>
      </c>
      <c r="O381" s="8">
        <f>SQRT((C381-Sheet4!$C$526)^2+(D381-Sheet4!$D$526)^2+(E381-Sheet4!$E$526)^2+(F381-Sheet4!$F$526)^2+(G381-Sheet4!$G$526)^2+(H381-Sheet4!$H$526)^2+(I381-Sheet4!$I$526)^2+(J381-Sheet4!$J$526)^2+(K381-Sheet4!$K$526)^2+(L381-Sheet4!$L$526)^2)</f>
        <v>4.3323913613758638</v>
      </c>
      <c r="P381" s="12">
        <f t="shared" si="5"/>
        <v>0</v>
      </c>
      <c r="Q381" s="11">
        <f>IF(P381=Sheet1!$M381, 1, 0)</f>
        <v>1</v>
      </c>
    </row>
    <row r="382" spans="1:17" x14ac:dyDescent="0.35">
      <c r="A382" s="6" t="s">
        <v>406</v>
      </c>
      <c r="B382" s="6" t="s">
        <v>417</v>
      </c>
      <c r="C382" s="6">
        <v>-0.82845039841133905</v>
      </c>
      <c r="D382" s="6">
        <v>-0.31094880899277449</v>
      </c>
      <c r="E382" s="6">
        <v>-0.4456761995102112</v>
      </c>
      <c r="F382" s="6">
        <v>-0.52024669705473814</v>
      </c>
      <c r="G382" s="6">
        <v>-0.49847708125975049</v>
      </c>
      <c r="H382" s="6">
        <v>-0.76875180334328574</v>
      </c>
      <c r="I382" s="6">
        <v>0.41267561582241585</v>
      </c>
      <c r="J382" s="6">
        <v>0.35321311244793713</v>
      </c>
      <c r="K382" s="6">
        <v>-0.68768881110052227</v>
      </c>
      <c r="L382" s="6">
        <v>-0.41842855827172004</v>
      </c>
      <c r="N382" s="8">
        <f>SQRT((C382-Sheet4!$C$525)^2+(D382-Sheet4!$D$525)^2+(E382-Sheet4!$E$525)^2+(F382-Sheet4!$F$525)^2+(G382-Sheet4!$G$525)^2+(H382-Sheet4!$H$525)^2+(I382-Sheet4!$I$525)^2+(J382-Sheet4!$J$525)^2+(K382-Sheet4!$K$525)^2+(L382-Sheet4!$L$525)^2)</f>
        <v>1.8103382810608921</v>
      </c>
      <c r="O382" s="8">
        <f>SQRT((C382-Sheet4!$C$526)^2+(D382-Sheet4!$D$526)^2+(E382-Sheet4!$E$526)^2+(F382-Sheet4!$F$526)^2+(G382-Sheet4!$G$526)^2+(H382-Sheet4!$H$526)^2+(I382-Sheet4!$I$526)^2+(J382-Sheet4!$J$526)^2+(K382-Sheet4!$K$526)^2+(L382-Sheet4!$L$526)^2)</f>
        <v>3.5442257674057891</v>
      </c>
      <c r="P382" s="12">
        <f t="shared" si="5"/>
        <v>0</v>
      </c>
      <c r="Q382" s="11">
        <f>IF(P382=Sheet1!$M382, 1, 0)</f>
        <v>1</v>
      </c>
    </row>
    <row r="383" spans="1:17" x14ac:dyDescent="0.35">
      <c r="A383" s="6" t="s">
        <v>406</v>
      </c>
      <c r="B383" s="6" t="s">
        <v>418</v>
      </c>
      <c r="C383" s="6">
        <v>-0.81637220256182474</v>
      </c>
      <c r="D383" s="6">
        <v>1.8311350254917822</v>
      </c>
      <c r="E383" s="6">
        <v>1.3506031987334592</v>
      </c>
      <c r="F383" s="6">
        <v>1.4286926395201933</v>
      </c>
      <c r="G383" s="6">
        <v>0.65131235516579344</v>
      </c>
      <c r="H383" s="6">
        <v>0.56867741699893293</v>
      </c>
      <c r="I383" s="6">
        <v>0.68552383624006319</v>
      </c>
      <c r="J383" s="6">
        <v>2.6990952650638111</v>
      </c>
      <c r="K383" s="6">
        <v>-1.6250646043246166</v>
      </c>
      <c r="L383" s="6">
        <v>8.5511598184419474E-2</v>
      </c>
      <c r="N383" s="8">
        <f>SQRT((C383-Sheet4!$C$525)^2+(D383-Sheet4!$D$525)^2+(E383-Sheet4!$E$525)^2+(F383-Sheet4!$F$525)^2+(G383-Sheet4!$G$525)^2+(H383-Sheet4!$H$525)^2+(I383-Sheet4!$I$525)^2+(J383-Sheet4!$J$525)^2+(K383-Sheet4!$K$525)^2+(L383-Sheet4!$L$525)^2)</f>
        <v>5.2685249713417202</v>
      </c>
      <c r="O383" s="8">
        <f>SQRT((C383-Sheet4!$C$526)^2+(D383-Sheet4!$D$526)^2+(E383-Sheet4!$E$526)^2+(F383-Sheet4!$F$526)^2+(G383-Sheet4!$G$526)^2+(H383-Sheet4!$H$526)^2+(I383-Sheet4!$I$526)^2+(J383-Sheet4!$J$526)^2+(K383-Sheet4!$K$526)^2+(L383-Sheet4!$L$526)^2)</f>
        <v>2.2349611691232849</v>
      </c>
      <c r="P383" s="12">
        <f t="shared" si="5"/>
        <v>1</v>
      </c>
      <c r="Q383" s="11">
        <f>IF(P383=Sheet1!$M383, 1, 0)</f>
        <v>0</v>
      </c>
    </row>
    <row r="384" spans="1:17" x14ac:dyDescent="0.35">
      <c r="A384" s="6" t="s">
        <v>406</v>
      </c>
      <c r="B384" s="6" t="s">
        <v>419</v>
      </c>
      <c r="C384" s="6">
        <v>-0.78416368029645367</v>
      </c>
      <c r="D384" s="6">
        <v>0.89205529289540098</v>
      </c>
      <c r="E384" s="6">
        <v>0.71696895653101589</v>
      </c>
      <c r="F384" s="6">
        <v>0.65836088593326425</v>
      </c>
      <c r="G384" s="6">
        <v>0.41903166093840805</v>
      </c>
      <c r="H384" s="6">
        <v>0.65432028692821653</v>
      </c>
      <c r="I384" s="6">
        <v>0.73588600776575075</v>
      </c>
      <c r="J384" s="6">
        <v>1.8601956603257723</v>
      </c>
      <c r="K384" s="6">
        <v>-1.1336856409316851</v>
      </c>
      <c r="L384" s="6">
        <v>-0.21141728773512281</v>
      </c>
      <c r="N384" s="8">
        <f>SQRT((C384-Sheet4!$C$525)^2+(D384-Sheet4!$D$525)^2+(E384-Sheet4!$E$525)^2+(F384-Sheet4!$F$525)^2+(G384-Sheet4!$G$525)^2+(H384-Sheet4!$H$525)^2+(I384-Sheet4!$I$525)^2+(J384-Sheet4!$J$525)^2+(K384-Sheet4!$K$525)^2+(L384-Sheet4!$L$525)^2)</f>
        <v>3.75843879609126</v>
      </c>
      <c r="O384" s="8">
        <f>SQRT((C384-Sheet4!$C$526)^2+(D384-Sheet4!$D$526)^2+(E384-Sheet4!$E$526)^2+(F384-Sheet4!$F$526)^2+(G384-Sheet4!$G$526)^2+(H384-Sheet4!$H$526)^2+(I384-Sheet4!$I$526)^2+(J384-Sheet4!$J$526)^2+(K384-Sheet4!$K$526)^2+(L384-Sheet4!$L$526)^2)</f>
        <v>1.5114131798444779</v>
      </c>
      <c r="P384" s="12">
        <f t="shared" si="5"/>
        <v>1</v>
      </c>
      <c r="Q384" s="11">
        <f>IF(P384=Sheet1!$M384, 1, 0)</f>
        <v>0</v>
      </c>
    </row>
    <row r="385" spans="1:17" x14ac:dyDescent="0.35">
      <c r="A385" s="6" t="s">
        <v>406</v>
      </c>
      <c r="B385" s="6" t="s">
        <v>420</v>
      </c>
      <c r="C385" s="6">
        <v>-0.88347329061468138</v>
      </c>
      <c r="D385" s="6">
        <v>1.4137662554489461</v>
      </c>
      <c r="E385" s="6">
        <v>0.56224431599321001</v>
      </c>
      <c r="F385" s="6">
        <v>1.0681773788415101</v>
      </c>
      <c r="G385" s="6">
        <v>0.69776849401126895</v>
      </c>
      <c r="H385" s="6">
        <v>1.0351348091923926</v>
      </c>
      <c r="I385" s="6">
        <v>0.71421114913444217</v>
      </c>
      <c r="J385" s="6">
        <v>1.4350519692368111</v>
      </c>
      <c r="K385" s="6">
        <v>-1.8097229408862914</v>
      </c>
      <c r="L385" s="6">
        <v>-0.39175859584172018</v>
      </c>
      <c r="N385" s="8">
        <f>SQRT((C385-Sheet4!$C$525)^2+(D385-Sheet4!$D$525)^2+(E385-Sheet4!$E$525)^2+(F385-Sheet4!$F$525)^2+(G385-Sheet4!$G$525)^2+(H385-Sheet4!$H$525)^2+(I385-Sheet4!$I$525)^2+(J385-Sheet4!$J$525)^2+(K385-Sheet4!$K$525)^2+(L385-Sheet4!$L$525)^2)</f>
        <v>4.2992199270120812</v>
      </c>
      <c r="O385" s="8">
        <f>SQRT((C385-Sheet4!$C$526)^2+(D385-Sheet4!$D$526)^2+(E385-Sheet4!$E$526)^2+(F385-Sheet4!$F$526)^2+(G385-Sheet4!$G$526)^2+(H385-Sheet4!$H$526)^2+(I385-Sheet4!$I$526)^2+(J385-Sheet4!$J$526)^2+(K385-Sheet4!$K$526)^2+(L385-Sheet4!$L$526)^2)</f>
        <v>1.8433501952648614</v>
      </c>
      <c r="P385" s="12">
        <f t="shared" si="5"/>
        <v>1</v>
      </c>
      <c r="Q385" s="11">
        <f>IF(P385=Sheet1!$M385, 1, 0)</f>
        <v>0</v>
      </c>
    </row>
    <row r="386" spans="1:17" x14ac:dyDescent="0.35">
      <c r="A386" s="6" t="s">
        <v>406</v>
      </c>
      <c r="B386" s="6" t="s">
        <v>421</v>
      </c>
      <c r="C386" s="6">
        <v>-0.87676318180939572</v>
      </c>
      <c r="D386" s="6">
        <v>1.1498418861571527</v>
      </c>
      <c r="E386" s="6">
        <v>0.19274713870887836</v>
      </c>
      <c r="F386" s="6">
        <v>0.54589244990957198</v>
      </c>
      <c r="G386" s="6">
        <v>0.2738562270462942</v>
      </c>
      <c r="H386" s="6">
        <v>-0.30337167995396808</v>
      </c>
      <c r="I386" s="6">
        <v>0.82386043397517872</v>
      </c>
      <c r="J386" s="6">
        <v>0.85807124561607839</v>
      </c>
      <c r="K386" s="6">
        <v>-0.73463584581959163</v>
      </c>
      <c r="L386" s="6">
        <v>-0.40674573569796918</v>
      </c>
      <c r="N386" s="8">
        <f>SQRT((C386-Sheet4!$C$525)^2+(D386-Sheet4!$D$525)^2+(E386-Sheet4!$E$525)^2+(F386-Sheet4!$F$525)^2+(G386-Sheet4!$G$525)^2+(H386-Sheet4!$H$525)^2+(I386-Sheet4!$I$525)^2+(J386-Sheet4!$J$525)^2+(K386-Sheet4!$K$525)^2+(L386-Sheet4!$L$525)^2)</f>
        <v>2.9575634349880131</v>
      </c>
      <c r="O386" s="8">
        <f>SQRT((C386-Sheet4!$C$526)^2+(D386-Sheet4!$D$526)^2+(E386-Sheet4!$E$526)^2+(F386-Sheet4!$F$526)^2+(G386-Sheet4!$G$526)^2+(H386-Sheet4!$H$526)^2+(I386-Sheet4!$I$526)^2+(J386-Sheet4!$J$526)^2+(K386-Sheet4!$K$526)^2+(L386-Sheet4!$L$526)^2)</f>
        <v>1.924011998713387</v>
      </c>
      <c r="P386" s="12">
        <f t="shared" si="5"/>
        <v>1</v>
      </c>
      <c r="Q386" s="11">
        <f>IF(P386=Sheet1!$M386, 1, 0)</f>
        <v>0</v>
      </c>
    </row>
    <row r="387" spans="1:17" x14ac:dyDescent="0.35">
      <c r="A387" s="6" t="s">
        <v>422</v>
      </c>
      <c r="B387" s="6" t="s">
        <v>423</v>
      </c>
      <c r="C387" s="6">
        <v>0.19417018351419588</v>
      </c>
      <c r="D387" s="6">
        <v>2.0777685393525243E-3</v>
      </c>
      <c r="E387" s="6">
        <v>-1.057943705638386</v>
      </c>
      <c r="F387" s="6">
        <v>-0.66506906672908039</v>
      </c>
      <c r="G387" s="6">
        <v>-0.8904507527684562</v>
      </c>
      <c r="H387" s="6">
        <v>-9.9767875971141382E-2</v>
      </c>
      <c r="I387" s="6">
        <v>0.74927342044979384</v>
      </c>
      <c r="J387" s="6">
        <v>-0.80074833479352847</v>
      </c>
      <c r="K387" s="6">
        <v>0.39365788859538886</v>
      </c>
      <c r="L387" s="6">
        <v>-0.4017869717697295</v>
      </c>
      <c r="N387" s="8">
        <f>SQRT((C387-Sheet4!$C$525)^2+(D387-Sheet4!$D$525)^2+(E387-Sheet4!$E$525)^2+(F387-Sheet4!$F$525)^2+(G387-Sheet4!$G$525)^2+(H387-Sheet4!$H$525)^2+(I387-Sheet4!$I$525)^2+(J387-Sheet4!$J$525)^2+(K387-Sheet4!$K$525)^2+(L387-Sheet4!$L$525)^2)</f>
        <v>1.4975021675144806</v>
      </c>
      <c r="O387" s="8">
        <f>SQRT((C387-Sheet4!$C$526)^2+(D387-Sheet4!$D$526)^2+(E387-Sheet4!$E$526)^2+(F387-Sheet4!$F$526)^2+(G387-Sheet4!$G$526)^2+(H387-Sheet4!$H$526)^2+(I387-Sheet4!$I$526)^2+(J387-Sheet4!$J$526)^2+(K387-Sheet4!$K$526)^2+(L387-Sheet4!$L$526)^2)</f>
        <v>4.3344480658178846</v>
      </c>
      <c r="P387" s="12">
        <f t="shared" ref="P387:P450" si="6">IF(N387&lt;=O387, 0, 1)</f>
        <v>0</v>
      </c>
      <c r="Q387" s="11">
        <f>IF(P387=Sheet1!$M387, 1, 0)</f>
        <v>1</v>
      </c>
    </row>
    <row r="388" spans="1:17" x14ac:dyDescent="0.35">
      <c r="A388" s="6" t="s">
        <v>422</v>
      </c>
      <c r="B388" s="6" t="s">
        <v>424</v>
      </c>
      <c r="C388" s="6">
        <v>-0.59628063374845508</v>
      </c>
      <c r="D388" s="6">
        <v>5.7317752809727819E-2</v>
      </c>
      <c r="E388" s="6">
        <v>-0.26590090288533197</v>
      </c>
      <c r="F388" s="6">
        <v>0.10372202335067403</v>
      </c>
      <c r="G388" s="6">
        <v>0.35515447002587824</v>
      </c>
      <c r="H388" s="6">
        <v>0.28320118390131821</v>
      </c>
      <c r="I388" s="6">
        <v>0.64026163145115478</v>
      </c>
      <c r="J388" s="6">
        <v>-0.5654009343692824</v>
      </c>
      <c r="K388" s="6">
        <v>0.36548966776394587</v>
      </c>
      <c r="L388" s="6">
        <v>-6.47712023913318E-2</v>
      </c>
      <c r="N388" s="8">
        <f>SQRT((C388-Sheet4!$C$525)^2+(D388-Sheet4!$D$525)^2+(E388-Sheet4!$E$525)^2+(F388-Sheet4!$F$525)^2+(G388-Sheet4!$G$525)^2+(H388-Sheet4!$H$525)^2+(I388-Sheet4!$I$525)^2+(J388-Sheet4!$J$525)^2+(K388-Sheet4!$K$525)^2+(L388-Sheet4!$L$525)^2)</f>
        <v>1.6578476707391667</v>
      </c>
      <c r="O388" s="8">
        <f>SQRT((C388-Sheet4!$C$526)^2+(D388-Sheet4!$D$526)^2+(E388-Sheet4!$E$526)^2+(F388-Sheet4!$F$526)^2+(G388-Sheet4!$G$526)^2+(H388-Sheet4!$H$526)^2+(I388-Sheet4!$I$526)^2+(J388-Sheet4!$J$526)^2+(K388-Sheet4!$K$526)^2+(L388-Sheet4!$L$526)^2)</f>
        <v>2.8781527012285202</v>
      </c>
      <c r="P388" s="12">
        <f t="shared" si="6"/>
        <v>0</v>
      </c>
      <c r="Q388" s="11">
        <f>IF(P388=Sheet1!$M388, 1, 0)</f>
        <v>1</v>
      </c>
    </row>
    <row r="389" spans="1:17" x14ac:dyDescent="0.35">
      <c r="A389" s="6" t="s">
        <v>422</v>
      </c>
      <c r="B389" s="6" t="s">
        <v>425</v>
      </c>
      <c r="C389" s="6">
        <v>0.19819624879736719</v>
      </c>
      <c r="D389" s="6">
        <v>0.55447761124310657</v>
      </c>
      <c r="E389" s="6">
        <v>0.25905769893936659</v>
      </c>
      <c r="F389" s="6">
        <v>0.36409415606305789</v>
      </c>
      <c r="G389" s="6">
        <v>-0.12392446181809495</v>
      </c>
      <c r="H389" s="6">
        <v>6.1283810248079121E-2</v>
      </c>
      <c r="I389" s="6">
        <v>0.51212496718959588</v>
      </c>
      <c r="J389" s="6">
        <v>7.7838634381562476E-3</v>
      </c>
      <c r="K389" s="6">
        <v>-0.89425576386442862</v>
      </c>
      <c r="L389" s="6">
        <v>0.68853613987620099</v>
      </c>
      <c r="N389" s="8">
        <f>SQRT((C389-Sheet4!$C$525)^2+(D389-Sheet4!$D$525)^2+(E389-Sheet4!$E$525)^2+(F389-Sheet4!$F$525)^2+(G389-Sheet4!$G$525)^2+(H389-Sheet4!$H$525)^2+(I389-Sheet4!$I$525)^2+(J389-Sheet4!$J$525)^2+(K389-Sheet4!$K$525)^2+(L389-Sheet4!$L$525)^2)</f>
        <v>2.1892419993184946</v>
      </c>
      <c r="O389" s="8">
        <f>SQRT((C389-Sheet4!$C$526)^2+(D389-Sheet4!$D$526)^2+(E389-Sheet4!$E$526)^2+(F389-Sheet4!$F$526)^2+(G389-Sheet4!$G$526)^2+(H389-Sheet4!$H$526)^2+(I389-Sheet4!$I$526)^2+(J389-Sheet4!$J$526)^2+(K389-Sheet4!$K$526)^2+(L389-Sheet4!$L$526)^2)</f>
        <v>2.1960244826564144</v>
      </c>
      <c r="P389" s="12">
        <f t="shared" si="6"/>
        <v>0</v>
      </c>
      <c r="Q389" s="11">
        <f>IF(P389=Sheet1!$M389, 1, 0)</f>
        <v>1</v>
      </c>
    </row>
    <row r="390" spans="1:17" x14ac:dyDescent="0.35">
      <c r="A390" s="6" t="s">
        <v>422</v>
      </c>
      <c r="B390" s="6" t="s">
        <v>426</v>
      </c>
      <c r="C390" s="6">
        <v>0.48941497094676489</v>
      </c>
      <c r="D390" s="6">
        <v>0.65268202772377404</v>
      </c>
      <c r="E390" s="6">
        <v>-0.5433000798495411</v>
      </c>
      <c r="F390" s="6">
        <v>0.23467842146045328</v>
      </c>
      <c r="G390" s="6">
        <v>0.44516323903898952</v>
      </c>
      <c r="H390" s="6">
        <v>0.58645235226727477</v>
      </c>
      <c r="I390" s="6">
        <v>0.29537638087651125</v>
      </c>
      <c r="J390" s="6">
        <v>-0.98295277383165469</v>
      </c>
      <c r="K390" s="6">
        <v>0.6377824691345525</v>
      </c>
      <c r="L390" s="6">
        <v>-0.32262519237328763</v>
      </c>
      <c r="N390" s="8">
        <f>SQRT((C390-Sheet4!$C$525)^2+(D390-Sheet4!$D$525)^2+(E390-Sheet4!$E$525)^2+(F390-Sheet4!$F$525)^2+(G390-Sheet4!$G$525)^2+(H390-Sheet4!$H$525)^2+(I390-Sheet4!$I$525)^2+(J390-Sheet4!$J$525)^2+(K390-Sheet4!$K$525)^2+(L390-Sheet4!$L$525)^2)</f>
        <v>1.9115058384698675</v>
      </c>
      <c r="O390" s="8">
        <f>SQRT((C390-Sheet4!$C$526)^2+(D390-Sheet4!$D$526)^2+(E390-Sheet4!$E$526)^2+(F390-Sheet4!$F$526)^2+(G390-Sheet4!$G$526)^2+(H390-Sheet4!$H$526)^2+(I390-Sheet4!$I$526)^2+(J390-Sheet4!$J$526)^2+(K390-Sheet4!$K$526)^2+(L390-Sheet4!$L$526)^2)</f>
        <v>3.4416722223719001</v>
      </c>
      <c r="P390" s="12">
        <f t="shared" si="6"/>
        <v>0</v>
      </c>
      <c r="Q390" s="11">
        <f>IF(P390=Sheet1!$M390, 1, 0)</f>
        <v>1</v>
      </c>
    </row>
    <row r="391" spans="1:17" x14ac:dyDescent="0.35">
      <c r="A391" s="6" t="s">
        <v>422</v>
      </c>
      <c r="B391" s="6" t="s">
        <v>427</v>
      </c>
      <c r="C391" s="6">
        <v>0.59811873359239265</v>
      </c>
      <c r="D391" s="6">
        <v>-0.28025992884256551</v>
      </c>
      <c r="E391" s="6">
        <v>-0.85569649693539684</v>
      </c>
      <c r="F391" s="6">
        <v>-0.64812176815016809</v>
      </c>
      <c r="G391" s="6">
        <v>-0.62623146308481004</v>
      </c>
      <c r="H391" s="6">
        <v>-0.66264082613530439</v>
      </c>
      <c r="I391" s="6">
        <v>0.2730640264031059</v>
      </c>
      <c r="J391" s="6">
        <v>-0.59197241506234233</v>
      </c>
      <c r="K391" s="6">
        <v>-0.31211253334796235</v>
      </c>
      <c r="L391" s="6">
        <v>-0.28040356938043731</v>
      </c>
      <c r="N391" s="8">
        <f>SQRT((C391-Sheet4!$C$525)^2+(D391-Sheet4!$D$525)^2+(E391-Sheet4!$E$525)^2+(F391-Sheet4!$F$525)^2+(G391-Sheet4!$G$525)^2+(H391-Sheet4!$H$525)^2+(I391-Sheet4!$I$525)^2+(J391-Sheet4!$J$525)^2+(K391-Sheet4!$K$525)^2+(L391-Sheet4!$L$525)^2)</f>
        <v>1.1320040401656486</v>
      </c>
      <c r="O391" s="8">
        <f>SQRT((C391-Sheet4!$C$526)^2+(D391-Sheet4!$D$526)^2+(E391-Sheet4!$E$526)^2+(F391-Sheet4!$F$526)^2+(G391-Sheet4!$G$526)^2+(H391-Sheet4!$H$526)^2+(I391-Sheet4!$I$526)^2+(J391-Sheet4!$J$526)^2+(K391-Sheet4!$K$526)^2+(L391-Sheet4!$L$526)^2)</f>
        <v>4.2492579741702929</v>
      </c>
      <c r="P391" s="12">
        <f t="shared" si="6"/>
        <v>0</v>
      </c>
      <c r="Q391" s="11">
        <f>IF(P391=Sheet1!$M391, 1, 0)</f>
        <v>1</v>
      </c>
    </row>
    <row r="392" spans="1:17" x14ac:dyDescent="0.35">
      <c r="A392" s="6" t="s">
        <v>422</v>
      </c>
      <c r="B392" s="6" t="s">
        <v>428</v>
      </c>
      <c r="C392" s="6">
        <v>0.16598772653199598</v>
      </c>
      <c r="D392" s="6">
        <v>0.19848660150068739</v>
      </c>
      <c r="E392" s="6">
        <v>-0.87595805700582385</v>
      </c>
      <c r="F392" s="6">
        <v>-0.55876328473408454</v>
      </c>
      <c r="G392" s="6">
        <v>-1.0094946085599885</v>
      </c>
      <c r="H392" s="6">
        <v>-0.49081645187466505</v>
      </c>
      <c r="I392" s="6">
        <v>4.9940481669048617E-2</v>
      </c>
      <c r="J392" s="6">
        <v>-0.73242167015423132</v>
      </c>
      <c r="K392" s="6">
        <v>-0.84887363030266005</v>
      </c>
      <c r="L392" s="6">
        <v>-0.33824513785560267</v>
      </c>
      <c r="N392" s="8">
        <f>SQRT((C392-Sheet4!$C$525)^2+(D392-Sheet4!$D$525)^2+(E392-Sheet4!$E$525)^2+(F392-Sheet4!$F$525)^2+(G392-Sheet4!$G$525)^2+(H392-Sheet4!$H$525)^2+(I392-Sheet4!$I$525)^2+(J392-Sheet4!$J$525)^2+(K392-Sheet4!$K$525)^2+(L392-Sheet4!$L$525)^2)</f>
        <v>1.5715663212040532</v>
      </c>
      <c r="O392" s="8">
        <f>SQRT((C392-Sheet4!$C$526)^2+(D392-Sheet4!$D$526)^2+(E392-Sheet4!$E$526)^2+(F392-Sheet4!$F$526)^2+(G392-Sheet4!$G$526)^2+(H392-Sheet4!$H$526)^2+(I392-Sheet4!$I$526)^2+(J392-Sheet4!$J$526)^2+(K392-Sheet4!$K$526)^2+(L392-Sheet4!$L$526)^2)</f>
        <v>4.198058616502176</v>
      </c>
      <c r="P392" s="12">
        <f t="shared" si="6"/>
        <v>0</v>
      </c>
      <c r="Q392" s="11">
        <f>IF(P392=Sheet1!$M392, 1, 0)</f>
        <v>1</v>
      </c>
    </row>
    <row r="393" spans="1:17" x14ac:dyDescent="0.35">
      <c r="A393" s="6" t="s">
        <v>422</v>
      </c>
      <c r="B393" s="6" t="s">
        <v>429</v>
      </c>
      <c r="C393" s="6">
        <v>0.23979892339013836</v>
      </c>
      <c r="D393" s="6">
        <v>0.39489543446202224</v>
      </c>
      <c r="E393" s="6">
        <v>-0.86601147297125058</v>
      </c>
      <c r="F393" s="6">
        <v>-0.25833390083518176</v>
      </c>
      <c r="G393" s="6">
        <v>-0.17618761801925792</v>
      </c>
      <c r="H393" s="6">
        <v>-0.37716459303769045</v>
      </c>
      <c r="I393" s="6">
        <v>7.0977844458259623E-2</v>
      </c>
      <c r="J393" s="6">
        <v>-0.53882945367622215</v>
      </c>
      <c r="K393" s="6">
        <v>-0.30428802756145118</v>
      </c>
      <c r="L393" s="6">
        <v>-0.37473828713492702</v>
      </c>
      <c r="N393" s="8">
        <f>SQRT((C393-Sheet4!$C$525)^2+(D393-Sheet4!$D$525)^2+(E393-Sheet4!$E$525)^2+(F393-Sheet4!$F$525)^2+(G393-Sheet4!$G$525)^2+(H393-Sheet4!$H$525)^2+(I393-Sheet4!$I$525)^2+(J393-Sheet4!$J$525)^2+(K393-Sheet4!$K$525)^2+(L393-Sheet4!$L$525)^2)</f>
        <v>1.1290051262205407</v>
      </c>
      <c r="O393" s="8">
        <f>SQRT((C393-Sheet4!$C$526)^2+(D393-Sheet4!$D$526)^2+(E393-Sheet4!$E$526)^2+(F393-Sheet4!$F$526)^2+(G393-Sheet4!$G$526)^2+(H393-Sheet4!$H$526)^2+(I393-Sheet4!$I$526)^2+(J393-Sheet4!$J$526)^2+(K393-Sheet4!$K$526)^2+(L393-Sheet4!$L$526)^2)</f>
        <v>3.6336369260533159</v>
      </c>
      <c r="P393" s="12">
        <f t="shared" si="6"/>
        <v>0</v>
      </c>
      <c r="Q393" s="11">
        <f>IF(P393=Sheet1!$M393, 1, 0)</f>
        <v>1</v>
      </c>
    </row>
    <row r="394" spans="1:17" x14ac:dyDescent="0.35">
      <c r="A394" s="6" t="s">
        <v>422</v>
      </c>
      <c r="B394" s="6" t="s">
        <v>430</v>
      </c>
      <c r="C394" s="6">
        <v>0.40352557823910834</v>
      </c>
      <c r="D394" s="6">
        <v>-0.42756655356356671</v>
      </c>
      <c r="E394" s="6">
        <v>-0.2393766787931367</v>
      </c>
      <c r="F394" s="6">
        <v>-0.63271513307843041</v>
      </c>
      <c r="G394" s="6">
        <v>-1.540836696605129</v>
      </c>
      <c r="H394" s="6">
        <v>-0.71219519112583407</v>
      </c>
      <c r="I394" s="6">
        <v>-0.57289295606001955</v>
      </c>
      <c r="J394" s="6">
        <v>-0.79315648316693987</v>
      </c>
      <c r="K394" s="6">
        <v>-0.10085087711214884</v>
      </c>
      <c r="L394" s="6">
        <v>-0.21610174186448539</v>
      </c>
      <c r="N394" s="8">
        <f>SQRT((C394-Sheet4!$C$525)^2+(D394-Sheet4!$D$525)^2+(E394-Sheet4!$E$525)^2+(F394-Sheet4!$F$525)^2+(G394-Sheet4!$G$525)^2+(H394-Sheet4!$H$525)^2+(I394-Sheet4!$I$525)^2+(J394-Sheet4!$J$525)^2+(K394-Sheet4!$K$525)^2+(L394-Sheet4!$L$525)^2)</f>
        <v>1.4854443191365552</v>
      </c>
      <c r="O394" s="8">
        <f>SQRT((C394-Sheet4!$C$526)^2+(D394-Sheet4!$D$526)^2+(E394-Sheet4!$E$526)^2+(F394-Sheet4!$F$526)^2+(G394-Sheet4!$G$526)^2+(H394-Sheet4!$H$526)^2+(I394-Sheet4!$I$526)^2+(J394-Sheet4!$J$526)^2+(K394-Sheet4!$K$526)^2+(L394-Sheet4!$L$526)^2)</f>
        <v>4.6719080610550447</v>
      </c>
      <c r="P394" s="12">
        <f t="shared" si="6"/>
        <v>0</v>
      </c>
      <c r="Q394" s="11">
        <f>IF(P394=Sheet1!$M394, 1, 0)</f>
        <v>1</v>
      </c>
    </row>
    <row r="395" spans="1:17" x14ac:dyDescent="0.35">
      <c r="A395" s="6" t="s">
        <v>422</v>
      </c>
      <c r="B395" s="6" t="s">
        <v>431</v>
      </c>
      <c r="C395" s="6">
        <v>0.58067245069865003</v>
      </c>
      <c r="D395" s="6">
        <v>-2.247333558081379E-2</v>
      </c>
      <c r="E395" s="6">
        <v>-0.99605384942326358</v>
      </c>
      <c r="F395" s="6">
        <v>-0.79910679185320677</v>
      </c>
      <c r="G395" s="6">
        <v>-1.0907928515395726</v>
      </c>
      <c r="H395" s="6">
        <v>-0.32868749685130361</v>
      </c>
      <c r="I395" s="6">
        <v>0.58288700566239682</v>
      </c>
      <c r="J395" s="6">
        <v>-0.61474796994210812</v>
      </c>
      <c r="K395" s="6">
        <v>0.84434942189845885</v>
      </c>
      <c r="L395" s="6">
        <v>-0.37789659003027154</v>
      </c>
      <c r="N395" s="8">
        <f>SQRT((C395-Sheet4!$C$525)^2+(D395-Sheet4!$D$525)^2+(E395-Sheet4!$E$525)^2+(F395-Sheet4!$F$525)^2+(G395-Sheet4!$G$525)^2+(H395-Sheet4!$H$525)^2+(I395-Sheet4!$I$525)^2+(J395-Sheet4!$J$525)^2+(K395-Sheet4!$K$525)^2+(L395-Sheet4!$L$525)^2)</f>
        <v>1.5969865754934682</v>
      </c>
      <c r="O395" s="8">
        <f>SQRT((C395-Sheet4!$C$526)^2+(D395-Sheet4!$D$526)^2+(E395-Sheet4!$E$526)^2+(F395-Sheet4!$F$526)^2+(G395-Sheet4!$G$526)^2+(H395-Sheet4!$H$526)^2+(I395-Sheet4!$I$526)^2+(J395-Sheet4!$J$526)^2+(K395-Sheet4!$K$526)^2+(L395-Sheet4!$L$526)^2)</f>
        <v>4.6263638517585335</v>
      </c>
      <c r="P395" s="12">
        <f t="shared" si="6"/>
        <v>0</v>
      </c>
      <c r="Q395" s="11">
        <f>IF(P395=Sheet1!$M395, 1, 0)</f>
        <v>1</v>
      </c>
    </row>
    <row r="396" spans="1:17" x14ac:dyDescent="0.35">
      <c r="A396" s="6" t="s">
        <v>422</v>
      </c>
      <c r="B396" s="6" t="s">
        <v>432</v>
      </c>
      <c r="C396" s="6">
        <v>0.10425472552336802</v>
      </c>
      <c r="D396" s="6">
        <v>0.23531325768093794</v>
      </c>
      <c r="E396" s="6">
        <v>-0.79343824871899404</v>
      </c>
      <c r="F396" s="6">
        <v>-0.22135797666300996</v>
      </c>
      <c r="G396" s="6">
        <v>0.12577728447634071</v>
      </c>
      <c r="H396" s="6">
        <v>5.9667907041866149E-2</v>
      </c>
      <c r="I396" s="6">
        <v>-0.44985625853523992</v>
      </c>
      <c r="J396" s="6">
        <v>-1.0171161061513034</v>
      </c>
      <c r="K396" s="6">
        <v>0.20273994740450488</v>
      </c>
      <c r="L396" s="6">
        <v>-0.32465267777888246</v>
      </c>
      <c r="N396" s="8">
        <f>SQRT((C396-Sheet4!$C$525)^2+(D396-Sheet4!$D$525)^2+(E396-Sheet4!$E$525)^2+(F396-Sheet4!$F$525)^2+(G396-Sheet4!$G$525)^2+(H396-Sheet4!$H$525)^2+(I396-Sheet4!$I$525)^2+(J396-Sheet4!$J$525)^2+(K396-Sheet4!$K$525)^2+(L396-Sheet4!$L$525)^2)</f>
        <v>1.143720216136425</v>
      </c>
      <c r="O396" s="8">
        <f>SQRT((C396-Sheet4!$C$526)^2+(D396-Sheet4!$D$526)^2+(E396-Sheet4!$E$526)^2+(F396-Sheet4!$F$526)^2+(G396-Sheet4!$G$526)^2+(H396-Sheet4!$H$526)^2+(I396-Sheet4!$I$526)^2+(J396-Sheet4!$J$526)^2+(K396-Sheet4!$K$526)^2+(L396-Sheet4!$L$526)^2)</f>
        <v>3.8316477089095056</v>
      </c>
      <c r="P396" s="12">
        <f t="shared" si="6"/>
        <v>0</v>
      </c>
      <c r="Q396" s="11">
        <f>IF(P396=Sheet1!$M396, 1, 0)</f>
        <v>1</v>
      </c>
    </row>
    <row r="397" spans="1:17" x14ac:dyDescent="0.35">
      <c r="A397" s="6" t="s">
        <v>422</v>
      </c>
      <c r="B397" s="6" t="s">
        <v>433</v>
      </c>
      <c r="C397" s="6">
        <v>0.25456116276176671</v>
      </c>
      <c r="D397" s="6">
        <v>0.11869551311014578</v>
      </c>
      <c r="E397" s="6">
        <v>-0.96437213731314142</v>
      </c>
      <c r="F397" s="6">
        <v>-0.65890641270038408</v>
      </c>
      <c r="G397" s="6">
        <v>-1.1575735511299463</v>
      </c>
      <c r="H397" s="6">
        <v>-0.83123339398351814</v>
      </c>
      <c r="I397" s="6">
        <v>0.46558777071649221</v>
      </c>
      <c r="J397" s="6">
        <v>-0.64891130226175675</v>
      </c>
      <c r="K397" s="6">
        <v>-1.258877733515871</v>
      </c>
      <c r="L397" s="6">
        <v>-0.42387714321651054</v>
      </c>
      <c r="N397" s="8">
        <f>SQRT((C397-Sheet4!$C$525)^2+(D397-Sheet4!$D$525)^2+(E397-Sheet4!$E$525)^2+(F397-Sheet4!$F$525)^2+(G397-Sheet4!$G$525)^2+(H397-Sheet4!$H$525)^2+(I397-Sheet4!$I$525)^2+(J397-Sheet4!$J$525)^2+(K397-Sheet4!$K$525)^2+(L397-Sheet4!$L$525)^2)</f>
        <v>2.1124138482574151</v>
      </c>
      <c r="O397" s="8">
        <f>SQRT((C397-Sheet4!$C$526)^2+(D397-Sheet4!$D$526)^2+(E397-Sheet4!$E$526)^2+(F397-Sheet4!$F$526)^2+(G397-Sheet4!$G$526)^2+(H397-Sheet4!$H$526)^2+(I397-Sheet4!$I$526)^2+(J397-Sheet4!$J$526)^2+(K397-Sheet4!$K$526)^2+(L397-Sheet4!$L$526)^2)</f>
        <v>4.4729301098743566</v>
      </c>
      <c r="P397" s="12">
        <f t="shared" si="6"/>
        <v>0</v>
      </c>
      <c r="Q397" s="11">
        <f>IF(P397=Sheet1!$M397, 1, 0)</f>
        <v>1</v>
      </c>
    </row>
    <row r="398" spans="1:17" x14ac:dyDescent="0.35">
      <c r="A398" s="6" t="s">
        <v>422</v>
      </c>
      <c r="B398" s="6" t="s">
        <v>434</v>
      </c>
      <c r="C398" s="6">
        <v>0.21832657521322421</v>
      </c>
      <c r="D398" s="6">
        <v>0.17393549738052108</v>
      </c>
      <c r="E398" s="6">
        <v>-0.52856439979832148</v>
      </c>
      <c r="F398" s="6">
        <v>-0.22289864017018243</v>
      </c>
      <c r="G398" s="6">
        <v>1.5443954718331364E-2</v>
      </c>
      <c r="H398" s="6">
        <v>0.14423350816700806</v>
      </c>
      <c r="I398" s="6">
        <v>-0.136208304223365</v>
      </c>
      <c r="J398" s="6">
        <v>-0.78936055735364574</v>
      </c>
      <c r="K398" s="6">
        <v>-0.15562241761772946</v>
      </c>
      <c r="L398" s="6">
        <v>-0.27262521080181035</v>
      </c>
      <c r="N398" s="8">
        <f>SQRT((C398-Sheet4!$C$525)^2+(D398-Sheet4!$D$525)^2+(E398-Sheet4!$E$525)^2+(F398-Sheet4!$F$525)^2+(G398-Sheet4!$G$525)^2+(H398-Sheet4!$H$525)^2+(I398-Sheet4!$I$525)^2+(J398-Sheet4!$J$525)^2+(K398-Sheet4!$K$525)^2+(L398-Sheet4!$L$525)^2)</f>
        <v>0.95666667293480523</v>
      </c>
      <c r="O398" s="8">
        <f>SQRT((C398-Sheet4!$C$526)^2+(D398-Sheet4!$D$526)^2+(E398-Sheet4!$E$526)^2+(F398-Sheet4!$F$526)^2+(G398-Sheet4!$G$526)^2+(H398-Sheet4!$H$526)^2+(I398-Sheet4!$I$526)^2+(J398-Sheet4!$J$526)^2+(K398-Sheet4!$K$526)^2+(L398-Sheet4!$L$526)^2)</f>
        <v>3.4744981742342245</v>
      </c>
      <c r="P398" s="12">
        <f t="shared" si="6"/>
        <v>0</v>
      </c>
      <c r="Q398" s="11">
        <f>IF(P398=Sheet1!$M398, 1, 0)</f>
        <v>1</v>
      </c>
    </row>
    <row r="399" spans="1:17" x14ac:dyDescent="0.35">
      <c r="A399" s="6" t="s">
        <v>422</v>
      </c>
      <c r="B399" s="6" t="s">
        <v>435</v>
      </c>
      <c r="C399" s="6">
        <v>-0.68485406997822584</v>
      </c>
      <c r="D399" s="6">
        <v>2.0152683063930339</v>
      </c>
      <c r="E399" s="6">
        <v>1.6832611758897418</v>
      </c>
      <c r="F399" s="6">
        <v>1.813858516313658</v>
      </c>
      <c r="G399" s="6">
        <v>0.41612815226056837</v>
      </c>
      <c r="H399" s="6">
        <v>0.7830539090231784</v>
      </c>
      <c r="I399" s="6">
        <v>0.83469786329083306</v>
      </c>
      <c r="J399" s="6">
        <v>0.96815309420161288</v>
      </c>
      <c r="K399" s="6">
        <v>-0.68768881110052227</v>
      </c>
      <c r="L399" s="6">
        <v>-0.11656280640300744</v>
      </c>
      <c r="N399" s="8">
        <f>SQRT((C399-Sheet4!$C$525)^2+(D399-Sheet4!$D$525)^2+(E399-Sheet4!$E$525)^2+(F399-Sheet4!$F$525)^2+(G399-Sheet4!$G$525)^2+(H399-Sheet4!$H$525)^2+(I399-Sheet4!$I$525)^2+(J399-Sheet4!$J$525)^2+(K399-Sheet4!$K$525)^2+(L399-Sheet4!$L$525)^2)</f>
        <v>4.6002690140784122</v>
      </c>
      <c r="O399" s="8">
        <f>SQRT((C399-Sheet4!$C$526)^2+(D399-Sheet4!$D$526)^2+(E399-Sheet4!$E$526)^2+(F399-Sheet4!$F$526)^2+(G399-Sheet4!$G$526)^2+(H399-Sheet4!$H$526)^2+(I399-Sheet4!$I$526)^2+(J399-Sheet4!$J$526)^2+(K399-Sheet4!$K$526)^2+(L399-Sheet4!$L$526)^2)</f>
        <v>1.6225989516357215</v>
      </c>
      <c r="P399" s="12">
        <f t="shared" si="6"/>
        <v>1</v>
      </c>
      <c r="Q399" s="11">
        <f>IF(P399=Sheet1!$M399, 1, 0)</f>
        <v>0</v>
      </c>
    </row>
    <row r="400" spans="1:17" x14ac:dyDescent="0.35">
      <c r="A400" s="6" t="s">
        <v>436</v>
      </c>
      <c r="B400" s="6" t="s">
        <v>437</v>
      </c>
      <c r="C400" s="6">
        <v>2.3733419859939892E-2</v>
      </c>
      <c r="D400" s="6">
        <v>-0.21888216854214865</v>
      </c>
      <c r="E400" s="6">
        <v>-0.46593775958063821</v>
      </c>
      <c r="F400" s="6">
        <v>-0.33382641268670005</v>
      </c>
      <c r="G400" s="6">
        <v>-0.33007357794489894</v>
      </c>
      <c r="H400" s="6">
        <v>-8.7917919125580113E-2</v>
      </c>
      <c r="I400" s="6">
        <v>0.27880148898198187</v>
      </c>
      <c r="J400" s="6">
        <v>-0.85389129617964865</v>
      </c>
      <c r="K400" s="6">
        <v>-6.1728348179590609E-2</v>
      </c>
      <c r="L400" s="6">
        <v>-0.38025839572700249</v>
      </c>
      <c r="N400" s="8">
        <f>SQRT((C400-Sheet4!$C$525)^2+(D400-Sheet4!$D$525)^2+(E400-Sheet4!$E$525)^2+(F400-Sheet4!$F$525)^2+(G400-Sheet4!$G$525)^2+(H400-Sheet4!$H$525)^2+(I400-Sheet4!$I$525)^2+(J400-Sheet4!$J$525)^2+(K400-Sheet4!$K$525)^2+(L400-Sheet4!$L$525)^2)</f>
        <v>0.83699509324491472</v>
      </c>
      <c r="O400" s="8">
        <f>SQRT((C400-Sheet4!$C$526)^2+(D400-Sheet4!$D$526)^2+(E400-Sheet4!$E$526)^2+(F400-Sheet4!$F$526)^2+(G400-Sheet4!$G$526)^2+(H400-Sheet4!$H$526)^2+(I400-Sheet4!$I$526)^2+(J400-Sheet4!$J$526)^2+(K400-Sheet4!$K$526)^2+(L400-Sheet4!$L$526)^2)</f>
        <v>3.7053729954858952</v>
      </c>
      <c r="P400" s="12">
        <f t="shared" si="6"/>
        <v>0</v>
      </c>
      <c r="Q400" s="11">
        <f>IF(P400=Sheet1!$M400, 1, 0)</f>
        <v>1</v>
      </c>
    </row>
    <row r="401" spans="1:17" x14ac:dyDescent="0.35">
      <c r="A401" s="6" t="s">
        <v>436</v>
      </c>
      <c r="B401" s="6" t="s">
        <v>438</v>
      </c>
      <c r="C401" s="6">
        <v>-0.6499615041907405</v>
      </c>
      <c r="D401" s="6">
        <v>-0.37846434532323298</v>
      </c>
      <c r="E401" s="6">
        <v>0.11317446643229245</v>
      </c>
      <c r="F401" s="6">
        <v>-4.7263000352362507E-2</v>
      </c>
      <c r="G401" s="6">
        <v>-0.45202094241427504</v>
      </c>
      <c r="H401" s="6">
        <v>0.8013674786935916</v>
      </c>
      <c r="I401" s="6">
        <v>0.14620235382574223</v>
      </c>
      <c r="J401" s="6">
        <v>-0.72862574434093696</v>
      </c>
      <c r="K401" s="6">
        <v>-0.62665766596573136</v>
      </c>
      <c r="L401" s="6">
        <v>-0.27060079696389028</v>
      </c>
      <c r="N401" s="8">
        <f>SQRT((C401-Sheet4!$C$525)^2+(D401-Sheet4!$D$525)^2+(E401-Sheet4!$E$525)^2+(F401-Sheet4!$F$525)^2+(G401-Sheet4!$G$525)^2+(H401-Sheet4!$H$525)^2+(I401-Sheet4!$I$525)^2+(J401-Sheet4!$J$525)^2+(K401-Sheet4!$K$525)^2+(L401-Sheet4!$L$525)^2)</f>
        <v>1.8019102186755485</v>
      </c>
      <c r="O401" s="8">
        <f>SQRT((C401-Sheet4!$C$526)^2+(D401-Sheet4!$D$526)^2+(E401-Sheet4!$E$526)^2+(F401-Sheet4!$F$526)^2+(G401-Sheet4!$G$526)^2+(H401-Sheet4!$H$526)^2+(I401-Sheet4!$I$526)^2+(J401-Sheet4!$J$526)^2+(K401-Sheet4!$K$526)^2+(L401-Sheet4!$L$526)^2)</f>
        <v>3.2277892132707406</v>
      </c>
      <c r="P401" s="12">
        <f t="shared" si="6"/>
        <v>0</v>
      </c>
      <c r="Q401" s="11">
        <f>IF(P401=Sheet1!$M401, 1, 0)</f>
        <v>1</v>
      </c>
    </row>
    <row r="402" spans="1:17" x14ac:dyDescent="0.35">
      <c r="A402" s="6" t="s">
        <v>436</v>
      </c>
      <c r="B402" s="6" t="s">
        <v>439</v>
      </c>
      <c r="C402" s="6">
        <v>-0.38424119550142821</v>
      </c>
      <c r="D402" s="6">
        <v>-1.0229308284776129</v>
      </c>
      <c r="E402" s="6">
        <v>0.55413969196503932</v>
      </c>
      <c r="F402" s="6">
        <v>-0.14432480130431705</v>
      </c>
      <c r="G402" s="6">
        <v>0.2738562270462942</v>
      </c>
      <c r="H402" s="6">
        <v>3.2197552536246406E-2</v>
      </c>
      <c r="I402" s="6">
        <v>0.77094827908110242</v>
      </c>
      <c r="J402" s="6">
        <v>-0.37560464370456742</v>
      </c>
      <c r="K402" s="6">
        <v>0.7598447594041321</v>
      </c>
      <c r="L402" s="6">
        <v>-0.33040520165835208</v>
      </c>
      <c r="N402" s="8">
        <f>SQRT((C402-Sheet4!$C$525)^2+(D402-Sheet4!$D$525)^2+(E402-Sheet4!$E$525)^2+(F402-Sheet4!$F$525)^2+(G402-Sheet4!$G$525)^2+(H402-Sheet4!$H$525)^2+(I402-Sheet4!$I$525)^2+(J402-Sheet4!$J$525)^2+(K402-Sheet4!$K$525)^2+(L402-Sheet4!$L$525)^2)</f>
        <v>1.8874637529853184</v>
      </c>
      <c r="O402" s="8">
        <f>SQRT((C402-Sheet4!$C$526)^2+(D402-Sheet4!$D$526)^2+(E402-Sheet4!$E$526)^2+(F402-Sheet4!$F$526)^2+(G402-Sheet4!$G$526)^2+(H402-Sheet4!$H$526)^2+(I402-Sheet4!$I$526)^2+(J402-Sheet4!$J$526)^2+(K402-Sheet4!$K$526)^2+(L402-Sheet4!$L$526)^2)</f>
        <v>3.4223679528069013</v>
      </c>
      <c r="P402" s="12">
        <f t="shared" si="6"/>
        <v>0</v>
      </c>
      <c r="Q402" s="11">
        <f>IF(P402=Sheet1!$M402, 1, 0)</f>
        <v>1</v>
      </c>
    </row>
    <row r="403" spans="1:17" x14ac:dyDescent="0.35">
      <c r="A403" s="6" t="s">
        <v>436</v>
      </c>
      <c r="B403" s="6" t="s">
        <v>440</v>
      </c>
      <c r="C403" s="6">
        <v>0.26932340213339512</v>
      </c>
      <c r="D403" s="6">
        <v>-1.1272730209883219</v>
      </c>
      <c r="E403" s="6">
        <v>-0.40883699938216223</v>
      </c>
      <c r="F403" s="6">
        <v>-0.82683873498233507</v>
      </c>
      <c r="G403" s="6">
        <v>-0.91948583954688146</v>
      </c>
      <c r="H403" s="6">
        <v>0.23041501249836371</v>
      </c>
      <c r="I403" s="6">
        <v>0.85446023439584973</v>
      </c>
      <c r="J403" s="6">
        <v>-1.0171161061513034</v>
      </c>
      <c r="K403" s="6">
        <v>-0.32463174260638072</v>
      </c>
      <c r="L403" s="6">
        <v>-0.31145544697133976</v>
      </c>
      <c r="N403" s="8">
        <f>SQRT((C403-Sheet4!$C$525)^2+(D403-Sheet4!$D$525)^2+(E403-Sheet4!$E$525)^2+(F403-Sheet4!$F$525)^2+(G403-Sheet4!$G$525)^2+(H403-Sheet4!$H$525)^2+(I403-Sheet4!$I$525)^2+(J403-Sheet4!$J$525)^2+(K403-Sheet4!$K$525)^2+(L403-Sheet4!$L$525)^2)</f>
        <v>1.8069371970430039</v>
      </c>
      <c r="O403" s="8">
        <f>SQRT((C403-Sheet4!$C$526)^2+(D403-Sheet4!$D$526)^2+(E403-Sheet4!$E$526)^2+(F403-Sheet4!$F$526)^2+(G403-Sheet4!$G$526)^2+(H403-Sheet4!$H$526)^2+(I403-Sheet4!$I$526)^2+(J403-Sheet4!$J$526)^2+(K403-Sheet4!$K$526)^2+(L403-Sheet4!$L$526)^2)</f>
        <v>4.499822562424125</v>
      </c>
      <c r="P403" s="12">
        <f t="shared" si="6"/>
        <v>0</v>
      </c>
      <c r="Q403" s="11">
        <f>IF(P403=Sheet1!$M403, 1, 0)</f>
        <v>1</v>
      </c>
    </row>
    <row r="404" spans="1:17" x14ac:dyDescent="0.35">
      <c r="A404" s="6" t="s">
        <v>436</v>
      </c>
      <c r="B404" s="6" t="s">
        <v>441</v>
      </c>
      <c r="C404" s="6">
        <v>-0.53991571978405561</v>
      </c>
      <c r="D404" s="6">
        <v>-0.58101095431460936</v>
      </c>
      <c r="E404" s="6">
        <v>8.0387578318328823E-2</v>
      </c>
      <c r="F404" s="6">
        <v>-0.33998906671539642</v>
      </c>
      <c r="G404" s="6">
        <v>-0.68430163664165644</v>
      </c>
      <c r="H404" s="6">
        <v>0.69741103909389479</v>
      </c>
      <c r="I404" s="6">
        <v>0.75883585808125376</v>
      </c>
      <c r="J404" s="6">
        <v>-0.4287476050906876</v>
      </c>
      <c r="K404" s="6">
        <v>-0.56719142198824135</v>
      </c>
      <c r="L404" s="6">
        <v>-0.31459600999623583</v>
      </c>
      <c r="N404" s="8">
        <f>SQRT((C404-Sheet4!$C$525)^2+(D404-Sheet4!$D$525)^2+(E404-Sheet4!$E$525)^2+(F404-Sheet4!$F$525)^2+(G404-Sheet4!$G$525)^2+(H404-Sheet4!$H$525)^2+(I404-Sheet4!$I$525)^2+(J404-Sheet4!$J$525)^2+(K404-Sheet4!$K$525)^2+(L404-Sheet4!$L$525)^2)</f>
        <v>1.8769152296144509</v>
      </c>
      <c r="O404" s="8">
        <f>SQRT((C404-Sheet4!$C$526)^2+(D404-Sheet4!$D$526)^2+(E404-Sheet4!$E$526)^2+(F404-Sheet4!$F$526)^2+(G404-Sheet4!$G$526)^2+(H404-Sheet4!$H$526)^2+(I404-Sheet4!$I$526)^2+(J404-Sheet4!$J$526)^2+(K404-Sheet4!$K$526)^2+(L404-Sheet4!$L$526)^2)</f>
        <v>3.3641095395372229</v>
      </c>
      <c r="P404" s="12">
        <f t="shared" si="6"/>
        <v>0</v>
      </c>
      <c r="Q404" s="11">
        <f>IF(P404=Sheet1!$M404, 1, 0)</f>
        <v>1</v>
      </c>
    </row>
    <row r="405" spans="1:17" x14ac:dyDescent="0.35">
      <c r="A405" s="6" t="s">
        <v>436</v>
      </c>
      <c r="B405" s="6" t="s">
        <v>442</v>
      </c>
      <c r="C405" s="6">
        <v>-0.63519926481911193</v>
      </c>
      <c r="D405" s="6">
        <v>-0.14522885618164863</v>
      </c>
      <c r="E405" s="6">
        <v>-0.30237171101210053</v>
      </c>
      <c r="F405" s="6">
        <v>5.5961454628286257E-2</v>
      </c>
      <c r="G405" s="6">
        <v>0.2303035968786625</v>
      </c>
      <c r="H405" s="6">
        <v>1.0771482925539284</v>
      </c>
      <c r="I405" s="6">
        <v>0.65811151502987852</v>
      </c>
      <c r="J405" s="6">
        <v>-0.28829834999879883</v>
      </c>
      <c r="K405" s="6">
        <v>-8.989656901103138E-2</v>
      </c>
      <c r="L405" s="6">
        <v>-0.14460149699993666</v>
      </c>
      <c r="N405" s="8">
        <f>SQRT((C405-Sheet4!$C$525)^2+(D405-Sheet4!$D$525)^2+(E405-Sheet4!$E$525)^2+(F405-Sheet4!$F$525)^2+(G405-Sheet4!$G$525)^2+(H405-Sheet4!$H$525)^2+(I405-Sheet4!$I$525)^2+(J405-Sheet4!$J$525)^2+(K405-Sheet4!$K$525)^2+(L405-Sheet4!$L$525)^2)</f>
        <v>1.9969945670138336</v>
      </c>
      <c r="O405" s="8">
        <f>SQRT((C405-Sheet4!$C$526)^2+(D405-Sheet4!$D$526)^2+(E405-Sheet4!$E$526)^2+(F405-Sheet4!$F$526)^2+(G405-Sheet4!$G$526)^2+(H405-Sheet4!$H$526)^2+(I405-Sheet4!$I$526)^2+(J405-Sheet4!$J$526)^2+(K405-Sheet4!$K$526)^2+(L405-Sheet4!$L$526)^2)</f>
        <v>2.7793160741558878</v>
      </c>
      <c r="P405" s="12">
        <f t="shared" si="6"/>
        <v>0</v>
      </c>
      <c r="Q405" s="11">
        <f>IF(P405=Sheet1!$M405, 1, 0)</f>
        <v>1</v>
      </c>
    </row>
    <row r="406" spans="1:17" x14ac:dyDescent="0.35">
      <c r="A406" s="6" t="s">
        <v>436</v>
      </c>
      <c r="B406" s="6" t="s">
        <v>443</v>
      </c>
      <c r="C406" s="6">
        <v>-0.46073643588168478</v>
      </c>
      <c r="D406" s="6">
        <v>-0.40301544944339984</v>
      </c>
      <c r="E406" s="6">
        <v>-0.30200331901082006</v>
      </c>
      <c r="F406" s="6">
        <v>-0.33536707619387468</v>
      </c>
      <c r="G406" s="6">
        <v>-0.66107356721891863</v>
      </c>
      <c r="H406" s="6">
        <v>0.53474344966846132</v>
      </c>
      <c r="I406" s="6">
        <v>0.20867694635127762</v>
      </c>
      <c r="J406" s="6">
        <v>-0.92980981244553462</v>
      </c>
      <c r="K406" s="6">
        <v>0.38270358049427139</v>
      </c>
      <c r="L406" s="6">
        <v>-0.30062169346198359</v>
      </c>
      <c r="N406" s="8">
        <f>SQRT((C406-Sheet4!$C$525)^2+(D406-Sheet4!$D$525)^2+(E406-Sheet4!$E$525)^2+(F406-Sheet4!$F$525)^2+(G406-Sheet4!$G$525)^2+(H406-Sheet4!$H$525)^2+(I406-Sheet4!$I$525)^2+(J406-Sheet4!$J$525)^2+(K406-Sheet4!$K$525)^2+(L406-Sheet4!$L$525)^2)</f>
        <v>1.3293969680839952</v>
      </c>
      <c r="O406" s="8">
        <f>SQRT((C406-Sheet4!$C$526)^2+(D406-Sheet4!$D$526)^2+(E406-Sheet4!$E$526)^2+(F406-Sheet4!$F$526)^2+(G406-Sheet4!$G$526)^2+(H406-Sheet4!$H$526)^2+(I406-Sheet4!$I$526)^2+(J406-Sheet4!$J$526)^2+(K406-Sheet4!$K$526)^2+(L406-Sheet4!$L$526)^2)</f>
        <v>3.8123697264308078</v>
      </c>
      <c r="P406" s="12">
        <f t="shared" si="6"/>
        <v>0</v>
      </c>
      <c r="Q406" s="11">
        <f>IF(P406=Sheet1!$M406, 1, 0)</f>
        <v>1</v>
      </c>
    </row>
    <row r="407" spans="1:17" x14ac:dyDescent="0.35">
      <c r="A407" s="6" t="s">
        <v>436</v>
      </c>
      <c r="B407" s="6" t="s">
        <v>444</v>
      </c>
      <c r="C407" s="6">
        <v>-0.36276884732451409</v>
      </c>
      <c r="D407" s="6">
        <v>-0.26184660075244082</v>
      </c>
      <c r="E407" s="6">
        <v>0.26053126694448853</v>
      </c>
      <c r="F407" s="6">
        <v>7.4449416714371067E-2</v>
      </c>
      <c r="G407" s="6">
        <v>-0.17909112669709756</v>
      </c>
      <c r="H407" s="6">
        <v>0.56760014819479043</v>
      </c>
      <c r="I407" s="6">
        <v>-0.11198346222366763</v>
      </c>
      <c r="J407" s="6">
        <v>0.47088681266006011</v>
      </c>
      <c r="K407" s="6">
        <v>-1.5421248429875929</v>
      </c>
      <c r="L407" s="6">
        <v>-0.19982868079841778</v>
      </c>
      <c r="N407" s="8">
        <f>SQRT((C407-Sheet4!$C$525)^2+(D407-Sheet4!$D$525)^2+(E407-Sheet4!$E$525)^2+(F407-Sheet4!$F$525)^2+(G407-Sheet4!$G$525)^2+(H407-Sheet4!$H$525)^2+(I407-Sheet4!$I$525)^2+(J407-Sheet4!$J$525)^2+(K407-Sheet4!$K$525)^2+(L407-Sheet4!$L$525)^2)</f>
        <v>2.3456861680071097</v>
      </c>
      <c r="O407" s="8">
        <f>SQRT((C407-Sheet4!$C$526)^2+(D407-Sheet4!$D$526)^2+(E407-Sheet4!$E$526)^2+(F407-Sheet4!$F$526)^2+(G407-Sheet4!$G$526)^2+(H407-Sheet4!$H$526)^2+(I407-Sheet4!$I$526)^2+(J407-Sheet4!$J$526)^2+(K407-Sheet4!$K$526)^2+(L407-Sheet4!$L$526)^2)</f>
        <v>2.7027568592244444</v>
      </c>
      <c r="P407" s="12">
        <f t="shared" si="6"/>
        <v>0</v>
      </c>
      <c r="Q407" s="11">
        <f>IF(P407=Sheet1!$M407, 1, 0)</f>
        <v>1</v>
      </c>
    </row>
    <row r="408" spans="1:17" x14ac:dyDescent="0.35">
      <c r="A408" s="6" t="s">
        <v>436</v>
      </c>
      <c r="B408" s="6" t="s">
        <v>445</v>
      </c>
      <c r="C408" s="6">
        <v>0.26932340213339512</v>
      </c>
      <c r="D408" s="6">
        <v>-0.31708658502281611</v>
      </c>
      <c r="E408" s="6">
        <v>0.43993817156808729</v>
      </c>
      <c r="F408" s="6">
        <v>-0.11043020414649235</v>
      </c>
      <c r="G408" s="6">
        <v>-0.83528408788945363</v>
      </c>
      <c r="H408" s="6">
        <v>0.49272996630692556</v>
      </c>
      <c r="I408" s="6">
        <v>0.26796405966632758</v>
      </c>
      <c r="J408" s="6">
        <v>0.30386607687511136</v>
      </c>
      <c r="K408" s="6">
        <v>-0.78784248516786914</v>
      </c>
      <c r="L408" s="6">
        <v>-9.3264234263914961E-2</v>
      </c>
      <c r="N408" s="8">
        <f>SQRT((C408-Sheet4!$C$525)^2+(D408-Sheet4!$D$525)^2+(E408-Sheet4!$E$525)^2+(F408-Sheet4!$F$525)^2+(G408-Sheet4!$G$525)^2+(H408-Sheet4!$H$525)^2+(I408-Sheet4!$I$525)^2+(J408-Sheet4!$J$525)^2+(K408-Sheet4!$K$525)^2+(L408-Sheet4!$L$525)^2)</f>
        <v>1.8295668780414305</v>
      </c>
      <c r="O408" s="8">
        <f>SQRT((C408-Sheet4!$C$526)^2+(D408-Sheet4!$D$526)^2+(E408-Sheet4!$E$526)^2+(F408-Sheet4!$F$526)^2+(G408-Sheet4!$G$526)^2+(H408-Sheet4!$H$526)^2+(I408-Sheet4!$I$526)^2+(J408-Sheet4!$J$526)^2+(K408-Sheet4!$K$526)^2+(L408-Sheet4!$L$526)^2)</f>
        <v>2.9803423461456129</v>
      </c>
      <c r="P408" s="12">
        <f t="shared" si="6"/>
        <v>0</v>
      </c>
      <c r="Q408" s="11">
        <f>IF(P408=Sheet1!$M408, 1, 0)</f>
        <v>1</v>
      </c>
    </row>
    <row r="409" spans="1:17" x14ac:dyDescent="0.35">
      <c r="A409" s="6" t="s">
        <v>436</v>
      </c>
      <c r="B409" s="6" t="s">
        <v>446</v>
      </c>
      <c r="C409" s="6">
        <v>-0.4822087840585989</v>
      </c>
      <c r="D409" s="6">
        <v>-0.12067775206148122</v>
      </c>
      <c r="E409" s="6">
        <v>0.25500538692528119</v>
      </c>
      <c r="F409" s="6">
        <v>0.18537718923088869</v>
      </c>
      <c r="G409" s="6">
        <v>-0.17038060066357452</v>
      </c>
      <c r="H409" s="6">
        <v>0.90047620867465017</v>
      </c>
      <c r="I409" s="6">
        <v>0.75692337055496173</v>
      </c>
      <c r="J409" s="6">
        <v>0.63790754844500919</v>
      </c>
      <c r="K409" s="6">
        <v>-1.7721653131110351</v>
      </c>
      <c r="L409" s="6">
        <v>-0.35300216087645908</v>
      </c>
      <c r="N409" s="8">
        <f>SQRT((C409-Sheet4!$C$525)^2+(D409-Sheet4!$D$525)^2+(E409-Sheet4!$E$525)^2+(F409-Sheet4!$F$525)^2+(G409-Sheet4!$G$525)^2+(H409-Sheet4!$H$525)^2+(I409-Sheet4!$I$525)^2+(J409-Sheet4!$J$525)^2+(K409-Sheet4!$K$525)^2+(L409-Sheet4!$L$525)^2)</f>
        <v>2.9418866286303906</v>
      </c>
      <c r="O409" s="8">
        <f>SQRT((C409-Sheet4!$C$526)^2+(D409-Sheet4!$D$526)^2+(E409-Sheet4!$E$526)^2+(F409-Sheet4!$F$526)^2+(G409-Sheet4!$G$526)^2+(H409-Sheet4!$H$526)^2+(I409-Sheet4!$I$526)^2+(J409-Sheet4!$J$526)^2+(K409-Sheet4!$K$526)^2+(L409-Sheet4!$L$526)^2)</f>
        <v>2.5832714604626221</v>
      </c>
      <c r="P409" s="12">
        <f t="shared" si="6"/>
        <v>1</v>
      </c>
      <c r="Q409" s="11">
        <f>IF(P409=Sheet1!$M409, 1, 0)</f>
        <v>0</v>
      </c>
    </row>
    <row r="410" spans="1:17" x14ac:dyDescent="0.35">
      <c r="A410" s="6" t="s">
        <v>436</v>
      </c>
      <c r="B410" s="6" t="s">
        <v>447</v>
      </c>
      <c r="C410" s="6">
        <v>-0.23527678002408661</v>
      </c>
      <c r="D410" s="6">
        <v>-0.74059313109569369</v>
      </c>
      <c r="E410" s="6">
        <v>-0.47698951961905289</v>
      </c>
      <c r="F410" s="6">
        <v>-0.54335664966234465</v>
      </c>
      <c r="G410" s="6">
        <v>-0.71043321474223786</v>
      </c>
      <c r="H410" s="6">
        <v>0.91986704714920509</v>
      </c>
      <c r="I410" s="6">
        <v>0.31577624782362557</v>
      </c>
      <c r="J410" s="6">
        <v>-0.34523723719821309</v>
      </c>
      <c r="K410" s="6">
        <v>-0.59379474166238111</v>
      </c>
      <c r="L410" s="6">
        <v>2.736809669632179E-2</v>
      </c>
      <c r="N410" s="8">
        <f>SQRT((C410-Sheet4!$C$525)^2+(D410-Sheet4!$D$525)^2+(E410-Sheet4!$E$525)^2+(F410-Sheet4!$F$525)^2+(G410-Sheet4!$G$525)^2+(H410-Sheet4!$H$525)^2+(I410-Sheet4!$I$525)^2+(J410-Sheet4!$J$525)^2+(K410-Sheet4!$K$525)^2+(L410-Sheet4!$L$525)^2)</f>
        <v>1.708473640968579</v>
      </c>
      <c r="O410" s="8">
        <f>SQRT((C410-Sheet4!$C$526)^2+(D410-Sheet4!$D$526)^2+(E410-Sheet4!$E$526)^2+(F410-Sheet4!$F$526)^2+(G410-Sheet4!$G$526)^2+(H410-Sheet4!$H$526)^2+(I410-Sheet4!$I$526)^2+(J410-Sheet4!$J$526)^2+(K410-Sheet4!$K$526)^2+(L410-Sheet4!$L$526)^2)</f>
        <v>3.6897216069106777</v>
      </c>
      <c r="P410" s="12">
        <f t="shared" si="6"/>
        <v>0</v>
      </c>
      <c r="Q410" s="11">
        <f>IF(P410=Sheet1!$M410, 1, 0)</f>
        <v>1</v>
      </c>
    </row>
    <row r="411" spans="1:17" x14ac:dyDescent="0.35">
      <c r="A411" s="6" t="s">
        <v>436</v>
      </c>
      <c r="B411" s="6" t="s">
        <v>448</v>
      </c>
      <c r="C411" s="6">
        <v>-0.63654128658016906</v>
      </c>
      <c r="D411" s="6">
        <v>-0.37846434532323298</v>
      </c>
      <c r="E411" s="6">
        <v>-0.28247854294295405</v>
      </c>
      <c r="F411" s="6">
        <v>-0.14432480130431705</v>
      </c>
      <c r="G411" s="6">
        <v>4.4479041496756612E-2</v>
      </c>
      <c r="H411" s="6">
        <v>0.81806514515779172</v>
      </c>
      <c r="I411" s="6">
        <v>0.72951104934477717</v>
      </c>
      <c r="J411" s="6">
        <v>-0.43254353090398201</v>
      </c>
      <c r="K411" s="6">
        <v>-1.6469732205268492</v>
      </c>
      <c r="L411" s="6">
        <v>-0.30043069210065393</v>
      </c>
      <c r="N411" s="8">
        <f>SQRT((C411-Sheet4!$C$525)^2+(D411-Sheet4!$D$525)^2+(E411-Sheet4!$E$525)^2+(F411-Sheet4!$F$525)^2+(G411-Sheet4!$G$525)^2+(H411-Sheet4!$H$525)^2+(I411-Sheet4!$I$525)^2+(J411-Sheet4!$J$525)^2+(K411-Sheet4!$K$525)^2+(L411-Sheet4!$L$525)^2)</f>
        <v>2.54835264013487</v>
      </c>
      <c r="O411" s="8">
        <f>SQRT((C411-Sheet4!$C$526)^2+(D411-Sheet4!$D$526)^2+(E411-Sheet4!$E$526)^2+(F411-Sheet4!$F$526)^2+(G411-Sheet4!$G$526)^2+(H411-Sheet4!$H$526)^2+(I411-Sheet4!$I$526)^2+(J411-Sheet4!$J$526)^2+(K411-Sheet4!$K$526)^2+(L411-Sheet4!$L$526)^2)</f>
        <v>3.2329622438371892</v>
      </c>
      <c r="P411" s="12">
        <f t="shared" si="6"/>
        <v>0</v>
      </c>
      <c r="Q411" s="11">
        <f>IF(P411=Sheet1!$M411, 1, 0)</f>
        <v>1</v>
      </c>
    </row>
    <row r="412" spans="1:17" x14ac:dyDescent="0.35">
      <c r="A412" s="6" t="s">
        <v>436</v>
      </c>
      <c r="B412" s="6" t="s">
        <v>449</v>
      </c>
      <c r="C412" s="6">
        <v>-0.78013761501328227</v>
      </c>
      <c r="D412" s="6">
        <v>-0.85107309963644484</v>
      </c>
      <c r="E412" s="6">
        <v>0.80317268483065063</v>
      </c>
      <c r="F412" s="6">
        <v>-4.7263000352362507E-2</v>
      </c>
      <c r="G412" s="6">
        <v>-0.63203848044049338</v>
      </c>
      <c r="H412" s="6">
        <v>0.96026462730452788</v>
      </c>
      <c r="I412" s="6">
        <v>0.17425217087802358</v>
      </c>
      <c r="J412" s="6">
        <v>-0.28070649837221007</v>
      </c>
      <c r="K412" s="6">
        <v>-0.76436896780833552</v>
      </c>
      <c r="L412" s="6">
        <v>-0.17540938346336432</v>
      </c>
      <c r="N412" s="8">
        <f>SQRT((C412-Sheet4!$C$525)^2+(D412-Sheet4!$D$525)^2+(E412-Sheet4!$E$525)^2+(F412-Sheet4!$F$525)^2+(G412-Sheet4!$G$525)^2+(H412-Sheet4!$H$525)^2+(I412-Sheet4!$I$525)^2+(J412-Sheet4!$J$525)^2+(K412-Sheet4!$K$525)^2+(L412-Sheet4!$L$525)^2)</f>
        <v>2.3465865230950622</v>
      </c>
      <c r="O412" s="8">
        <f>SQRT((C412-Sheet4!$C$526)^2+(D412-Sheet4!$D$526)^2+(E412-Sheet4!$E$526)^2+(F412-Sheet4!$F$526)^2+(G412-Sheet4!$G$526)^2+(H412-Sheet4!$H$526)^2+(I412-Sheet4!$I$526)^2+(J412-Sheet4!$J$526)^2+(K412-Sheet4!$K$526)^2+(L412-Sheet4!$L$526)^2)</f>
        <v>3.1799392118119525</v>
      </c>
      <c r="P412" s="12">
        <f t="shared" si="6"/>
        <v>0</v>
      </c>
      <c r="Q412" s="11">
        <f>IF(P412=Sheet1!$M412, 1, 0)</f>
        <v>1</v>
      </c>
    </row>
    <row r="413" spans="1:17" x14ac:dyDescent="0.35">
      <c r="A413" s="6" t="s">
        <v>436</v>
      </c>
      <c r="B413" s="6" t="s">
        <v>450</v>
      </c>
      <c r="C413" s="6">
        <v>-0.97070470508339501</v>
      </c>
      <c r="D413" s="6">
        <v>-0.30481103296273238</v>
      </c>
      <c r="E413" s="6">
        <v>0.69118151644138159</v>
      </c>
      <c r="F413" s="6">
        <v>0.24854439302501855</v>
      </c>
      <c r="G413" s="6">
        <v>0.10254921505360297</v>
      </c>
      <c r="H413" s="6">
        <v>1.148248033627296</v>
      </c>
      <c r="I413" s="6">
        <v>0.88633502650071505</v>
      </c>
      <c r="J413" s="6">
        <v>-4.9155023761258312E-2</v>
      </c>
      <c r="K413" s="6">
        <v>-1.6845308483021044</v>
      </c>
      <c r="L413" s="6">
        <v>-0.27368302109798315</v>
      </c>
      <c r="N413" s="8">
        <f>SQRT((C413-Sheet4!$C$525)^2+(D413-Sheet4!$D$525)^2+(E413-Sheet4!$E$525)^2+(F413-Sheet4!$F$525)^2+(G413-Sheet4!$G$525)^2+(H413-Sheet4!$H$525)^2+(I413-Sheet4!$I$525)^2+(J413-Sheet4!$J$525)^2+(K413-Sheet4!$K$525)^2+(L413-Sheet4!$L$525)^2)</f>
        <v>3.1858379222591395</v>
      </c>
      <c r="O413" s="8">
        <f>SQRT((C413-Sheet4!$C$526)^2+(D413-Sheet4!$D$526)^2+(E413-Sheet4!$E$526)^2+(F413-Sheet4!$F$526)^2+(G413-Sheet4!$G$526)^2+(H413-Sheet4!$H$526)^2+(I413-Sheet4!$I$526)^2+(J413-Sheet4!$J$526)^2+(K413-Sheet4!$K$526)^2+(L413-Sheet4!$L$526)^2)</f>
        <v>2.6364763271066982</v>
      </c>
      <c r="P413" s="12">
        <f t="shared" si="6"/>
        <v>1</v>
      </c>
      <c r="Q413" s="11">
        <f>IF(P413=Sheet1!$M413, 1, 0)</f>
        <v>0</v>
      </c>
    </row>
    <row r="414" spans="1:17" x14ac:dyDescent="0.35">
      <c r="A414" s="6" t="s">
        <v>436</v>
      </c>
      <c r="B414" s="6" t="s">
        <v>451</v>
      </c>
      <c r="C414" s="6">
        <v>-0.46476250116485612</v>
      </c>
      <c r="D414" s="6">
        <v>-0.34777546517302454</v>
      </c>
      <c r="E414" s="6">
        <v>0.60092547612766156</v>
      </c>
      <c r="F414" s="6">
        <v>0.23467842146045328</v>
      </c>
      <c r="G414" s="6">
        <v>3.2865006785385689E-2</v>
      </c>
      <c r="H414" s="6">
        <v>0.94356696084032765</v>
      </c>
      <c r="I414" s="6">
        <v>0.42925050771694617</v>
      </c>
      <c r="J414" s="6">
        <v>-0.379400569517862</v>
      </c>
      <c r="K414" s="6">
        <v>-1.8285017547739189</v>
      </c>
      <c r="L414" s="6">
        <v>-0.17743181227455573</v>
      </c>
      <c r="N414" s="8">
        <f>SQRT((C414-Sheet4!$C$525)^2+(D414-Sheet4!$D$525)^2+(E414-Sheet4!$E$525)^2+(F414-Sheet4!$F$525)^2+(G414-Sheet4!$G$525)^2+(H414-Sheet4!$H$525)^2+(I414-Sheet4!$I$525)^2+(J414-Sheet4!$J$525)^2+(K414-Sheet4!$K$525)^2+(L414-Sheet4!$L$525)^2)</f>
        <v>2.8323025039841077</v>
      </c>
      <c r="O414" s="8">
        <f>SQRT((C414-Sheet4!$C$526)^2+(D414-Sheet4!$D$526)^2+(E414-Sheet4!$E$526)^2+(F414-Sheet4!$F$526)^2+(G414-Sheet4!$G$526)^2+(H414-Sheet4!$H$526)^2+(I414-Sheet4!$I$526)^2+(J414-Sheet4!$J$526)^2+(K414-Sheet4!$K$526)^2+(L414-Sheet4!$L$526)^2)</f>
        <v>2.8487524088651686</v>
      </c>
      <c r="P414" s="12">
        <f t="shared" si="6"/>
        <v>0</v>
      </c>
      <c r="Q414" s="11">
        <f>IF(P414=Sheet1!$M414, 1, 0)</f>
        <v>1</v>
      </c>
    </row>
    <row r="415" spans="1:17" x14ac:dyDescent="0.35">
      <c r="A415" s="6" t="s">
        <v>436</v>
      </c>
      <c r="B415" s="6" t="s">
        <v>452</v>
      </c>
      <c r="C415" s="6">
        <v>2.6417463382054338E-2</v>
      </c>
      <c r="D415" s="6">
        <v>0.29055324195131327</v>
      </c>
      <c r="E415" s="6">
        <v>0.23879613886893963</v>
      </c>
      <c r="F415" s="6">
        <v>0.45961529350783564</v>
      </c>
      <c r="G415" s="6">
        <v>0.36967201341509293</v>
      </c>
      <c r="H415" s="6">
        <v>0.64139306127851359</v>
      </c>
      <c r="I415" s="6">
        <v>-0.7717916587943795</v>
      </c>
      <c r="J415" s="6">
        <v>-1.0322998094044806</v>
      </c>
      <c r="K415" s="6">
        <v>0.49694136497734204</v>
      </c>
      <c r="L415" s="6">
        <v>-0.35688073594403807</v>
      </c>
      <c r="N415" s="8">
        <f>SQRT((C415-Sheet4!$C$525)^2+(D415-Sheet4!$D$525)^2+(E415-Sheet4!$E$525)^2+(F415-Sheet4!$F$525)^2+(G415-Sheet4!$G$525)^2+(H415-Sheet4!$H$525)^2+(I415-Sheet4!$I$525)^2+(J415-Sheet4!$J$525)^2+(K415-Sheet4!$K$525)^2+(L415-Sheet4!$L$525)^2)</f>
        <v>1.9139754326688851</v>
      </c>
      <c r="O415" s="8">
        <f>SQRT((C415-Sheet4!$C$526)^2+(D415-Sheet4!$D$526)^2+(E415-Sheet4!$E$526)^2+(F415-Sheet4!$F$526)^2+(G415-Sheet4!$G$526)^2+(H415-Sheet4!$H$526)^2+(I415-Sheet4!$I$526)^2+(J415-Sheet4!$J$526)^2+(K415-Sheet4!$K$526)^2+(L415-Sheet4!$L$526)^2)</f>
        <v>3.3345516280964311</v>
      </c>
      <c r="P415" s="12">
        <f t="shared" si="6"/>
        <v>0</v>
      </c>
      <c r="Q415" s="11">
        <f>IF(P415=Sheet1!$M415, 1, 0)</f>
        <v>1</v>
      </c>
    </row>
    <row r="416" spans="1:17" x14ac:dyDescent="0.35">
      <c r="A416" s="6" t="s">
        <v>436</v>
      </c>
      <c r="B416" s="6" t="s">
        <v>453</v>
      </c>
      <c r="C416" s="6">
        <v>3.4469593948396965E-2</v>
      </c>
      <c r="D416" s="6">
        <v>-5.3162215731022769E-2</v>
      </c>
      <c r="E416" s="6">
        <v>-7.6915806228440506E-2</v>
      </c>
      <c r="F416" s="6">
        <v>0.14223861103002047</v>
      </c>
      <c r="G416" s="6">
        <v>0.22740008820081875</v>
      </c>
      <c r="H416" s="6">
        <v>0.61122953476253905</v>
      </c>
      <c r="I416" s="6">
        <v>-0.11198346222366763</v>
      </c>
      <c r="J416" s="6">
        <v>-9.8502059334084097E-2</v>
      </c>
      <c r="K416" s="6">
        <v>-0.82070540947121928</v>
      </c>
      <c r="L416" s="6">
        <v>-0.24059208226140524</v>
      </c>
      <c r="N416" s="8">
        <f>SQRT((C416-Sheet4!$C$525)^2+(D416-Sheet4!$D$525)^2+(E416-Sheet4!$E$525)^2+(F416-Sheet4!$F$525)^2+(G416-Sheet4!$G$525)^2+(H416-Sheet4!$H$525)^2+(I416-Sheet4!$I$525)^2+(J416-Sheet4!$J$525)^2+(K416-Sheet4!$K$525)^2+(L416-Sheet4!$L$525)^2)</f>
        <v>1.6467515093116303</v>
      </c>
      <c r="O416" s="8">
        <f>SQRT((C416-Sheet4!$C$526)^2+(D416-Sheet4!$D$526)^2+(E416-Sheet4!$E$526)^2+(F416-Sheet4!$F$526)^2+(G416-Sheet4!$G$526)^2+(H416-Sheet4!$H$526)^2+(I416-Sheet4!$I$526)^2+(J416-Sheet4!$J$526)^2+(K416-Sheet4!$K$526)^2+(L416-Sheet4!$L$526)^2)</f>
        <v>2.6895096731273433</v>
      </c>
      <c r="P416" s="12">
        <f t="shared" si="6"/>
        <v>0</v>
      </c>
      <c r="Q416" s="11">
        <f>IF(P416=Sheet1!$M416, 1, 0)</f>
        <v>1</v>
      </c>
    </row>
    <row r="417" spans="1:17" x14ac:dyDescent="0.35">
      <c r="A417" s="6" t="s">
        <v>436</v>
      </c>
      <c r="B417" s="6" t="s">
        <v>454</v>
      </c>
      <c r="C417" s="6">
        <v>-4.2297183908844934E-4</v>
      </c>
      <c r="D417" s="6">
        <v>4.5042200749644663E-2</v>
      </c>
      <c r="E417" s="6">
        <v>-1.0649431536627154</v>
      </c>
      <c r="F417" s="6">
        <v>-6.7291625945624156E-2</v>
      </c>
      <c r="G417" s="6">
        <v>1.0868386568421351</v>
      </c>
      <c r="H417" s="6">
        <v>0.35268502176847366</v>
      </c>
      <c r="I417" s="6">
        <v>-0.86486605174058673</v>
      </c>
      <c r="J417" s="6">
        <v>-0.74760537340740851</v>
      </c>
      <c r="K417" s="6">
        <v>1.3341634841340873</v>
      </c>
      <c r="L417" s="6">
        <v>-0.35904105098030498</v>
      </c>
      <c r="N417" s="8">
        <f>SQRT((C417-Sheet4!$C$525)^2+(D417-Sheet4!$D$525)^2+(E417-Sheet4!$E$525)^2+(F417-Sheet4!$F$525)^2+(G417-Sheet4!$G$525)^2+(H417-Sheet4!$H$525)^2+(I417-Sheet4!$I$525)^2+(J417-Sheet4!$J$525)^2+(K417-Sheet4!$K$525)^2+(L417-Sheet4!$L$525)^2)</f>
        <v>2.2121646928773386</v>
      </c>
      <c r="O417" s="8">
        <f>SQRT((C417-Sheet4!$C$526)^2+(D417-Sheet4!$D$526)^2+(E417-Sheet4!$E$526)^2+(F417-Sheet4!$F$526)^2+(G417-Sheet4!$G$526)^2+(H417-Sheet4!$H$526)^2+(I417-Sheet4!$I$526)^2+(J417-Sheet4!$J$526)^2+(K417-Sheet4!$K$526)^2+(L417-Sheet4!$L$526)^2)</f>
        <v>4.2424660279122888</v>
      </c>
      <c r="P417" s="12">
        <f t="shared" si="6"/>
        <v>0</v>
      </c>
      <c r="Q417" s="11">
        <f>IF(P417=Sheet1!$M417, 1, 0)</f>
        <v>1</v>
      </c>
    </row>
    <row r="418" spans="1:17" x14ac:dyDescent="0.35">
      <c r="A418" s="6" t="s">
        <v>436</v>
      </c>
      <c r="B418" s="6" t="s">
        <v>455</v>
      </c>
      <c r="C418" s="6">
        <v>0.17672390062045304</v>
      </c>
      <c r="D418" s="6">
        <v>-0.35391324120306611</v>
      </c>
      <c r="E418" s="6">
        <v>0.51987923584595364</v>
      </c>
      <c r="F418" s="6">
        <v>1.4363539934590509E-2</v>
      </c>
      <c r="G418" s="6">
        <v>-0.28652094777726311</v>
      </c>
      <c r="H418" s="6">
        <v>0.88970352063323066</v>
      </c>
      <c r="I418" s="6">
        <v>-7.0546232487342347E-2</v>
      </c>
      <c r="J418" s="6">
        <v>-0.4363394567172762</v>
      </c>
      <c r="K418" s="6">
        <v>-1.000669042560987</v>
      </c>
      <c r="L418" s="6">
        <v>-0.28150977253875203</v>
      </c>
      <c r="N418" s="8">
        <f>SQRT((C418-Sheet4!$C$525)^2+(D418-Sheet4!$D$525)^2+(E418-Sheet4!$E$525)^2+(F418-Sheet4!$F$525)^2+(G418-Sheet4!$G$525)^2+(H418-Sheet4!$H$525)^2+(I418-Sheet4!$I$525)^2+(J418-Sheet4!$J$525)^2+(K418-Sheet4!$K$525)^2+(L418-Sheet4!$L$525)^2)</f>
        <v>1.9475148216375433</v>
      </c>
      <c r="O418" s="8">
        <f>SQRT((C418-Sheet4!$C$526)^2+(D418-Sheet4!$D$526)^2+(E418-Sheet4!$E$526)^2+(F418-Sheet4!$F$526)^2+(G418-Sheet4!$G$526)^2+(H418-Sheet4!$H$526)^2+(I418-Sheet4!$I$526)^2+(J418-Sheet4!$J$526)^2+(K418-Sheet4!$K$526)^2+(L418-Sheet4!$L$526)^2)</f>
        <v>3.0654412701986478</v>
      </c>
      <c r="P418" s="12">
        <f t="shared" si="6"/>
        <v>0</v>
      </c>
      <c r="Q418" s="11">
        <f>IF(P418=Sheet1!$M418, 1, 0)</f>
        <v>1</v>
      </c>
    </row>
    <row r="419" spans="1:17" x14ac:dyDescent="0.35">
      <c r="A419" s="6" t="s">
        <v>436</v>
      </c>
      <c r="B419" s="6" t="s">
        <v>456</v>
      </c>
      <c r="C419" s="6">
        <v>-0.7157205704825399</v>
      </c>
      <c r="D419" s="6">
        <v>0.22917548165089638</v>
      </c>
      <c r="E419" s="6">
        <v>0.94353003731851748</v>
      </c>
      <c r="F419" s="6">
        <v>0.52586382431631262</v>
      </c>
      <c r="G419" s="6">
        <v>0.28256675307982132</v>
      </c>
      <c r="H419" s="6">
        <v>0.842842327653056</v>
      </c>
      <c r="I419" s="6">
        <v>-0.38419418679921724</v>
      </c>
      <c r="J419" s="6">
        <v>-3.7767246321375333E-2</v>
      </c>
      <c r="K419" s="6">
        <v>0.57518642284245847</v>
      </c>
      <c r="L419" s="6">
        <v>-0.12398216767400883</v>
      </c>
      <c r="N419" s="8">
        <f>SQRT((C419-Sheet4!$C$525)^2+(D419-Sheet4!$D$525)^2+(E419-Sheet4!$E$525)^2+(F419-Sheet4!$F$525)^2+(G419-Sheet4!$G$525)^2+(H419-Sheet4!$H$525)^2+(I419-Sheet4!$I$525)^2+(J419-Sheet4!$J$525)^2+(K419-Sheet4!$K$525)^2+(L419-Sheet4!$L$525)^2)</f>
        <v>2.3931544500279416</v>
      </c>
      <c r="O419" s="8">
        <f>SQRT((C419-Sheet4!$C$526)^2+(D419-Sheet4!$D$526)^2+(E419-Sheet4!$E$526)^2+(F419-Sheet4!$F$526)^2+(G419-Sheet4!$G$526)^2+(H419-Sheet4!$H$526)^2+(I419-Sheet4!$I$526)^2+(J419-Sheet4!$J$526)^2+(K419-Sheet4!$K$526)^2+(L419-Sheet4!$L$526)^2)</f>
        <v>2.3843474727563976</v>
      </c>
      <c r="P419" s="12">
        <f t="shared" si="6"/>
        <v>1</v>
      </c>
      <c r="Q419" s="11">
        <f>IF(P419=Sheet1!$M419, 1, 0)</f>
        <v>0</v>
      </c>
    </row>
    <row r="420" spans="1:17" x14ac:dyDescent="0.35">
      <c r="A420" s="6" t="s">
        <v>436</v>
      </c>
      <c r="B420" s="6" t="s">
        <v>457</v>
      </c>
      <c r="C420" s="6">
        <v>-3.7999581148688066E-2</v>
      </c>
      <c r="D420" s="6">
        <v>-0.11453997603143964</v>
      </c>
      <c r="E420" s="6">
        <v>-0.80706875276637213</v>
      </c>
      <c r="F420" s="6">
        <v>-2.723437475910305E-2</v>
      </c>
      <c r="G420" s="6">
        <v>1.0897421655199746</v>
      </c>
      <c r="H420" s="6">
        <v>0.56113653536993924</v>
      </c>
      <c r="I420" s="6">
        <v>-0.78645406316261779</v>
      </c>
      <c r="J420" s="6">
        <v>-0.92980981244553462</v>
      </c>
      <c r="K420" s="6">
        <v>0.32793203998869075</v>
      </c>
      <c r="L420" s="6">
        <v>-0.34700249072176714</v>
      </c>
      <c r="N420" s="8">
        <f>SQRT((C420-Sheet4!$C$525)^2+(D420-Sheet4!$D$525)^2+(E420-Sheet4!$E$525)^2+(F420-Sheet4!$F$525)^2+(G420-Sheet4!$G$525)^2+(H420-Sheet4!$H$525)^2+(I420-Sheet4!$I$525)^2+(J420-Sheet4!$J$525)^2+(K420-Sheet4!$K$525)^2+(L420-Sheet4!$L$525)^2)</f>
        <v>1.9166550151585504</v>
      </c>
      <c r="O420" s="8">
        <f>SQRT((C420-Sheet4!$C$526)^2+(D420-Sheet4!$D$526)^2+(E420-Sheet4!$E$526)^2+(F420-Sheet4!$F$526)^2+(G420-Sheet4!$G$526)^2+(H420-Sheet4!$H$526)^2+(I420-Sheet4!$I$526)^2+(J420-Sheet4!$J$526)^2+(K420-Sheet4!$K$526)^2+(L420-Sheet4!$L$526)^2)</f>
        <v>3.8281605856402918</v>
      </c>
      <c r="P420" s="12">
        <f t="shared" si="6"/>
        <v>0</v>
      </c>
      <c r="Q420" s="11">
        <f>IF(P420=Sheet1!$M420, 1, 0)</f>
        <v>1</v>
      </c>
    </row>
    <row r="421" spans="1:17" x14ac:dyDescent="0.35">
      <c r="A421" s="6" t="s">
        <v>436</v>
      </c>
      <c r="B421" s="6" t="s">
        <v>458</v>
      </c>
      <c r="C421" s="6">
        <v>-1.0002291838266519</v>
      </c>
      <c r="D421" s="6">
        <v>1.8372728015218238</v>
      </c>
      <c r="E421" s="6">
        <v>2.494828754710662</v>
      </c>
      <c r="F421" s="6">
        <v>1.9617622130023473</v>
      </c>
      <c r="G421" s="6">
        <v>0.71809305475616292</v>
      </c>
      <c r="H421" s="6">
        <v>0.89131942383944363</v>
      </c>
      <c r="I421" s="6">
        <v>0.92075980197396912</v>
      </c>
      <c r="J421" s="6">
        <v>3.082483772206535</v>
      </c>
      <c r="K421" s="6">
        <v>-1.5280407325718715</v>
      </c>
      <c r="L421" s="6">
        <v>2.1803690407938481</v>
      </c>
      <c r="N421" s="8">
        <f>SQRT((C421-Sheet4!$C$525)^2+(D421-Sheet4!$D$525)^2+(E421-Sheet4!$E$525)^2+(F421-Sheet4!$F$525)^2+(G421-Sheet4!$G$525)^2+(H421-Sheet4!$H$525)^2+(I421-Sheet4!$I$525)^2+(J421-Sheet4!$J$525)^2+(K421-Sheet4!$K$525)^2+(L421-Sheet4!$L$525)^2)</f>
        <v>6.6992405356466795</v>
      </c>
      <c r="O421" s="8">
        <f>SQRT((C421-Sheet4!$C$526)^2+(D421-Sheet4!$D$526)^2+(E421-Sheet4!$E$526)^2+(F421-Sheet4!$F$526)^2+(G421-Sheet4!$G$526)^2+(H421-Sheet4!$H$526)^2+(I421-Sheet4!$I$526)^2+(J421-Sheet4!$J$526)^2+(K421-Sheet4!$K$526)^2+(L421-Sheet4!$L$526)^2)</f>
        <v>3.3056419805523007</v>
      </c>
      <c r="P421" s="12">
        <f t="shared" si="6"/>
        <v>1</v>
      </c>
      <c r="Q421" s="11">
        <f>IF(P421=Sheet1!$M421, 1, 0)</f>
        <v>0</v>
      </c>
    </row>
    <row r="422" spans="1:17" x14ac:dyDescent="0.35">
      <c r="A422" s="6" t="s">
        <v>436</v>
      </c>
      <c r="B422" s="6" t="s">
        <v>459</v>
      </c>
      <c r="C422" s="6">
        <v>-0.92239192168533823</v>
      </c>
      <c r="D422" s="6">
        <v>1.3585262711785708</v>
      </c>
      <c r="E422" s="6">
        <v>1.2750828384709587</v>
      </c>
      <c r="F422" s="6">
        <v>1.2761669523099801</v>
      </c>
      <c r="G422" s="6">
        <v>0.48000534317309818</v>
      </c>
      <c r="H422" s="6">
        <v>1.131550367163096</v>
      </c>
      <c r="I422" s="6">
        <v>0.88952250571120139</v>
      </c>
      <c r="J422" s="6">
        <v>0.63031569681842048</v>
      </c>
      <c r="K422" s="6">
        <v>-0.39505229468498598</v>
      </c>
      <c r="L422" s="6">
        <v>-0.35108146990886402</v>
      </c>
      <c r="N422" s="8">
        <f>SQRT((C422-Sheet4!$C$525)^2+(D422-Sheet4!$D$525)^2+(E422-Sheet4!$E$525)^2+(F422-Sheet4!$F$525)^2+(G422-Sheet4!$G$525)^2+(H422-Sheet4!$H$525)^2+(I422-Sheet4!$I$525)^2+(J422-Sheet4!$J$525)^2+(K422-Sheet4!$K$525)^2+(L422-Sheet4!$L$525)^2)</f>
        <v>3.8922031566356456</v>
      </c>
      <c r="O422" s="8">
        <f>SQRT((C422-Sheet4!$C$526)^2+(D422-Sheet4!$D$526)^2+(E422-Sheet4!$E$526)^2+(F422-Sheet4!$F$526)^2+(G422-Sheet4!$G$526)^2+(H422-Sheet4!$H$526)^2+(I422-Sheet4!$I$526)^2+(J422-Sheet4!$J$526)^2+(K422-Sheet4!$K$526)^2+(L422-Sheet4!$L$526)^2)</f>
        <v>1.3576030989401093</v>
      </c>
      <c r="P422" s="12">
        <f t="shared" si="6"/>
        <v>1</v>
      </c>
      <c r="Q422" s="11">
        <f>IF(P422=Sheet1!$M422, 1, 0)</f>
        <v>0</v>
      </c>
    </row>
    <row r="423" spans="1:17" x14ac:dyDescent="0.35">
      <c r="A423" s="6" t="s">
        <v>436</v>
      </c>
      <c r="B423" s="6" t="s">
        <v>460</v>
      </c>
      <c r="C423" s="6">
        <v>-0.55467795915568396</v>
      </c>
      <c r="D423" s="6">
        <v>1.5365217760497798</v>
      </c>
      <c r="E423" s="6">
        <v>1.0286285896143106</v>
      </c>
      <c r="F423" s="6">
        <v>1.3023582319319358</v>
      </c>
      <c r="G423" s="6">
        <v>0.3667685047372492</v>
      </c>
      <c r="H423" s="6">
        <v>0.80190611309566284</v>
      </c>
      <c r="I423" s="6">
        <v>0.70656119902927417</v>
      </c>
      <c r="J423" s="6">
        <v>1.4312560434235169</v>
      </c>
      <c r="K423" s="6">
        <v>-1.4889182036393132</v>
      </c>
      <c r="L423" s="6">
        <v>-0.33841158757055206</v>
      </c>
      <c r="N423" s="8">
        <f>SQRT((C423-Sheet4!$C$525)^2+(D423-Sheet4!$D$525)^2+(E423-Sheet4!$E$525)^2+(F423-Sheet4!$F$525)^2+(G423-Sheet4!$G$525)^2+(H423-Sheet4!$H$525)^2+(I423-Sheet4!$I$525)^2+(J423-Sheet4!$J$525)^2+(K423-Sheet4!$K$525)^2+(L423-Sheet4!$L$525)^2)</f>
        <v>4.2226952606099486</v>
      </c>
      <c r="O423" s="8">
        <f>SQRT((C423-Sheet4!$C$526)^2+(D423-Sheet4!$D$526)^2+(E423-Sheet4!$E$526)^2+(F423-Sheet4!$F$526)^2+(G423-Sheet4!$G$526)^2+(H423-Sheet4!$H$526)^2+(I423-Sheet4!$I$526)^2+(J423-Sheet4!$J$526)^2+(K423-Sheet4!$K$526)^2+(L423-Sheet4!$L$526)^2)</f>
        <v>1.5857208733831269</v>
      </c>
      <c r="P423" s="12">
        <f t="shared" si="6"/>
        <v>1</v>
      </c>
      <c r="Q423" s="11">
        <f>IF(P423=Sheet1!$M423, 1, 0)</f>
        <v>0</v>
      </c>
    </row>
    <row r="424" spans="1:17" x14ac:dyDescent="0.35">
      <c r="A424" s="6" t="s">
        <v>461</v>
      </c>
      <c r="B424" s="6" t="s">
        <v>462</v>
      </c>
      <c r="C424" s="6">
        <v>0.22101061873533842</v>
      </c>
      <c r="D424" s="6">
        <v>-0.31708658502281611</v>
      </c>
      <c r="E424" s="6">
        <v>-1.1054662738035692</v>
      </c>
      <c r="F424" s="6">
        <v>-0.5556819577197375</v>
      </c>
      <c r="G424" s="6">
        <v>-0.36781919075684721</v>
      </c>
      <c r="H424" s="6">
        <v>0.11676315366138909</v>
      </c>
      <c r="I424" s="6">
        <v>0.81876046723840046</v>
      </c>
      <c r="J424" s="6">
        <v>-0.12127761421384972</v>
      </c>
      <c r="K424" s="6">
        <v>-0.78940738632517227</v>
      </c>
      <c r="L424" s="6">
        <v>-0.39944980129945162</v>
      </c>
      <c r="N424" s="8">
        <f>SQRT((C424-Sheet4!$C$525)^2+(D424-Sheet4!$D$525)^2+(E424-Sheet4!$E$525)^2+(F424-Sheet4!$F$525)^2+(G424-Sheet4!$G$525)^2+(H424-Sheet4!$H$525)^2+(I424-Sheet4!$I$525)^2+(J424-Sheet4!$J$525)^2+(K424-Sheet4!$K$525)^2+(L424-Sheet4!$L$525)^2)</f>
        <v>1.7016161977156763</v>
      </c>
      <c r="O424" s="8">
        <f>SQRT((C424-Sheet4!$C$526)^2+(D424-Sheet4!$D$526)^2+(E424-Sheet4!$E$526)^2+(F424-Sheet4!$F$526)^2+(G424-Sheet4!$G$526)^2+(H424-Sheet4!$H$526)^2+(I424-Sheet4!$I$526)^2+(J424-Sheet4!$J$526)^2+(K424-Sheet4!$K$526)^2+(L424-Sheet4!$L$526)^2)</f>
        <v>3.8227604693684203</v>
      </c>
      <c r="P424" s="12">
        <f t="shared" si="6"/>
        <v>0</v>
      </c>
      <c r="Q424" s="11">
        <f>IF(P424=Sheet1!$M424, 1, 0)</f>
        <v>1</v>
      </c>
    </row>
    <row r="425" spans="1:17" x14ac:dyDescent="0.35">
      <c r="A425" s="6" t="s">
        <v>461</v>
      </c>
      <c r="B425" s="6" t="s">
        <v>463</v>
      </c>
      <c r="C425" s="6">
        <v>0.17001379181516729</v>
      </c>
      <c r="D425" s="6">
        <v>1.4353320599436772E-2</v>
      </c>
      <c r="E425" s="6">
        <v>-0.77612382465881091</v>
      </c>
      <c r="F425" s="6">
        <v>-0.11659285817518657</v>
      </c>
      <c r="G425" s="6">
        <v>0.21868956216729157</v>
      </c>
      <c r="H425" s="6">
        <v>0.14261760496079509</v>
      </c>
      <c r="I425" s="6">
        <v>0.44391291208518358</v>
      </c>
      <c r="J425" s="6">
        <v>-3.3971320508081118E-2</v>
      </c>
      <c r="K425" s="6">
        <v>-0.46390794560628812</v>
      </c>
      <c r="L425" s="6">
        <v>-0.34966833982826817</v>
      </c>
      <c r="N425" s="8">
        <f>SQRT((C425-Sheet4!$C$525)^2+(D425-Sheet4!$D$525)^2+(E425-Sheet4!$E$525)^2+(F425-Sheet4!$F$525)^2+(G425-Sheet4!$G$525)^2+(H425-Sheet4!$H$525)^2+(I425-Sheet4!$I$525)^2+(J425-Sheet4!$J$525)^2+(K425-Sheet4!$K$525)^2+(L425-Sheet4!$L$525)^2)</f>
        <v>1.3697782323582641</v>
      </c>
      <c r="O425" s="8">
        <f>SQRT((C425-Sheet4!$C$526)^2+(D425-Sheet4!$D$526)^2+(E425-Sheet4!$E$526)^2+(F425-Sheet4!$F$526)^2+(G425-Sheet4!$G$526)^2+(H425-Sheet4!$H$526)^2+(I425-Sheet4!$I$526)^2+(J425-Sheet4!$J$526)^2+(K425-Sheet4!$K$526)^2+(L425-Sheet4!$L$526)^2)</f>
        <v>3.115439122100629</v>
      </c>
      <c r="P425" s="12">
        <f t="shared" si="6"/>
        <v>0</v>
      </c>
      <c r="Q425" s="11">
        <f>IF(P425=Sheet1!$M425, 1, 0)</f>
        <v>1</v>
      </c>
    </row>
    <row r="426" spans="1:17" x14ac:dyDescent="0.35">
      <c r="A426" s="6" t="s">
        <v>461</v>
      </c>
      <c r="B426" s="6" t="s">
        <v>464</v>
      </c>
      <c r="C426" s="6">
        <v>0.10157068200125358</v>
      </c>
      <c r="D426" s="6">
        <v>0.47468652285256496</v>
      </c>
      <c r="E426" s="6">
        <v>-6.4022086183623345E-2</v>
      </c>
      <c r="F426" s="6">
        <v>0.23930041198197502</v>
      </c>
      <c r="G426" s="6">
        <v>0.1925579840667101</v>
      </c>
      <c r="H426" s="6">
        <v>0.6742497598048427</v>
      </c>
      <c r="I426" s="6">
        <v>7.416532366874598E-2</v>
      </c>
      <c r="J426" s="6">
        <v>-0.18960427885314726</v>
      </c>
      <c r="K426" s="6">
        <v>8.3807459449527055E-2</v>
      </c>
      <c r="L426" s="6">
        <v>-0.29540686108575182</v>
      </c>
      <c r="N426" s="8">
        <f>SQRT((C426-Sheet4!$C$525)^2+(D426-Sheet4!$D$525)^2+(E426-Sheet4!$E$525)^2+(F426-Sheet4!$F$525)^2+(G426-Sheet4!$G$525)^2+(H426-Sheet4!$H$525)^2+(I426-Sheet4!$I$525)^2+(J426-Sheet4!$J$525)^2+(K426-Sheet4!$K$525)^2+(L426-Sheet4!$L$525)^2)</f>
        <v>1.5835252406215272</v>
      </c>
      <c r="O426" s="8">
        <f>SQRT((C426-Sheet4!$C$526)^2+(D426-Sheet4!$D$526)^2+(E426-Sheet4!$E$526)^2+(F426-Sheet4!$F$526)^2+(G426-Sheet4!$G$526)^2+(H426-Sheet4!$H$526)^2+(I426-Sheet4!$I$526)^2+(J426-Sheet4!$J$526)^2+(K426-Sheet4!$K$526)^2+(L426-Sheet4!$L$526)^2)</f>
        <v>2.5932691330679711</v>
      </c>
      <c r="P426" s="12">
        <f t="shared" si="6"/>
        <v>0</v>
      </c>
      <c r="Q426" s="11">
        <f>IF(P426=Sheet1!$M426, 1, 0)</f>
        <v>1</v>
      </c>
    </row>
    <row r="427" spans="1:17" x14ac:dyDescent="0.35">
      <c r="A427" s="6" t="s">
        <v>461</v>
      </c>
      <c r="B427" s="6" t="s">
        <v>465</v>
      </c>
      <c r="C427" s="6">
        <v>2.1049376337825686E-2</v>
      </c>
      <c r="D427" s="6">
        <v>0.33965545019164695</v>
      </c>
      <c r="E427" s="6">
        <v>0.81054052485626049</v>
      </c>
      <c r="F427" s="6">
        <v>0.55975842147413724</v>
      </c>
      <c r="G427" s="6">
        <v>0.45097025639467292</v>
      </c>
      <c r="H427" s="6">
        <v>0.54659340651402255</v>
      </c>
      <c r="I427" s="6">
        <v>3.5278077300810312E-2</v>
      </c>
      <c r="J427" s="6">
        <v>-0.54642130530281074</v>
      </c>
      <c r="K427" s="6">
        <v>5.72041397753872E-2</v>
      </c>
      <c r="L427" s="6">
        <v>-6.1948013797814845E-2</v>
      </c>
      <c r="N427" s="8">
        <f>SQRT((C427-Sheet4!$C$525)^2+(D427-Sheet4!$D$525)^2+(E427-Sheet4!$E$525)^2+(F427-Sheet4!$F$525)^2+(G427-Sheet4!$G$525)^2+(H427-Sheet4!$H$525)^2+(I427-Sheet4!$I$525)^2+(J427-Sheet4!$J$525)^2+(K427-Sheet4!$K$525)^2+(L427-Sheet4!$L$525)^2)</f>
        <v>2.0728221870922656</v>
      </c>
      <c r="O427" s="8">
        <f>SQRT((C427-Sheet4!$C$526)^2+(D427-Sheet4!$D$526)^2+(E427-Sheet4!$E$526)^2+(F427-Sheet4!$F$526)^2+(G427-Sheet4!$G$526)^2+(H427-Sheet4!$H$526)^2+(I427-Sheet4!$I$526)^2+(J427-Sheet4!$J$526)^2+(K427-Sheet4!$K$526)^2+(L427-Sheet4!$L$526)^2)</f>
        <v>2.3283930832644644</v>
      </c>
      <c r="P427" s="12">
        <f t="shared" si="6"/>
        <v>0</v>
      </c>
      <c r="Q427" s="11">
        <f>IF(P427=Sheet1!$M427, 1, 0)</f>
        <v>1</v>
      </c>
    </row>
    <row r="428" spans="1:17" x14ac:dyDescent="0.35">
      <c r="A428" s="6" t="s">
        <v>461</v>
      </c>
      <c r="B428" s="6" t="s">
        <v>466</v>
      </c>
      <c r="C428" s="6">
        <v>-0.12523099561740172</v>
      </c>
      <c r="D428" s="6">
        <v>-0.20046884045202393</v>
      </c>
      <c r="E428" s="6">
        <v>-0.46630615158191868</v>
      </c>
      <c r="F428" s="6">
        <v>-0.20749200509844473</v>
      </c>
      <c r="G428" s="6">
        <v>0.35225096134803863</v>
      </c>
      <c r="H428" s="6">
        <v>-2.4359059681205286E-2</v>
      </c>
      <c r="I428" s="6">
        <v>0.11815253677345998</v>
      </c>
      <c r="J428" s="6">
        <v>-1.1082183256703664</v>
      </c>
      <c r="K428" s="6">
        <v>0.39365788859538886</v>
      </c>
      <c r="L428" s="6">
        <v>-0.27808146421827878</v>
      </c>
      <c r="N428" s="8">
        <f>SQRT((C428-Sheet4!$C$525)^2+(D428-Sheet4!$D$525)^2+(E428-Sheet4!$E$525)^2+(F428-Sheet4!$F$525)^2+(G428-Sheet4!$G$525)^2+(H428-Sheet4!$H$525)^2+(I428-Sheet4!$I$525)^2+(J428-Sheet4!$J$525)^2+(K428-Sheet4!$K$525)^2+(L428-Sheet4!$L$525)^2)</f>
        <v>1.1806243251945872</v>
      </c>
      <c r="O428" s="8">
        <f>SQRT((C428-Sheet4!$C$526)^2+(D428-Sheet4!$D$526)^2+(E428-Sheet4!$E$526)^2+(F428-Sheet4!$F$526)^2+(G428-Sheet4!$G$526)^2+(H428-Sheet4!$H$526)^2+(I428-Sheet4!$I$526)^2+(J428-Sheet4!$J$526)^2+(K428-Sheet4!$K$526)^2+(L428-Sheet4!$L$526)^2)</f>
        <v>3.6831821712583479</v>
      </c>
      <c r="P428" s="12">
        <f t="shared" si="6"/>
        <v>0</v>
      </c>
      <c r="Q428" s="11">
        <f>IF(P428=Sheet1!$M428, 1, 0)</f>
        <v>1</v>
      </c>
    </row>
    <row r="429" spans="1:17" x14ac:dyDescent="0.35">
      <c r="A429" s="6" t="s">
        <v>461</v>
      </c>
      <c r="B429" s="6" t="s">
        <v>467</v>
      </c>
      <c r="C429" s="6">
        <v>-0.2030682577587154</v>
      </c>
      <c r="D429" s="6">
        <v>-0.24343327266231607</v>
      </c>
      <c r="E429" s="6">
        <v>-0.74223176054100581</v>
      </c>
      <c r="F429" s="6">
        <v>-0.56646660226995338</v>
      </c>
      <c r="G429" s="6">
        <v>-0.16457358330788699</v>
      </c>
      <c r="H429" s="6">
        <v>0.28535572150960242</v>
      </c>
      <c r="I429" s="6">
        <v>0.44136292871679483</v>
      </c>
      <c r="J429" s="6">
        <v>-0.71723796690105412</v>
      </c>
      <c r="K429" s="6">
        <v>0.51728508002227158</v>
      </c>
      <c r="L429" s="6">
        <v>-0.35710339325793472</v>
      </c>
      <c r="N429" s="8">
        <f>SQRT((C429-Sheet4!$C$525)^2+(D429-Sheet4!$D$525)^2+(E429-Sheet4!$E$525)^2+(F429-Sheet4!$F$525)^2+(G429-Sheet4!$G$525)^2+(H429-Sheet4!$H$525)^2+(I429-Sheet4!$I$525)^2+(J429-Sheet4!$J$525)^2+(K429-Sheet4!$K$525)^2+(L429-Sheet4!$L$525)^2)</f>
        <v>1.1654865984531086</v>
      </c>
      <c r="O429" s="8">
        <f>SQRT((C429-Sheet4!$C$526)^2+(D429-Sheet4!$D$526)^2+(E429-Sheet4!$E$526)^2+(F429-Sheet4!$F$526)^2+(G429-Sheet4!$G$526)^2+(H429-Sheet4!$H$526)^2+(I429-Sheet4!$I$526)^2+(J429-Sheet4!$J$526)^2+(K429-Sheet4!$K$526)^2+(L429-Sheet4!$L$526)^2)</f>
        <v>3.831949380852278</v>
      </c>
      <c r="P429" s="12">
        <f t="shared" si="6"/>
        <v>0</v>
      </c>
      <c r="Q429" s="11">
        <f>IF(P429=Sheet1!$M429, 1, 0)</f>
        <v>1</v>
      </c>
    </row>
    <row r="430" spans="1:17" x14ac:dyDescent="0.35">
      <c r="A430" s="6" t="s">
        <v>461</v>
      </c>
      <c r="B430" s="6" t="s">
        <v>468</v>
      </c>
      <c r="C430" s="6">
        <v>0.35387077307999454</v>
      </c>
      <c r="D430" s="6">
        <v>-0.16977996030181494</v>
      </c>
      <c r="E430" s="6">
        <v>-0.38489151929893034</v>
      </c>
      <c r="F430" s="6">
        <v>-8.7464126730160494E-3</v>
      </c>
      <c r="G430" s="6">
        <v>0.23901412291218965</v>
      </c>
      <c r="H430" s="6">
        <v>0.41947568762527365</v>
      </c>
      <c r="I430" s="6">
        <v>0.57906203060981287</v>
      </c>
      <c r="J430" s="6">
        <v>-1.0474835126576578</v>
      </c>
      <c r="K430" s="6">
        <v>0.18239623235957309</v>
      </c>
      <c r="L430" s="6">
        <v>-0.39163838680203855</v>
      </c>
      <c r="N430" s="8">
        <f>SQRT((C430-Sheet4!$C$525)^2+(D430-Sheet4!$D$525)^2+(E430-Sheet4!$E$525)^2+(F430-Sheet4!$F$525)^2+(G430-Sheet4!$G$525)^2+(H430-Sheet4!$H$525)^2+(I430-Sheet4!$I$525)^2+(J430-Sheet4!$J$525)^2+(K430-Sheet4!$K$525)^2+(L430-Sheet4!$L$525)^2)</f>
        <v>1.4536675613459347</v>
      </c>
      <c r="O430" s="8">
        <f>SQRT((C430-Sheet4!$C$526)^2+(D430-Sheet4!$D$526)^2+(E430-Sheet4!$E$526)^2+(F430-Sheet4!$F$526)^2+(G430-Sheet4!$G$526)^2+(H430-Sheet4!$H$526)^2+(I430-Sheet4!$I$526)^2+(J430-Sheet4!$J$526)^2+(K430-Sheet4!$K$526)^2+(L430-Sheet4!$L$526)^2)</f>
        <v>3.5313327164626465</v>
      </c>
      <c r="P430" s="12">
        <f t="shared" si="6"/>
        <v>0</v>
      </c>
      <c r="Q430" s="11">
        <f>IF(P430=Sheet1!$M430, 1, 0)</f>
        <v>1</v>
      </c>
    </row>
    <row r="431" spans="1:17" x14ac:dyDescent="0.35">
      <c r="A431" s="6" t="s">
        <v>461</v>
      </c>
      <c r="B431" s="6" t="s">
        <v>469</v>
      </c>
      <c r="C431" s="6">
        <v>0.20356433584159561</v>
      </c>
      <c r="D431" s="6">
        <v>-0.13295330412156439</v>
      </c>
      <c r="E431" s="6">
        <v>-2.9761630064537754E-2</v>
      </c>
      <c r="F431" s="6">
        <v>-6.5750962438449509E-2</v>
      </c>
      <c r="G431" s="6">
        <v>0.20417201877808103</v>
      </c>
      <c r="H431" s="6">
        <v>0.48357318147171974</v>
      </c>
      <c r="I431" s="6">
        <v>0.12006502429975198</v>
      </c>
      <c r="J431" s="6">
        <v>-0.71344204108775977</v>
      </c>
      <c r="K431" s="6">
        <v>1.6111509889766009</v>
      </c>
      <c r="L431" s="6">
        <v>-0.32259048574806409</v>
      </c>
      <c r="N431" s="8">
        <f>SQRT((C431-Sheet4!$C$525)^2+(D431-Sheet4!$D$525)^2+(E431-Sheet4!$E$525)^2+(F431-Sheet4!$F$525)^2+(G431-Sheet4!$G$525)^2+(H431-Sheet4!$H$525)^2+(I431-Sheet4!$I$525)^2+(J431-Sheet4!$J$525)^2+(K431-Sheet4!$K$525)^2+(L431-Sheet4!$L$525)^2)</f>
        <v>1.8239410075233493</v>
      </c>
      <c r="O431" s="8">
        <f>SQRT((C431-Sheet4!$C$526)^2+(D431-Sheet4!$D$526)^2+(E431-Sheet4!$E$526)^2+(F431-Sheet4!$F$526)^2+(G431-Sheet4!$G$526)^2+(H431-Sheet4!$H$526)^2+(I431-Sheet4!$I$526)^2+(J431-Sheet4!$J$526)^2+(K431-Sheet4!$K$526)^2+(L431-Sheet4!$L$526)^2)</f>
        <v>3.7974821000202437</v>
      </c>
      <c r="P431" s="12">
        <f t="shared" si="6"/>
        <v>0</v>
      </c>
      <c r="Q431" s="11">
        <f>IF(P431=Sheet1!$M431, 1, 0)</f>
        <v>1</v>
      </c>
    </row>
    <row r="432" spans="1:17" x14ac:dyDescent="0.35">
      <c r="A432" s="6" t="s">
        <v>461</v>
      </c>
      <c r="B432" s="6" t="s">
        <v>470</v>
      </c>
      <c r="C432" s="6">
        <v>0.35118672955788033</v>
      </c>
      <c r="D432" s="6">
        <v>0.3028287940113964</v>
      </c>
      <c r="E432" s="6">
        <v>-1.0421028495833249</v>
      </c>
      <c r="F432" s="6">
        <v>-0.28452518045713765</v>
      </c>
      <c r="G432" s="6">
        <v>0.36967201341509293</v>
      </c>
      <c r="H432" s="6">
        <v>-0.41863944199715492</v>
      </c>
      <c r="I432" s="6">
        <v>0.4273380201906542</v>
      </c>
      <c r="J432" s="6">
        <v>-0.78176870572705714</v>
      </c>
      <c r="K432" s="6">
        <v>0.96484681101073766</v>
      </c>
      <c r="L432" s="6">
        <v>-0.40999123350424566</v>
      </c>
      <c r="N432" s="8">
        <f>SQRT((C432-Sheet4!$C$525)^2+(D432-Sheet4!$D$525)^2+(E432-Sheet4!$E$525)^2+(F432-Sheet4!$F$525)^2+(G432-Sheet4!$G$525)^2+(H432-Sheet4!$H$525)^2+(I432-Sheet4!$I$525)^2+(J432-Sheet4!$J$525)^2+(K432-Sheet4!$K$525)^2+(L432-Sheet4!$L$525)^2)</f>
        <v>1.6200887081801356</v>
      </c>
      <c r="O432" s="8">
        <f>SQRT((C432-Sheet4!$C$526)^2+(D432-Sheet4!$D$526)^2+(E432-Sheet4!$E$526)^2+(F432-Sheet4!$F$526)^2+(G432-Sheet4!$G$526)^2+(H432-Sheet4!$H$526)^2+(I432-Sheet4!$I$526)^2+(J432-Sheet4!$J$526)^2+(K432-Sheet4!$K$526)^2+(L432-Sheet4!$L$526)^2)</f>
        <v>4.0572429988149512</v>
      </c>
      <c r="P432" s="12">
        <f t="shared" si="6"/>
        <v>0</v>
      </c>
      <c r="Q432" s="11">
        <f>IF(P432=Sheet1!$M432, 1, 0)</f>
        <v>1</v>
      </c>
    </row>
    <row r="433" spans="1:17" x14ac:dyDescent="0.35">
      <c r="A433" s="6" t="s">
        <v>461</v>
      </c>
      <c r="B433" s="6" t="s">
        <v>471</v>
      </c>
      <c r="C433" s="6">
        <v>0.27469148917762376</v>
      </c>
      <c r="D433" s="6">
        <v>0.5299265071229402</v>
      </c>
      <c r="E433" s="6">
        <v>-0.42136232742569885</v>
      </c>
      <c r="F433" s="6">
        <v>4.6717473585242759E-2</v>
      </c>
      <c r="G433" s="6">
        <v>-3.6819201482827475E-2</v>
      </c>
      <c r="H433" s="6">
        <v>-3.3515844516411868E-2</v>
      </c>
      <c r="I433" s="6">
        <v>-0.25988249759024229</v>
      </c>
      <c r="J433" s="6">
        <v>-0.64511537644846251</v>
      </c>
      <c r="K433" s="6">
        <v>0.17770152888766591</v>
      </c>
      <c r="L433" s="6">
        <v>-0.39713574071929858</v>
      </c>
      <c r="N433" s="8">
        <f>SQRT((C433-Sheet4!$C$525)^2+(D433-Sheet4!$D$525)^2+(E433-Sheet4!$E$525)^2+(F433-Sheet4!$F$525)^2+(G433-Sheet4!$G$525)^2+(H433-Sheet4!$H$525)^2+(I433-Sheet4!$I$525)^2+(J433-Sheet4!$J$525)^2+(K433-Sheet4!$K$525)^2+(L433-Sheet4!$L$525)^2)</f>
        <v>1.1093353643713759</v>
      </c>
      <c r="O433" s="8">
        <f>SQRT((C433-Sheet4!$C$526)^2+(D433-Sheet4!$D$526)^2+(E433-Sheet4!$E$526)^2+(F433-Sheet4!$F$526)^2+(G433-Sheet4!$G$526)^2+(H433-Sheet4!$H$526)^2+(I433-Sheet4!$I$526)^2+(J433-Sheet4!$J$526)^2+(K433-Sheet4!$K$526)^2+(L433-Sheet4!$L$526)^2)</f>
        <v>3.3703188691699917</v>
      </c>
      <c r="P433" s="12">
        <f t="shared" si="6"/>
        <v>0</v>
      </c>
      <c r="Q433" s="11">
        <f>IF(P433=Sheet1!$M433, 1, 0)</f>
        <v>1</v>
      </c>
    </row>
    <row r="434" spans="1:17" x14ac:dyDescent="0.35">
      <c r="A434" s="6" t="s">
        <v>461</v>
      </c>
      <c r="B434" s="6" t="s">
        <v>472</v>
      </c>
      <c r="C434" s="6">
        <v>0.2787175544607951</v>
      </c>
      <c r="D434" s="6">
        <v>-0.36618879326314979</v>
      </c>
      <c r="E434" s="6">
        <v>-0.94742610525423887</v>
      </c>
      <c r="F434" s="6">
        <v>-0.33382641268670005</v>
      </c>
      <c r="G434" s="6">
        <v>0.91843515352727934</v>
      </c>
      <c r="H434" s="6">
        <v>0.60368865313354547</v>
      </c>
      <c r="I434" s="6">
        <v>0.55674967613640747</v>
      </c>
      <c r="J434" s="6">
        <v>-0.61474796994210812</v>
      </c>
      <c r="K434" s="6">
        <v>0.83339511379734366</v>
      </c>
      <c r="L434" s="6">
        <v>-0.38760510501973633</v>
      </c>
      <c r="N434" s="8">
        <f>SQRT((C434-Sheet4!$C$525)^2+(D434-Sheet4!$D$525)^2+(E434-Sheet4!$E$525)^2+(F434-Sheet4!$F$525)^2+(G434-Sheet4!$G$525)^2+(H434-Sheet4!$H$525)^2+(I434-Sheet4!$I$525)^2+(J434-Sheet4!$J$525)^2+(K434-Sheet4!$K$525)^2+(L434-Sheet4!$L$525)^2)</f>
        <v>1.915041089084498</v>
      </c>
      <c r="O434" s="8">
        <f>SQRT((C434-Sheet4!$C$526)^2+(D434-Sheet4!$D$526)^2+(E434-Sheet4!$E$526)^2+(F434-Sheet4!$F$526)^2+(G434-Sheet4!$G$526)^2+(H434-Sheet4!$H$526)^2+(I434-Sheet4!$I$526)^2+(J434-Sheet4!$J$526)^2+(K434-Sheet4!$K$526)^2+(L434-Sheet4!$L$526)^2)</f>
        <v>3.8703468325320216</v>
      </c>
      <c r="P434" s="12">
        <f t="shared" si="6"/>
        <v>0</v>
      </c>
      <c r="Q434" s="11">
        <f>IF(P434=Sheet1!$M434, 1, 0)</f>
        <v>1</v>
      </c>
    </row>
    <row r="435" spans="1:17" x14ac:dyDescent="0.35">
      <c r="A435" s="6" t="s">
        <v>461</v>
      </c>
      <c r="B435" s="6" t="s">
        <v>473</v>
      </c>
      <c r="C435" s="6">
        <v>0.74305708378656277</v>
      </c>
      <c r="D435" s="6">
        <v>0.60357981948344031</v>
      </c>
      <c r="E435" s="6">
        <v>-1.3213439865539365</v>
      </c>
      <c r="F435" s="6">
        <v>-0.64658110464299345</v>
      </c>
      <c r="G435" s="6">
        <v>-0.35620515604547631</v>
      </c>
      <c r="H435" s="6">
        <v>6.343834785636257E-2</v>
      </c>
      <c r="I435" s="6">
        <v>0.80601055039645408</v>
      </c>
      <c r="J435" s="6">
        <v>-1.2258920258824895</v>
      </c>
      <c r="K435" s="6">
        <v>0.20273994740450488</v>
      </c>
      <c r="L435" s="6">
        <v>-0.43655914466537615</v>
      </c>
      <c r="N435" s="8">
        <f>SQRT((C435-Sheet4!$C$525)^2+(D435-Sheet4!$D$525)^2+(E435-Sheet4!$E$525)^2+(F435-Sheet4!$F$525)^2+(G435-Sheet4!$G$525)^2+(H435-Sheet4!$H$525)^2+(I435-Sheet4!$I$525)^2+(J435-Sheet4!$J$525)^2+(K435-Sheet4!$K$525)^2+(L435-Sheet4!$L$525)^2)</f>
        <v>2.0232223404453982</v>
      </c>
      <c r="O435" s="8">
        <f>SQRT((C435-Sheet4!$C$526)^2+(D435-Sheet4!$D$526)^2+(E435-Sheet4!$E$526)^2+(F435-Sheet4!$F$526)^2+(G435-Sheet4!$G$526)^2+(H435-Sheet4!$H$526)^2+(I435-Sheet4!$I$526)^2+(J435-Sheet4!$J$526)^2+(K435-Sheet4!$K$526)^2+(L435-Sheet4!$L$526)^2)</f>
        <v>4.4689120479184421</v>
      </c>
      <c r="P435" s="12">
        <f t="shared" si="6"/>
        <v>0</v>
      </c>
      <c r="Q435" s="11">
        <f>IF(P435=Sheet1!$M435, 1, 0)</f>
        <v>1</v>
      </c>
    </row>
    <row r="436" spans="1:17" x14ac:dyDescent="0.35">
      <c r="A436" s="6" t="s">
        <v>461</v>
      </c>
      <c r="B436" s="6" t="s">
        <v>474</v>
      </c>
      <c r="C436" s="6">
        <v>0.22637870577956709</v>
      </c>
      <c r="D436" s="6">
        <v>-0.69762869888540213</v>
      </c>
      <c r="E436" s="6">
        <v>-1.0398924975756421</v>
      </c>
      <c r="F436" s="6">
        <v>-0.68509769232233986</v>
      </c>
      <c r="G436" s="6">
        <v>0.20126851010023725</v>
      </c>
      <c r="H436" s="6">
        <v>-0.22473105725160605</v>
      </c>
      <c r="I436" s="6">
        <v>0.64026163145115478</v>
      </c>
      <c r="J436" s="6">
        <v>-0.84250351873976592</v>
      </c>
      <c r="K436" s="6">
        <v>0.39052808628078256</v>
      </c>
      <c r="L436" s="6">
        <v>-0.4186855878905491</v>
      </c>
      <c r="N436" s="8">
        <f>SQRT((C436-Sheet4!$C$525)^2+(D436-Sheet4!$D$525)^2+(E436-Sheet4!$E$525)^2+(F436-Sheet4!$F$525)^2+(G436-Sheet4!$G$525)^2+(H436-Sheet4!$H$525)^2+(I436-Sheet4!$I$525)^2+(J436-Sheet4!$J$525)^2+(K436-Sheet4!$K$525)^2+(L436-Sheet4!$L$525)^2)</f>
        <v>1.3951929958535778</v>
      </c>
      <c r="O436" s="8">
        <f>SQRT((C436-Sheet4!$C$526)^2+(D436-Sheet4!$D$526)^2+(E436-Sheet4!$E$526)^2+(F436-Sheet4!$F$526)^2+(G436-Sheet4!$G$526)^2+(H436-Sheet4!$H$526)^2+(I436-Sheet4!$I$526)^2+(J436-Sheet4!$J$526)^2+(K436-Sheet4!$K$526)^2+(L436-Sheet4!$L$526)^2)</f>
        <v>4.3010765228930996</v>
      </c>
      <c r="P436" s="12">
        <f t="shared" si="6"/>
        <v>0</v>
      </c>
      <c r="Q436" s="11">
        <f>IF(P436=Sheet1!$M436, 1, 0)</f>
        <v>1</v>
      </c>
    </row>
    <row r="437" spans="1:17" x14ac:dyDescent="0.35">
      <c r="A437" s="6" t="s">
        <v>461</v>
      </c>
      <c r="B437" s="6" t="s">
        <v>475</v>
      </c>
      <c r="C437" s="6">
        <v>0.47331070981407941</v>
      </c>
      <c r="D437" s="6">
        <v>-0.69149092285536051</v>
      </c>
      <c r="E437" s="6">
        <v>-1.1349376339060084</v>
      </c>
      <c r="F437" s="6">
        <v>-0.8283793984895097</v>
      </c>
      <c r="G437" s="6">
        <v>-0.57106479820580747</v>
      </c>
      <c r="H437" s="6">
        <v>0.50134811674006163</v>
      </c>
      <c r="I437" s="6">
        <v>0.44710039129567081</v>
      </c>
      <c r="J437" s="6">
        <v>-0.48948241810339638</v>
      </c>
      <c r="K437" s="6">
        <v>-0.86608754303298674</v>
      </c>
      <c r="L437" s="6">
        <v>-0.42216381440949263</v>
      </c>
      <c r="N437" s="8">
        <f>SQRT((C437-Sheet4!$C$525)^2+(D437-Sheet4!$D$525)^2+(E437-Sheet4!$E$525)^2+(F437-Sheet4!$F$525)^2+(G437-Sheet4!$G$525)^2+(H437-Sheet4!$H$525)^2+(I437-Sheet4!$I$525)^2+(J437-Sheet4!$J$525)^2+(K437-Sheet4!$K$525)^2+(L437-Sheet4!$L$525)^2)</f>
        <v>1.7871369813774287</v>
      </c>
      <c r="O437" s="8">
        <f>SQRT((C437-Sheet4!$C$526)^2+(D437-Sheet4!$D$526)^2+(E437-Sheet4!$E$526)^2+(F437-Sheet4!$F$526)^2+(G437-Sheet4!$G$526)^2+(H437-Sheet4!$H$526)^2+(I437-Sheet4!$I$526)^2+(J437-Sheet4!$J$526)^2+(K437-Sheet4!$K$526)^2+(L437-Sheet4!$L$526)^2)</f>
        <v>4.3348862857053998</v>
      </c>
      <c r="P437" s="12">
        <f t="shared" si="6"/>
        <v>0</v>
      </c>
      <c r="Q437" s="11">
        <f>IF(P437=Sheet1!$M437, 1, 0)</f>
        <v>1</v>
      </c>
    </row>
    <row r="438" spans="1:17" x14ac:dyDescent="0.35">
      <c r="A438" s="6" t="s">
        <v>461</v>
      </c>
      <c r="B438" s="6" t="s">
        <v>476</v>
      </c>
      <c r="C438" s="6">
        <v>0.31495214200933758</v>
      </c>
      <c r="D438" s="6">
        <v>-0.55032207416440093</v>
      </c>
      <c r="E438" s="6">
        <v>-1.1220439138611913</v>
      </c>
      <c r="F438" s="6">
        <v>-0.76059020417386036</v>
      </c>
      <c r="G438" s="6">
        <v>-0.57106479820580747</v>
      </c>
      <c r="H438" s="6">
        <v>0.53959115928710022</v>
      </c>
      <c r="I438" s="6">
        <v>0.70018624060830148</v>
      </c>
      <c r="J438" s="6">
        <v>-0.43254353090398201</v>
      </c>
      <c r="K438" s="6">
        <v>0.61587385293231978</v>
      </c>
      <c r="L438" s="6">
        <v>-0.41547408627887761</v>
      </c>
      <c r="N438" s="8">
        <f>SQRT((C438-Sheet4!$C$525)^2+(D438-Sheet4!$D$525)^2+(E438-Sheet4!$E$525)^2+(F438-Sheet4!$F$525)^2+(G438-Sheet4!$G$525)^2+(H438-Sheet4!$H$525)^2+(I438-Sheet4!$I$525)^2+(J438-Sheet4!$J$525)^2+(K438-Sheet4!$K$525)^2+(L438-Sheet4!$L$525)^2)</f>
        <v>1.5747874470923502</v>
      </c>
      <c r="O438" s="8">
        <f>SQRT((C438-Sheet4!$C$526)^2+(D438-Sheet4!$D$526)^2+(E438-Sheet4!$E$526)^2+(F438-Sheet4!$F$526)^2+(G438-Sheet4!$G$526)^2+(H438-Sheet4!$H$526)^2+(I438-Sheet4!$I$526)^2+(J438-Sheet4!$J$526)^2+(K438-Sheet4!$K$526)^2+(L438-Sheet4!$L$526)^2)</f>
        <v>4.3302289531481124</v>
      </c>
      <c r="P438" s="12">
        <f t="shared" si="6"/>
        <v>0</v>
      </c>
      <c r="Q438" s="11">
        <f>IF(P438=Sheet1!$M438, 1, 0)</f>
        <v>1</v>
      </c>
    </row>
    <row r="439" spans="1:17" x14ac:dyDescent="0.35">
      <c r="A439" s="6" t="s">
        <v>461</v>
      </c>
      <c r="B439" s="6" t="s">
        <v>477</v>
      </c>
      <c r="C439" s="6">
        <v>-0.99351907502136627</v>
      </c>
      <c r="D439" s="6">
        <v>2.5001526127663283</v>
      </c>
      <c r="E439" s="6">
        <v>1.485066279200838</v>
      </c>
      <c r="F439" s="6">
        <v>2.1913210755712536</v>
      </c>
      <c r="G439" s="6">
        <v>1.2116895299893509</v>
      </c>
      <c r="H439" s="6">
        <v>1.0432143252234567</v>
      </c>
      <c r="I439" s="6">
        <v>0.87358510965876879</v>
      </c>
      <c r="J439" s="6">
        <v>4.953904738439361E-2</v>
      </c>
      <c r="K439" s="6">
        <v>-0.64543647985335773</v>
      </c>
      <c r="L439" s="6">
        <v>-0.10027294574231024</v>
      </c>
      <c r="N439" s="8">
        <f>SQRT((C439-Sheet4!$C$525)^2+(D439-Sheet4!$D$525)^2+(E439-Sheet4!$E$525)^2+(F439-Sheet4!$F$525)^2+(G439-Sheet4!$G$525)^2+(H439-Sheet4!$H$525)^2+(I439-Sheet4!$I$525)^2+(J439-Sheet4!$J$525)^2+(K439-Sheet4!$K$525)^2+(L439-Sheet4!$L$525)^2)</f>
        <v>5.116495522229406</v>
      </c>
      <c r="O439" s="8">
        <f>SQRT((C439-Sheet4!$C$526)^2+(D439-Sheet4!$D$526)^2+(E439-Sheet4!$E$526)^2+(F439-Sheet4!$F$526)^2+(G439-Sheet4!$G$526)^2+(H439-Sheet4!$H$526)^2+(I439-Sheet4!$I$526)^2+(J439-Sheet4!$J$526)^2+(K439-Sheet4!$K$526)^2+(L439-Sheet4!$L$526)^2)</f>
        <v>2.3336974739304877</v>
      </c>
      <c r="P439" s="12">
        <f t="shared" si="6"/>
        <v>1</v>
      </c>
      <c r="Q439" s="11">
        <f>IF(P439=Sheet1!$M439, 1, 0)</f>
        <v>0</v>
      </c>
    </row>
    <row r="440" spans="1:17" x14ac:dyDescent="0.35">
      <c r="A440" s="6" t="s">
        <v>461</v>
      </c>
      <c r="B440" s="6" t="s">
        <v>478</v>
      </c>
      <c r="C440" s="6">
        <v>-0.60299074255374074</v>
      </c>
      <c r="D440" s="6">
        <v>1.5181084479596552</v>
      </c>
      <c r="E440" s="6">
        <v>6.565189826710921E-2</v>
      </c>
      <c r="F440" s="6">
        <v>0.97573756841107939</v>
      </c>
      <c r="G440" s="6">
        <v>0.46258429110604382</v>
      </c>
      <c r="H440" s="6">
        <v>1.0491393036462382</v>
      </c>
      <c r="I440" s="6">
        <v>0.92649726455284509</v>
      </c>
      <c r="J440" s="6">
        <v>0.68725458401783501</v>
      </c>
      <c r="K440" s="6">
        <v>-8.0507162067217045E-2</v>
      </c>
      <c r="L440" s="6">
        <v>-0.31591989745411653</v>
      </c>
      <c r="N440" s="8">
        <f>SQRT((C440-Sheet4!$C$525)^2+(D440-Sheet4!$D$525)^2+(E440-Sheet4!$E$525)^2+(F440-Sheet4!$F$525)^2+(G440-Sheet4!$G$525)^2+(H440-Sheet4!$H$525)^2+(I440-Sheet4!$I$525)^2+(J440-Sheet4!$J$525)^2+(K440-Sheet4!$K$525)^2+(L440-Sheet4!$L$525)^2)</f>
        <v>3.3556195766334542</v>
      </c>
      <c r="O440" s="8">
        <f>SQRT((C440-Sheet4!$C$526)^2+(D440-Sheet4!$D$526)^2+(E440-Sheet4!$E$526)^2+(F440-Sheet4!$F$526)^2+(G440-Sheet4!$G$526)^2+(H440-Sheet4!$H$526)^2+(I440-Sheet4!$I$526)^2+(J440-Sheet4!$J$526)^2+(K440-Sheet4!$K$526)^2+(L440-Sheet4!$L$526)^2)</f>
        <v>1.732839462113366</v>
      </c>
      <c r="P440" s="12">
        <f t="shared" si="6"/>
        <v>1</v>
      </c>
      <c r="Q440" s="11">
        <f>IF(P440=Sheet1!$M440, 1, 0)</f>
        <v>0</v>
      </c>
    </row>
    <row r="441" spans="1:17" x14ac:dyDescent="0.35">
      <c r="A441" s="6" t="s">
        <v>479</v>
      </c>
      <c r="B441" s="6" t="s">
        <v>480</v>
      </c>
      <c r="C441" s="6">
        <v>0.90275767335236168</v>
      </c>
      <c r="D441" s="6">
        <v>-0.88176197978665327</v>
      </c>
      <c r="E441" s="6">
        <v>-0.51014479973429705</v>
      </c>
      <c r="F441" s="6">
        <v>-0.5402753226479976</v>
      </c>
      <c r="G441" s="6">
        <v>-0.103599901073201</v>
      </c>
      <c r="H441" s="6">
        <v>-0.4514961405234848</v>
      </c>
      <c r="I441" s="6">
        <v>0.57842453476771516</v>
      </c>
      <c r="J441" s="6">
        <v>-0.5654009343692824</v>
      </c>
      <c r="K441" s="6">
        <v>-0.61100865439270668</v>
      </c>
      <c r="L441" s="6">
        <v>-0.38439393772835595</v>
      </c>
      <c r="N441" s="8">
        <f>SQRT((C441-Sheet4!$C$525)^2+(D441-Sheet4!$D$525)^2+(E441-Sheet4!$E$525)^2+(F441-Sheet4!$F$525)^2+(G441-Sheet4!$G$525)^2+(H441-Sheet4!$H$525)^2+(I441-Sheet4!$I$525)^2+(J441-Sheet4!$J$525)^2+(K441-Sheet4!$K$525)^2+(L441-Sheet4!$L$525)^2)</f>
        <v>1.4998830000018168</v>
      </c>
      <c r="O441" s="8">
        <f>SQRT((C441-Sheet4!$C$526)^2+(D441-Sheet4!$D$526)^2+(E441-Sheet4!$E$526)^2+(F441-Sheet4!$F$526)^2+(G441-Sheet4!$G$526)^2+(H441-Sheet4!$H$526)^2+(I441-Sheet4!$I$526)^2+(J441-Sheet4!$J$526)^2+(K441-Sheet4!$K$526)^2+(L441-Sheet4!$L$526)^2)</f>
        <v>4.1601125825176739</v>
      </c>
      <c r="P441" s="12">
        <f t="shared" si="6"/>
        <v>0</v>
      </c>
      <c r="Q441" s="11">
        <f>IF(P441=Sheet1!$M441, 1, 0)</f>
        <v>1</v>
      </c>
    </row>
    <row r="442" spans="1:17" x14ac:dyDescent="0.35">
      <c r="A442" s="6" t="s">
        <v>479</v>
      </c>
      <c r="B442" s="6" t="s">
        <v>481</v>
      </c>
      <c r="C442" s="6">
        <v>0.75379325787502005</v>
      </c>
      <c r="D442" s="6">
        <v>-0.69762869888540213</v>
      </c>
      <c r="E442" s="6">
        <v>-0.33626377512990563</v>
      </c>
      <c r="F442" s="6">
        <v>-0.39853427998800234</v>
      </c>
      <c r="G442" s="6">
        <v>-0.57106479820580747</v>
      </c>
      <c r="H442" s="6">
        <v>-2.0588618866708864E-2</v>
      </c>
      <c r="I442" s="6">
        <v>0.63579916055647312</v>
      </c>
      <c r="J442" s="6">
        <v>-1.1158101772969551</v>
      </c>
      <c r="K442" s="6">
        <v>-0.67829940415670786</v>
      </c>
      <c r="L442" s="6">
        <v>-0.26916472415331522</v>
      </c>
      <c r="N442" s="8">
        <f>SQRT((C442-Sheet4!$C$525)^2+(D442-Sheet4!$D$525)^2+(E442-Sheet4!$E$525)^2+(F442-Sheet4!$F$525)^2+(G442-Sheet4!$G$525)^2+(H442-Sheet4!$H$525)^2+(I442-Sheet4!$I$525)^2+(J442-Sheet4!$J$525)^2+(K442-Sheet4!$K$525)^2+(L442-Sheet4!$L$525)^2)</f>
        <v>1.6162694546059653</v>
      </c>
      <c r="O442" s="8">
        <f>SQRT((C442-Sheet4!$C$526)^2+(D442-Sheet4!$D$526)^2+(E442-Sheet4!$E$526)^2+(F442-Sheet4!$F$526)^2+(G442-Sheet4!$G$526)^2+(H442-Sheet4!$H$526)^2+(I442-Sheet4!$I$526)^2+(J442-Sheet4!$J$526)^2+(K442-Sheet4!$K$526)^2+(L442-Sheet4!$L$526)^2)</f>
        <v>4.1754749926625676</v>
      </c>
      <c r="P442" s="12">
        <f t="shared" si="6"/>
        <v>0</v>
      </c>
      <c r="Q442" s="11">
        <f>IF(P442=Sheet1!$M442, 1, 0)</f>
        <v>1</v>
      </c>
    </row>
    <row r="443" spans="1:17" x14ac:dyDescent="0.35">
      <c r="A443" s="6" t="s">
        <v>479</v>
      </c>
      <c r="B443" s="6" t="s">
        <v>482</v>
      </c>
      <c r="C443" s="6">
        <v>0.77929167133510524</v>
      </c>
      <c r="D443" s="6">
        <v>-0.72217980300556894</v>
      </c>
      <c r="E443" s="6">
        <v>3.1023050146743131E-2</v>
      </c>
      <c r="F443" s="6">
        <v>-0.63579646009277746</v>
      </c>
      <c r="G443" s="6">
        <v>-1.5553542399943394</v>
      </c>
      <c r="H443" s="6">
        <v>-5.829302701167615E-2</v>
      </c>
      <c r="I443" s="6">
        <v>0.50957498382120625</v>
      </c>
      <c r="J443" s="6">
        <v>-0.99054462545824329</v>
      </c>
      <c r="K443" s="6">
        <v>9.7891569865248551E-2</v>
      </c>
      <c r="L443" s="6">
        <v>-0.36065771943314812</v>
      </c>
      <c r="N443" s="8">
        <f>SQRT((C443-Sheet4!$C$525)^2+(D443-Sheet4!$D$525)^2+(E443-Sheet4!$E$525)^2+(F443-Sheet4!$F$525)^2+(G443-Sheet4!$G$525)^2+(H443-Sheet4!$H$525)^2+(I443-Sheet4!$I$525)^2+(J443-Sheet4!$J$525)^2+(K443-Sheet4!$K$525)^2+(L443-Sheet4!$L$525)^2)</f>
        <v>1.7937084072502816</v>
      </c>
      <c r="O443" s="8">
        <f>SQRT((C443-Sheet4!$C$526)^2+(D443-Sheet4!$D$526)^2+(E443-Sheet4!$E$526)^2+(F443-Sheet4!$F$526)^2+(G443-Sheet4!$G$526)^2+(H443-Sheet4!$H$526)^2+(I443-Sheet4!$I$526)^2+(J443-Sheet4!$J$526)^2+(K443-Sheet4!$K$526)^2+(L443-Sheet4!$L$526)^2)</f>
        <v>4.6291739046102247</v>
      </c>
      <c r="P443" s="12">
        <f t="shared" si="6"/>
        <v>0</v>
      </c>
      <c r="Q443" s="11">
        <f>IF(P443=Sheet1!$M443, 1, 0)</f>
        <v>1</v>
      </c>
    </row>
    <row r="444" spans="1:17" x14ac:dyDescent="0.35">
      <c r="A444" s="6" t="s">
        <v>479</v>
      </c>
      <c r="B444" s="6" t="s">
        <v>483</v>
      </c>
      <c r="C444" s="6">
        <v>0.54041179786693605</v>
      </c>
      <c r="D444" s="6">
        <v>-7.1575543821147503E-2</v>
      </c>
      <c r="E444" s="6">
        <v>-4.6707662123440304E-2</v>
      </c>
      <c r="F444" s="6">
        <v>4.9798800599589861E-2</v>
      </c>
      <c r="G444" s="6">
        <v>-0.33007357794489894</v>
      </c>
      <c r="H444" s="6">
        <v>-0.18810391791078049</v>
      </c>
      <c r="I444" s="6">
        <v>0.54718723850494755</v>
      </c>
      <c r="J444" s="6">
        <v>-0.61095204412881376</v>
      </c>
      <c r="K444" s="6">
        <v>-0.68455900878591602</v>
      </c>
      <c r="L444" s="6">
        <v>-0.39156005137882177</v>
      </c>
      <c r="N444" s="8">
        <f>SQRT((C444-Sheet4!$C$525)^2+(D444-Sheet4!$D$525)^2+(E444-Sheet4!$E$525)^2+(F444-Sheet4!$F$525)^2+(G444-Sheet4!$G$525)^2+(H444-Sheet4!$H$525)^2+(I444-Sheet4!$I$525)^2+(J444-Sheet4!$J$525)^2+(K444-Sheet4!$K$525)^2+(L444-Sheet4!$L$525)^2)</f>
        <v>1.4236678667681331</v>
      </c>
      <c r="O444" s="8">
        <f>SQRT((C444-Sheet4!$C$526)^2+(D444-Sheet4!$D$526)^2+(E444-Sheet4!$E$526)^2+(F444-Sheet4!$F$526)^2+(G444-Sheet4!$G$526)^2+(H444-Sheet4!$H$526)^2+(I444-Sheet4!$I$526)^2+(J444-Sheet4!$J$526)^2+(K444-Sheet4!$K$526)^2+(L444-Sheet4!$L$526)^2)</f>
        <v>3.3386304799285265</v>
      </c>
      <c r="P444" s="12">
        <f t="shared" si="6"/>
        <v>0</v>
      </c>
      <c r="Q444" s="11">
        <f>IF(P444=Sheet1!$M444, 1, 0)</f>
        <v>1</v>
      </c>
    </row>
    <row r="445" spans="1:17" x14ac:dyDescent="0.35">
      <c r="A445" s="6" t="s">
        <v>479</v>
      </c>
      <c r="B445" s="6" t="s">
        <v>484</v>
      </c>
      <c r="C445" s="6">
        <v>0.66521982164524929</v>
      </c>
      <c r="D445" s="6">
        <v>-0.78969533933602742</v>
      </c>
      <c r="E445" s="6">
        <v>-0.46446419157551622</v>
      </c>
      <c r="F445" s="6">
        <v>-0.72669560701603564</v>
      </c>
      <c r="G445" s="6">
        <v>-1.0820823255060454</v>
      </c>
      <c r="H445" s="6">
        <v>9.844958399097592E-2</v>
      </c>
      <c r="I445" s="6">
        <v>6.9702852774065266E-2</v>
      </c>
      <c r="J445" s="6">
        <v>-1.0474835126576578</v>
      </c>
      <c r="K445" s="6">
        <v>-0.13997340604470707</v>
      </c>
      <c r="L445" s="6">
        <v>-0.40929018474875145</v>
      </c>
      <c r="N445" s="8">
        <f>SQRT((C445-Sheet4!$C$525)^2+(D445-Sheet4!$D$525)^2+(E445-Sheet4!$E$525)^2+(F445-Sheet4!$F$525)^2+(G445-Sheet4!$G$525)^2+(H445-Sheet4!$H$525)^2+(I445-Sheet4!$I$525)^2+(J445-Sheet4!$J$525)^2+(K445-Sheet4!$K$525)^2+(L445-Sheet4!$L$525)^2)</f>
        <v>1.3709099275028485</v>
      </c>
      <c r="O445" s="8">
        <f>SQRT((C445-Sheet4!$C$526)^2+(D445-Sheet4!$D$526)^2+(E445-Sheet4!$E$526)^2+(F445-Sheet4!$F$526)^2+(G445-Sheet4!$G$526)^2+(H445-Sheet4!$H$526)^2+(I445-Sheet4!$I$526)^2+(J445-Sheet4!$J$526)^2+(K445-Sheet4!$K$526)^2+(L445-Sheet4!$L$526)^2)</f>
        <v>4.5991309466173655</v>
      </c>
      <c r="P445" s="12">
        <f t="shared" si="6"/>
        <v>0</v>
      </c>
      <c r="Q445" s="11">
        <f>IF(P445=Sheet1!$M445, 1, 0)</f>
        <v>1</v>
      </c>
    </row>
    <row r="446" spans="1:17" x14ac:dyDescent="0.35">
      <c r="A446" s="6" t="s">
        <v>479</v>
      </c>
      <c r="B446" s="6" t="s">
        <v>485</v>
      </c>
      <c r="C446" s="6">
        <v>-0.85126476834931031</v>
      </c>
      <c r="D446" s="6">
        <v>1.1866685423374022</v>
      </c>
      <c r="E446" s="6">
        <v>0.76080760468339426</v>
      </c>
      <c r="F446" s="6">
        <v>1.1529138717360718</v>
      </c>
      <c r="G446" s="6">
        <v>0.83423340186985562</v>
      </c>
      <c r="H446" s="6">
        <v>0.84553549966341146</v>
      </c>
      <c r="I446" s="6">
        <v>0.92330978534235875</v>
      </c>
      <c r="J446" s="6">
        <v>-0.19340020466644148</v>
      </c>
      <c r="K446" s="6">
        <v>-0.85982793840377758</v>
      </c>
      <c r="L446" s="6">
        <v>-0.32634770254996071</v>
      </c>
      <c r="N446" s="8">
        <f>SQRT((C446-Sheet4!$C$525)^2+(D446-Sheet4!$D$525)^2+(E446-Sheet4!$E$525)^2+(F446-Sheet4!$F$525)^2+(G446-Sheet4!$G$525)^2+(H446-Sheet4!$H$525)^2+(I446-Sheet4!$I$525)^2+(J446-Sheet4!$J$525)^2+(K446-Sheet4!$K$525)^2+(L446-Sheet4!$L$525)^2)</f>
        <v>3.523951066607883</v>
      </c>
      <c r="O446" s="8">
        <f>SQRT((C446-Sheet4!$C$526)^2+(D446-Sheet4!$D$526)^2+(E446-Sheet4!$E$526)^2+(F446-Sheet4!$F$526)^2+(G446-Sheet4!$G$526)^2+(H446-Sheet4!$H$526)^2+(I446-Sheet4!$I$526)^2+(J446-Sheet4!$J$526)^2+(K446-Sheet4!$K$526)^2+(L446-Sheet4!$L$526)^2)</f>
        <v>1.6881129704596589</v>
      </c>
      <c r="P446" s="12">
        <f t="shared" si="6"/>
        <v>1</v>
      </c>
      <c r="Q446" s="11">
        <f>IF(P446=Sheet1!$M446, 1, 0)</f>
        <v>0</v>
      </c>
    </row>
    <row r="447" spans="1:17" x14ac:dyDescent="0.35">
      <c r="A447" s="6" t="s">
        <v>486</v>
      </c>
      <c r="B447" s="6" t="s">
        <v>487</v>
      </c>
      <c r="C447" s="6">
        <v>0.27737553269973797</v>
      </c>
      <c r="D447" s="6">
        <v>0.29055324195131327</v>
      </c>
      <c r="E447" s="6">
        <v>-0.10933430234112365</v>
      </c>
      <c r="F447" s="6">
        <v>-0.40623759752387117</v>
      </c>
      <c r="G447" s="6">
        <v>-2.2899419354884336</v>
      </c>
      <c r="H447" s="6">
        <v>0.13669262653801445</v>
      </c>
      <c r="I447" s="6">
        <v>0.60328687260951019</v>
      </c>
      <c r="J447" s="6">
        <v>-0.83870759292647146</v>
      </c>
      <c r="K447" s="6">
        <v>-0.64387157869605682</v>
      </c>
      <c r="L447" s="6">
        <v>-0.38373948486343884</v>
      </c>
      <c r="N447" s="8">
        <f>SQRT((C447-Sheet4!$C$525)^2+(D447-Sheet4!$D$525)^2+(E447-Sheet4!$E$525)^2+(F447-Sheet4!$F$525)^2+(G447-Sheet4!$G$525)^2+(H447-Sheet4!$H$525)^2+(I447-Sheet4!$I$525)^2+(J447-Sheet4!$J$525)^2+(K447-Sheet4!$K$525)^2+(L447-Sheet4!$L$525)^2)</f>
        <v>2.5015711332440058</v>
      </c>
      <c r="O447" s="8">
        <f>SQRT((C447-Sheet4!$C$526)^2+(D447-Sheet4!$D$526)^2+(E447-Sheet4!$E$526)^2+(F447-Sheet4!$F$526)^2+(G447-Sheet4!$G$526)^2+(H447-Sheet4!$H$526)^2+(I447-Sheet4!$I$526)^2+(J447-Sheet4!$J$526)^2+(K447-Sheet4!$K$526)^2+(L447-Sheet4!$L$526)^2)</f>
        <v>4.4869799846602128</v>
      </c>
      <c r="P447" s="12">
        <f t="shared" si="6"/>
        <v>0</v>
      </c>
      <c r="Q447" s="11">
        <f>IF(P447=Sheet1!$M447, 1, 0)</f>
        <v>1</v>
      </c>
    </row>
    <row r="448" spans="1:17" x14ac:dyDescent="0.35">
      <c r="A448" s="6" t="s">
        <v>486</v>
      </c>
      <c r="B448" s="6" t="s">
        <v>488</v>
      </c>
      <c r="C448" s="6">
        <v>0.45720644868139365</v>
      </c>
      <c r="D448" s="6">
        <v>-0.6116998344648179</v>
      </c>
      <c r="E448" s="6">
        <v>-0.65455446423624919</v>
      </c>
      <c r="F448" s="6">
        <v>-0.87768063071907221</v>
      </c>
      <c r="G448" s="6">
        <v>-2.0692752759724216</v>
      </c>
      <c r="H448" s="6">
        <v>0.49057542869864212</v>
      </c>
      <c r="I448" s="6">
        <v>-8.0108670118802308E-2</v>
      </c>
      <c r="J448" s="6">
        <v>-0.63752352482187391</v>
      </c>
      <c r="K448" s="6">
        <v>-7.5812458595309884E-2</v>
      </c>
      <c r="L448" s="6">
        <v>-0.26221336949986795</v>
      </c>
      <c r="N448" s="8">
        <f>SQRT((C448-Sheet4!$C$525)^2+(D448-Sheet4!$D$525)^2+(E448-Sheet4!$E$525)^2+(F448-Sheet4!$F$525)^2+(G448-Sheet4!$G$525)^2+(H448-Sheet4!$H$525)^2+(I448-Sheet4!$I$525)^2+(J448-Sheet4!$J$525)^2+(K448-Sheet4!$K$525)^2+(L448-Sheet4!$L$525)^2)</f>
        <v>2.0479072543971171</v>
      </c>
      <c r="O448" s="8">
        <f>SQRT((C448-Sheet4!$C$526)^2+(D448-Sheet4!$D$526)^2+(E448-Sheet4!$E$526)^2+(F448-Sheet4!$F$526)^2+(G448-Sheet4!$G$526)^2+(H448-Sheet4!$H$526)^2+(I448-Sheet4!$I$526)^2+(J448-Sheet4!$J$526)^2+(K448-Sheet4!$K$526)^2+(L448-Sheet4!$L$526)^2)</f>
        <v>4.9207195315444485</v>
      </c>
      <c r="P448" s="12">
        <f t="shared" si="6"/>
        <v>0</v>
      </c>
      <c r="Q448" s="11">
        <f>IF(P448=Sheet1!$M448, 1, 0)</f>
        <v>1</v>
      </c>
    </row>
    <row r="449" spans="1:17" x14ac:dyDescent="0.35">
      <c r="A449" s="6" t="s">
        <v>486</v>
      </c>
      <c r="B449" s="6" t="s">
        <v>489</v>
      </c>
      <c r="C449" s="6">
        <v>0.2008802923194814</v>
      </c>
      <c r="D449" s="6">
        <v>-0.34163768914298293</v>
      </c>
      <c r="E449" s="6">
        <v>-0.95368876927600721</v>
      </c>
      <c r="F449" s="6">
        <v>-0.50792138899734751</v>
      </c>
      <c r="G449" s="6">
        <v>0.3725755220929326</v>
      </c>
      <c r="H449" s="6">
        <v>-0.76067228731222125</v>
      </c>
      <c r="I449" s="6">
        <v>-3.4186743951823959</v>
      </c>
      <c r="J449" s="6">
        <v>-1.0930346224171892</v>
      </c>
      <c r="K449" s="6">
        <v>1.6862662445271113</v>
      </c>
      <c r="L449" s="6">
        <v>-0.41180882845206157</v>
      </c>
      <c r="N449" s="8">
        <f>SQRT((C449-Sheet4!$C$525)^2+(D449-Sheet4!$D$525)^2+(E449-Sheet4!$E$525)^2+(F449-Sheet4!$F$525)^2+(G449-Sheet4!$G$525)^2+(H449-Sheet4!$H$525)^2+(I449-Sheet4!$I$525)^2+(J449-Sheet4!$J$525)^2+(K449-Sheet4!$K$525)^2+(L449-Sheet4!$L$525)^2)</f>
        <v>3.7169841120299094</v>
      </c>
      <c r="O449" s="8">
        <f>SQRT((C449-Sheet4!$C$526)^2+(D449-Sheet4!$D$526)^2+(E449-Sheet4!$E$526)^2+(F449-Sheet4!$F$526)^2+(G449-Sheet4!$G$526)^2+(H449-Sheet4!$H$526)^2+(I449-Sheet4!$I$526)^2+(J449-Sheet4!$J$526)^2+(K449-Sheet4!$K$526)^2+(L449-Sheet4!$L$526)^2)</f>
        <v>6.2922442337756399</v>
      </c>
      <c r="P449" s="12">
        <f t="shared" si="6"/>
        <v>0</v>
      </c>
      <c r="Q449" s="11">
        <f>IF(P449=Sheet1!$M449, 1, 0)</f>
        <v>1</v>
      </c>
    </row>
    <row r="450" spans="1:17" x14ac:dyDescent="0.35">
      <c r="A450" s="6" t="s">
        <v>486</v>
      </c>
      <c r="B450" s="6" t="s">
        <v>490</v>
      </c>
      <c r="C450" s="6">
        <v>-0.64593543890756899</v>
      </c>
      <c r="D450" s="6">
        <v>-0.29253548090264925</v>
      </c>
      <c r="E450" s="6">
        <v>-0.30605563102490541</v>
      </c>
      <c r="F450" s="6">
        <v>-0.24754925628496582</v>
      </c>
      <c r="G450" s="6">
        <v>-0.54783672878306966</v>
      </c>
      <c r="H450" s="6">
        <v>0.17601293788919548</v>
      </c>
      <c r="I450" s="6">
        <v>-0.14194576680224097</v>
      </c>
      <c r="J450" s="6">
        <v>-0.48189056647680778</v>
      </c>
      <c r="K450" s="6">
        <v>0.12136508722478216</v>
      </c>
      <c r="L450" s="6">
        <v>-0.28463322254374562</v>
      </c>
      <c r="N450" s="8">
        <f>SQRT((C450-Sheet4!$C$525)^2+(D450-Sheet4!$D$525)^2+(E450-Sheet4!$E$525)^2+(F450-Sheet4!$F$525)^2+(G450-Sheet4!$G$525)^2+(H450-Sheet4!$H$525)^2+(I450-Sheet4!$I$525)^2+(J450-Sheet4!$J$525)^2+(K450-Sheet4!$K$525)^2+(L450-Sheet4!$L$525)^2)</f>
        <v>1.0350369210647226</v>
      </c>
      <c r="O450" s="8">
        <f>SQRT((C450-Sheet4!$C$526)^2+(D450-Sheet4!$D$526)^2+(E450-Sheet4!$E$526)^2+(F450-Sheet4!$F$526)^2+(G450-Sheet4!$G$526)^2+(H450-Sheet4!$H$526)^2+(I450-Sheet4!$I$526)^2+(J450-Sheet4!$J$526)^2+(K450-Sheet4!$K$526)^2+(L450-Sheet4!$L$526)^2)</f>
        <v>3.5037320334771853</v>
      </c>
      <c r="P450" s="12">
        <f t="shared" si="6"/>
        <v>0</v>
      </c>
      <c r="Q450" s="11">
        <f>IF(P450=Sheet1!$M450, 1, 0)</f>
        <v>1</v>
      </c>
    </row>
    <row r="451" spans="1:17" x14ac:dyDescent="0.35">
      <c r="A451" s="6" t="s">
        <v>486</v>
      </c>
      <c r="B451" s="6" t="s">
        <v>491</v>
      </c>
      <c r="C451" s="6">
        <v>-1.0069392926319376</v>
      </c>
      <c r="D451" s="6">
        <v>-0.21274439251210708</v>
      </c>
      <c r="E451" s="6">
        <v>0.27526694699570814</v>
      </c>
      <c r="F451" s="6">
        <v>-0.29222849799300649</v>
      </c>
      <c r="G451" s="6">
        <v>-0.93109987425824825</v>
      </c>
      <c r="H451" s="6">
        <v>0.10652910002204077</v>
      </c>
      <c r="I451" s="6">
        <v>0.1417398829310606</v>
      </c>
      <c r="J451" s="6">
        <v>-0.73242167015423132</v>
      </c>
      <c r="K451" s="6">
        <v>-6.7987952808798685E-2</v>
      </c>
      <c r="L451" s="6">
        <v>-0.30454032427944433</v>
      </c>
      <c r="N451" s="8">
        <f>SQRT((C451-Sheet4!$C$525)^2+(D451-Sheet4!$D$525)^2+(E451-Sheet4!$E$525)^2+(F451-Sheet4!$F$525)^2+(G451-Sheet4!$G$525)^2+(H451-Sheet4!$H$525)^2+(I451-Sheet4!$I$525)^2+(J451-Sheet4!$J$525)^2+(K451-Sheet4!$K$525)^2+(L451-Sheet4!$L$525)^2)</f>
        <v>1.6994893194082232</v>
      </c>
      <c r="O451" s="8">
        <f>SQRT((C451-Sheet4!$C$526)^2+(D451-Sheet4!$D$526)^2+(E451-Sheet4!$E$526)^2+(F451-Sheet4!$F$526)^2+(G451-Sheet4!$G$526)^2+(H451-Sheet4!$H$526)^2+(I451-Sheet4!$I$526)^2+(J451-Sheet4!$J$526)^2+(K451-Sheet4!$K$526)^2+(L451-Sheet4!$L$526)^2)</f>
        <v>3.5462770118066951</v>
      </c>
      <c r="P451" s="12">
        <f t="shared" ref="P451:P514" si="7">IF(N451&lt;=O451, 0, 1)</f>
        <v>0</v>
      </c>
      <c r="Q451" s="11">
        <f>IF(P451=Sheet1!$M451, 1, 0)</f>
        <v>1</v>
      </c>
    </row>
    <row r="452" spans="1:17" x14ac:dyDescent="0.35">
      <c r="A452" s="6" t="s">
        <v>486</v>
      </c>
      <c r="B452" s="6" t="s">
        <v>492</v>
      </c>
      <c r="C452" s="6">
        <v>-0.69022215702245437</v>
      </c>
      <c r="D452" s="6">
        <v>-0.56873540225452623</v>
      </c>
      <c r="E452" s="6">
        <v>-0.70612934441551778</v>
      </c>
      <c r="F452" s="6">
        <v>-0.57725124682016937</v>
      </c>
      <c r="G452" s="6">
        <v>-0.32136305191137177</v>
      </c>
      <c r="H452" s="6">
        <v>0.24549677575635093</v>
      </c>
      <c r="I452" s="6">
        <v>-0.49129348827156427</v>
      </c>
      <c r="J452" s="6">
        <v>-0.96397314476518325</v>
      </c>
      <c r="K452" s="6">
        <v>0.21525915666292322</v>
      </c>
      <c r="L452" s="6">
        <v>-0.41124173765822197</v>
      </c>
      <c r="N452" s="8">
        <f>SQRT((C452-Sheet4!$C$525)^2+(D452-Sheet4!$D$525)^2+(E452-Sheet4!$E$525)^2+(F452-Sheet4!$F$525)^2+(G452-Sheet4!$G$525)^2+(H452-Sheet4!$H$525)^2+(I452-Sheet4!$I$525)^2+(J452-Sheet4!$J$525)^2+(K452-Sheet4!$K$525)^2+(L452-Sheet4!$L$525)^2)</f>
        <v>1.2977692763842781</v>
      </c>
      <c r="O452" s="8">
        <f>SQRT((C452-Sheet4!$C$526)^2+(D452-Sheet4!$D$526)^2+(E452-Sheet4!$E$526)^2+(F452-Sheet4!$F$526)^2+(G452-Sheet4!$G$526)^2+(H452-Sheet4!$H$526)^2+(I452-Sheet4!$I$526)^2+(J452-Sheet4!$J$526)^2+(K452-Sheet4!$K$526)^2+(L452-Sheet4!$L$526)^2)</f>
        <v>4.188453223262453</v>
      </c>
      <c r="P452" s="12">
        <f t="shared" si="7"/>
        <v>0</v>
      </c>
      <c r="Q452" s="11">
        <f>IF(P452=Sheet1!$M452, 1, 0)</f>
        <v>1</v>
      </c>
    </row>
    <row r="453" spans="1:17" x14ac:dyDescent="0.35">
      <c r="A453" s="6" t="s">
        <v>493</v>
      </c>
      <c r="B453" s="6" t="s">
        <v>494</v>
      </c>
      <c r="C453" s="6">
        <v>2.01260966974661</v>
      </c>
      <c r="D453" s="6">
        <v>0.76929977229456614</v>
      </c>
      <c r="E453" s="6">
        <v>-1.469805963069974</v>
      </c>
      <c r="F453" s="6">
        <v>-1.0718042326229791</v>
      </c>
      <c r="G453" s="6">
        <v>-1.8021524776109314</v>
      </c>
      <c r="H453" s="6">
        <v>0.41355070920249304</v>
      </c>
      <c r="I453" s="6">
        <v>0.52041241313686049</v>
      </c>
      <c r="J453" s="6">
        <v>-0.25033909186585568</v>
      </c>
      <c r="K453" s="6">
        <v>-7.8942260909916143E-2</v>
      </c>
      <c r="L453" s="6">
        <v>-0.42237754955061957</v>
      </c>
      <c r="N453" s="8">
        <f>SQRT((C453-Sheet4!$C$525)^2+(D453-Sheet4!$D$525)^2+(E453-Sheet4!$E$525)^2+(F453-Sheet4!$F$525)^2+(G453-Sheet4!$G$525)^2+(H453-Sheet4!$H$525)^2+(I453-Sheet4!$I$525)^2+(J453-Sheet4!$J$525)^2+(K453-Sheet4!$K$525)^2+(L453-Sheet4!$L$525)^2)</f>
        <v>3.0723948635526126</v>
      </c>
      <c r="O453" s="8">
        <f>SQRT((C453-Sheet4!$C$526)^2+(D453-Sheet4!$D$526)^2+(E453-Sheet4!$E$526)^2+(F453-Sheet4!$F$526)^2+(G453-Sheet4!$G$526)^2+(H453-Sheet4!$H$526)^2+(I453-Sheet4!$I$526)^2+(J453-Sheet4!$J$526)^2+(K453-Sheet4!$K$526)^2+(L453-Sheet4!$L$526)^2)</f>
        <v>5.3754462588400784</v>
      </c>
      <c r="P453" s="12">
        <f t="shared" si="7"/>
        <v>0</v>
      </c>
      <c r="Q453" s="11">
        <f>IF(P453=Sheet1!$M453, 1, 0)</f>
        <v>0</v>
      </c>
    </row>
    <row r="454" spans="1:17" x14ac:dyDescent="0.35">
      <c r="A454" s="6" t="s">
        <v>493</v>
      </c>
      <c r="B454" s="6" t="s">
        <v>495</v>
      </c>
      <c r="C454" s="6">
        <v>1.403331790226672</v>
      </c>
      <c r="D454" s="6">
        <v>0.81226420450485837</v>
      </c>
      <c r="E454" s="6">
        <v>-1.0111579214757638</v>
      </c>
      <c r="F454" s="6">
        <v>-0.55414129421256286</v>
      </c>
      <c r="G454" s="6">
        <v>-1.3114595110555873</v>
      </c>
      <c r="H454" s="6">
        <v>0.49919357913177742</v>
      </c>
      <c r="I454" s="6">
        <v>0.49873755450555191</v>
      </c>
      <c r="J454" s="6">
        <v>1.9201181156748245E-4</v>
      </c>
      <c r="K454" s="6">
        <v>-0.76436896780833552</v>
      </c>
      <c r="L454" s="6">
        <v>-0.4164392062743329</v>
      </c>
      <c r="N454" s="8">
        <f>SQRT((C454-Sheet4!$C$525)^2+(D454-Sheet4!$D$525)^2+(E454-Sheet4!$E$525)^2+(F454-Sheet4!$F$525)^2+(G454-Sheet4!$G$525)^2+(H454-Sheet4!$H$525)^2+(I454-Sheet4!$I$525)^2+(J454-Sheet4!$J$525)^2+(K454-Sheet4!$K$525)^2+(L454-Sheet4!$L$525)^2)</f>
        <v>2.5291758462711016</v>
      </c>
      <c r="O454" s="8">
        <f>SQRT((C454-Sheet4!$C$526)^2+(D454-Sheet4!$D$526)^2+(E454-Sheet4!$E$526)^2+(F454-Sheet4!$F$526)^2+(G454-Sheet4!$G$526)^2+(H454-Sheet4!$H$526)^2+(I454-Sheet4!$I$526)^2+(J454-Sheet4!$J$526)^2+(K454-Sheet4!$K$526)^2+(L454-Sheet4!$L$526)^2)</f>
        <v>4.3160929537959092</v>
      </c>
      <c r="P454" s="12">
        <f t="shared" si="7"/>
        <v>0</v>
      </c>
      <c r="Q454" s="11">
        <f>IF(P454=Sheet1!$M454, 1, 0)</f>
        <v>0</v>
      </c>
    </row>
    <row r="455" spans="1:17" x14ac:dyDescent="0.35">
      <c r="A455" s="6" t="s">
        <v>493</v>
      </c>
      <c r="B455" s="6" t="s">
        <v>496</v>
      </c>
      <c r="C455" s="6">
        <v>1.0154875012811608</v>
      </c>
      <c r="D455" s="6">
        <v>0.76316199626452463</v>
      </c>
      <c r="E455" s="6">
        <v>-3.0130022065818246E-2</v>
      </c>
      <c r="F455" s="6">
        <v>0.21464979586719163</v>
      </c>
      <c r="G455" s="6">
        <v>-0.93109987425824825</v>
      </c>
      <c r="H455" s="6">
        <v>-0.15955629460101903</v>
      </c>
      <c r="I455" s="6">
        <v>0.28517644740295456</v>
      </c>
      <c r="J455" s="6">
        <v>1.1427656816131504</v>
      </c>
      <c r="K455" s="6">
        <v>-1.0757842981114982</v>
      </c>
      <c r="L455" s="6">
        <v>-0.33298116039657388</v>
      </c>
      <c r="N455" s="8">
        <f>SQRT((C455-Sheet4!$C$525)^2+(D455-Sheet4!$D$525)^2+(E455-Sheet4!$E$525)^2+(F455-Sheet4!$F$525)^2+(G455-Sheet4!$G$525)^2+(H455-Sheet4!$H$525)^2+(I455-Sheet4!$I$525)^2+(J455-Sheet4!$J$525)^2+(K455-Sheet4!$K$525)^2+(L455-Sheet4!$L$525)^2)</f>
        <v>2.65775906548699</v>
      </c>
      <c r="O455" s="8">
        <f>SQRT((C455-Sheet4!$C$526)^2+(D455-Sheet4!$D$526)^2+(E455-Sheet4!$E$526)^2+(F455-Sheet4!$F$526)^2+(G455-Sheet4!$G$526)^2+(H455-Sheet4!$H$526)^2+(I455-Sheet4!$I$526)^2+(J455-Sheet4!$J$526)^2+(K455-Sheet4!$K$526)^2+(L455-Sheet4!$L$526)^2)</f>
        <v>3.2019854665859127</v>
      </c>
      <c r="P455" s="12">
        <f t="shared" si="7"/>
        <v>0</v>
      </c>
      <c r="Q455" s="11">
        <f>IF(P455=Sheet1!$M455, 1, 0)</f>
        <v>1</v>
      </c>
    </row>
    <row r="456" spans="1:17" x14ac:dyDescent="0.35">
      <c r="A456" s="6" t="s">
        <v>493</v>
      </c>
      <c r="B456" s="6" t="s">
        <v>497</v>
      </c>
      <c r="C456" s="6">
        <v>0.67192993045053506</v>
      </c>
      <c r="D456" s="6">
        <v>0.21689992959081214</v>
      </c>
      <c r="E456" s="6">
        <v>8.1827460673527374E-3</v>
      </c>
      <c r="F456" s="6">
        <v>-9.1942242060405355E-2</v>
      </c>
      <c r="G456" s="6">
        <v>-0.93400338293609209</v>
      </c>
      <c r="H456" s="6">
        <v>-0.42294851721372334</v>
      </c>
      <c r="I456" s="6">
        <v>0.70401121566088543</v>
      </c>
      <c r="J456" s="6">
        <v>-7.9522430267612701E-2</v>
      </c>
      <c r="K456" s="6">
        <v>0.21212935434831698</v>
      </c>
      <c r="L456" s="6">
        <v>-0.42527244984658524</v>
      </c>
      <c r="N456" s="8">
        <f>SQRT((C456-Sheet4!$C$525)^2+(D456-Sheet4!$D$525)^2+(E456-Sheet4!$E$525)^2+(F456-Sheet4!$F$525)^2+(G456-Sheet4!$G$525)^2+(H456-Sheet4!$H$525)^2+(I456-Sheet4!$I$525)^2+(J456-Sheet4!$J$525)^2+(K456-Sheet4!$K$525)^2+(L456-Sheet4!$L$525)^2)</f>
        <v>1.5029530082557665</v>
      </c>
      <c r="O456" s="8">
        <f>SQRT((C456-Sheet4!$C$526)^2+(D456-Sheet4!$D$526)^2+(E456-Sheet4!$E$526)^2+(F456-Sheet4!$F$526)^2+(G456-Sheet4!$G$526)^2+(H456-Sheet4!$H$526)^2+(I456-Sheet4!$I$526)^2+(J456-Sheet4!$J$526)^2+(K456-Sheet4!$K$526)^2+(L456-Sheet4!$L$526)^2)</f>
        <v>3.5443727671865193</v>
      </c>
      <c r="P456" s="12">
        <f t="shared" si="7"/>
        <v>0</v>
      </c>
      <c r="Q456" s="11">
        <f>IF(P456=Sheet1!$M456, 1, 0)</f>
        <v>1</v>
      </c>
    </row>
    <row r="457" spans="1:17" x14ac:dyDescent="0.35">
      <c r="A457" s="6" t="s">
        <v>493</v>
      </c>
      <c r="B457" s="6" t="s">
        <v>498</v>
      </c>
      <c r="C457" s="6">
        <v>1.9133000594283824</v>
      </c>
      <c r="D457" s="6">
        <v>0.24145103371097953</v>
      </c>
      <c r="E457" s="6">
        <v>-0.99531706542070264</v>
      </c>
      <c r="F457" s="6">
        <v>-0.93930717100602734</v>
      </c>
      <c r="G457" s="6">
        <v>-1.9444244028252036</v>
      </c>
      <c r="H457" s="6">
        <v>-2.022154056962433</v>
      </c>
      <c r="I457" s="6">
        <v>-3.4208969487796309E-2</v>
      </c>
      <c r="J457" s="6">
        <v>-1.3321779486547298</v>
      </c>
      <c r="K457" s="6">
        <v>-0.5718861254601485</v>
      </c>
      <c r="L457" s="6">
        <v>-0.40969594510709967</v>
      </c>
      <c r="N457" s="8">
        <f>SQRT((C457-Sheet4!$C$525)^2+(D457-Sheet4!$D$525)^2+(E457-Sheet4!$E$525)^2+(F457-Sheet4!$F$525)^2+(G457-Sheet4!$G$525)^2+(H457-Sheet4!$H$525)^2+(I457-Sheet4!$I$525)^2+(J457-Sheet4!$J$525)^2+(K457-Sheet4!$K$525)^2+(L457-Sheet4!$L$525)^2)</f>
        <v>3.3570121137036386</v>
      </c>
      <c r="O457" s="8">
        <f>SQRT((C457-Sheet4!$C$526)^2+(D457-Sheet4!$D$526)^2+(E457-Sheet4!$E$526)^2+(F457-Sheet4!$F$526)^2+(G457-Sheet4!$G$526)^2+(H457-Sheet4!$H$526)^2+(I457-Sheet4!$I$526)^2+(J457-Sheet4!$J$526)^2+(K457-Sheet4!$K$526)^2+(L457-Sheet4!$L$526)^2)</f>
        <v>6.1917830448080249</v>
      </c>
      <c r="P457" s="12">
        <f t="shared" si="7"/>
        <v>0</v>
      </c>
      <c r="Q457" s="11">
        <f>IF(P457=Sheet1!$M457, 1, 0)</f>
        <v>0</v>
      </c>
    </row>
    <row r="458" spans="1:17" x14ac:dyDescent="0.35">
      <c r="A458" s="6" t="s">
        <v>493</v>
      </c>
      <c r="B458" s="6" t="s">
        <v>499</v>
      </c>
      <c r="C458" s="6">
        <v>1.7442053175351835</v>
      </c>
      <c r="D458" s="6">
        <v>0.29669101798135483</v>
      </c>
      <c r="E458" s="6">
        <v>-0.59119104001600487</v>
      </c>
      <c r="F458" s="6">
        <v>-0.63117446957125567</v>
      </c>
      <c r="G458" s="6">
        <v>-2.2667138660656962</v>
      </c>
      <c r="H458" s="6">
        <v>-0.78437220100334382</v>
      </c>
      <c r="I458" s="6">
        <v>0.3820758154017449</v>
      </c>
      <c r="J458" s="6">
        <v>0.22415163479593117</v>
      </c>
      <c r="K458" s="6">
        <v>0.4280857140560399</v>
      </c>
      <c r="L458" s="6">
        <v>-0.41652052968515174</v>
      </c>
      <c r="N458" s="8">
        <f>SQRT((C458-Sheet4!$C$525)^2+(D458-Sheet4!$D$525)^2+(E458-Sheet4!$E$525)^2+(F458-Sheet4!$F$525)^2+(G458-Sheet4!$G$525)^2+(H458-Sheet4!$H$525)^2+(I458-Sheet4!$I$525)^2+(J458-Sheet4!$J$525)^2+(K458-Sheet4!$K$525)^2+(L458-Sheet4!$L$525)^2)</f>
        <v>2.789200863013674</v>
      </c>
      <c r="O458" s="8">
        <f>SQRT((C458-Sheet4!$C$526)^2+(D458-Sheet4!$D$526)^2+(E458-Sheet4!$E$526)^2+(F458-Sheet4!$F$526)^2+(G458-Sheet4!$G$526)^2+(H458-Sheet4!$H$526)^2+(I458-Sheet4!$I$526)^2+(J458-Sheet4!$J$526)^2+(K458-Sheet4!$K$526)^2+(L458-Sheet4!$L$526)^2)</f>
        <v>5.2027717465221528</v>
      </c>
      <c r="P458" s="12">
        <f t="shared" si="7"/>
        <v>0</v>
      </c>
      <c r="Q458" s="11">
        <f>IF(P458=Sheet1!$M458, 1, 0)</f>
        <v>0</v>
      </c>
    </row>
    <row r="459" spans="1:17" x14ac:dyDescent="0.35">
      <c r="A459" s="6" t="s">
        <v>493</v>
      </c>
      <c r="B459" s="6" t="s">
        <v>500</v>
      </c>
      <c r="C459" s="6">
        <v>1.4731169218016429</v>
      </c>
      <c r="D459" s="6">
        <v>1.4353320599436772E-2</v>
      </c>
      <c r="E459" s="6">
        <v>-0.31121311904283228</v>
      </c>
      <c r="F459" s="6">
        <v>-0.86689598616885621</v>
      </c>
      <c r="G459" s="6">
        <v>-2.9141963012245249</v>
      </c>
      <c r="H459" s="6">
        <v>-0.64378862206282073</v>
      </c>
      <c r="I459" s="6">
        <v>-4.5046398803449725E-2</v>
      </c>
      <c r="J459" s="6">
        <v>-0.4477272341571592</v>
      </c>
      <c r="K459" s="6">
        <v>-6.1728348179590609E-2</v>
      </c>
      <c r="L459" s="6">
        <v>-0.41784886778190822</v>
      </c>
      <c r="N459" s="8">
        <f>SQRT((C459-Sheet4!$C$525)^2+(D459-Sheet4!$D$525)^2+(E459-Sheet4!$E$525)^2+(F459-Sheet4!$F$525)^2+(G459-Sheet4!$G$525)^2+(H459-Sheet4!$H$525)^2+(I459-Sheet4!$I$525)^2+(J459-Sheet4!$J$525)^2+(K459-Sheet4!$K$525)^2+(L459-Sheet4!$L$525)^2)</f>
        <v>2.9980953349756039</v>
      </c>
      <c r="O459" s="8">
        <f>SQRT((C459-Sheet4!$C$526)^2+(D459-Sheet4!$D$526)^2+(E459-Sheet4!$E$526)^2+(F459-Sheet4!$F$526)^2+(G459-Sheet4!$G$526)^2+(H459-Sheet4!$H$526)^2+(I459-Sheet4!$I$526)^2+(J459-Sheet4!$J$526)^2+(K459-Sheet4!$K$526)^2+(L459-Sheet4!$L$526)^2)</f>
        <v>5.6328742291748801</v>
      </c>
      <c r="P459" s="12">
        <f t="shared" si="7"/>
        <v>0</v>
      </c>
      <c r="Q459" s="11">
        <f>IF(P459=Sheet1!$M459, 1, 0)</f>
        <v>0</v>
      </c>
    </row>
    <row r="460" spans="1:17" x14ac:dyDescent="0.35">
      <c r="A460" s="6" t="s">
        <v>493</v>
      </c>
      <c r="B460" s="6" t="s">
        <v>501</v>
      </c>
      <c r="C460" s="6">
        <v>2.3185906312676363</v>
      </c>
      <c r="D460" s="6">
        <v>9.4144408989978376E-2</v>
      </c>
      <c r="E460" s="6">
        <v>-1.2550334263234482</v>
      </c>
      <c r="F460" s="6">
        <v>-1.1642440430534109</v>
      </c>
      <c r="G460" s="6">
        <v>-2.0634682586167381</v>
      </c>
      <c r="H460" s="6">
        <v>0.2934352375406673</v>
      </c>
      <c r="I460" s="6">
        <v>0.51084997550540145</v>
      </c>
      <c r="J460" s="6">
        <v>-1.2372798033223726</v>
      </c>
      <c r="K460" s="6">
        <v>1.1260316302128777</v>
      </c>
      <c r="L460" s="6">
        <v>-0.43612647152359146</v>
      </c>
      <c r="N460" s="8">
        <f>SQRT((C460-Sheet4!$C$525)^2+(D460-Sheet4!$D$525)^2+(E460-Sheet4!$E$525)^2+(F460-Sheet4!$F$525)^2+(G460-Sheet4!$G$525)^2+(H460-Sheet4!$H$525)^2+(I460-Sheet4!$I$525)^2+(J460-Sheet4!$J$525)^2+(K460-Sheet4!$K$525)^2+(L460-Sheet4!$L$525)^2)</f>
        <v>3.3810844725210849</v>
      </c>
      <c r="O460" s="8">
        <f>SQRT((C460-Sheet4!$C$526)^2+(D460-Sheet4!$D$526)^2+(E460-Sheet4!$E$526)^2+(F460-Sheet4!$F$526)^2+(G460-Sheet4!$G$526)^2+(H460-Sheet4!$H$526)^2+(I460-Sheet4!$I$526)^2+(J460-Sheet4!$J$526)^2+(K460-Sheet4!$K$526)^2+(L460-Sheet4!$L$526)^2)</f>
        <v>6.2092663077341017</v>
      </c>
      <c r="P460" s="12">
        <f t="shared" si="7"/>
        <v>0</v>
      </c>
      <c r="Q460" s="11">
        <f>IF(P460=Sheet1!$M460, 1, 0)</f>
        <v>0</v>
      </c>
    </row>
    <row r="461" spans="1:17" x14ac:dyDescent="0.35">
      <c r="A461" s="6" t="s">
        <v>493</v>
      </c>
      <c r="B461" s="6" t="s">
        <v>502</v>
      </c>
      <c r="C461" s="6">
        <v>0.48538890566359355</v>
      </c>
      <c r="D461" s="6">
        <v>-0.29867325693269081</v>
      </c>
      <c r="E461" s="6">
        <v>-1.0037900814501539</v>
      </c>
      <c r="F461" s="6">
        <v>-0.7898628108101633</v>
      </c>
      <c r="G461" s="6">
        <v>-0.95723145235882978</v>
      </c>
      <c r="H461" s="6">
        <v>-1.0052123058524416</v>
      </c>
      <c r="I461" s="6">
        <v>0.56439962624157458</v>
      </c>
      <c r="J461" s="6">
        <v>-1.3018105421483754</v>
      </c>
      <c r="K461" s="6">
        <v>0.92728918323548248</v>
      </c>
      <c r="L461" s="6">
        <v>-0.43964857758074666</v>
      </c>
      <c r="N461" s="8">
        <f>SQRT((C461-Sheet4!$C$525)^2+(D461-Sheet4!$D$525)^2+(E461-Sheet4!$E$525)^2+(F461-Sheet4!$F$525)^2+(G461-Sheet4!$G$525)^2+(H461-Sheet4!$H$525)^2+(I461-Sheet4!$I$525)^2+(J461-Sheet4!$J$525)^2+(K461-Sheet4!$K$525)^2+(L461-Sheet4!$L$525)^2)</f>
        <v>1.9144668892519443</v>
      </c>
      <c r="O461" s="8">
        <f>SQRT((C461-Sheet4!$C$526)^2+(D461-Sheet4!$D$526)^2+(E461-Sheet4!$E$526)^2+(F461-Sheet4!$F$526)^2+(G461-Sheet4!$G$526)^2+(H461-Sheet4!$H$526)^2+(I461-Sheet4!$I$526)^2+(J461-Sheet4!$J$526)^2+(K461-Sheet4!$K$526)^2+(L461-Sheet4!$L$526)^2)</f>
        <v>5.1262547357618118</v>
      </c>
      <c r="P461" s="12">
        <f t="shared" si="7"/>
        <v>0</v>
      </c>
      <c r="Q461" s="11">
        <f>IF(P461=Sheet1!$M461, 1, 0)</f>
        <v>1</v>
      </c>
    </row>
    <row r="462" spans="1:17" x14ac:dyDescent="0.35">
      <c r="A462" s="6" t="s">
        <v>493</v>
      </c>
      <c r="B462" s="6" t="s">
        <v>503</v>
      </c>
      <c r="C462" s="6">
        <v>-0.97338874860550939</v>
      </c>
      <c r="D462" s="6">
        <v>2.3098815558350352</v>
      </c>
      <c r="E462" s="6">
        <v>1.4084407429344961</v>
      </c>
      <c r="F462" s="6">
        <v>1.7414473314764867</v>
      </c>
      <c r="G462" s="6">
        <v>0.28256675307982132</v>
      </c>
      <c r="H462" s="6">
        <v>0.71949504957880428</v>
      </c>
      <c r="I462" s="6">
        <v>0.83916033418551383</v>
      </c>
      <c r="J462" s="6">
        <v>2.3764415709337965</v>
      </c>
      <c r="K462" s="6">
        <v>-1.2369691173136383</v>
      </c>
      <c r="L462" s="6">
        <v>-0.23762367329142606</v>
      </c>
      <c r="N462" s="8">
        <f>SQRT((C462-Sheet4!$C$525)^2+(D462-Sheet4!$D$525)^2+(E462-Sheet4!$E$525)^2+(F462-Sheet4!$F$525)^2+(G462-Sheet4!$G$525)^2+(H462-Sheet4!$H$525)^2+(I462-Sheet4!$I$525)^2+(J462-Sheet4!$J$525)^2+(K462-Sheet4!$K$525)^2+(L462-Sheet4!$L$525)^2)</f>
        <v>5.3520350141843025</v>
      </c>
      <c r="O462" s="8">
        <f>SQRT((C462-Sheet4!$C$526)^2+(D462-Sheet4!$D$526)^2+(E462-Sheet4!$E$526)^2+(F462-Sheet4!$F$526)^2+(G462-Sheet4!$G$526)^2+(H462-Sheet4!$H$526)^2+(I462-Sheet4!$I$526)^2+(J462-Sheet4!$J$526)^2+(K462-Sheet4!$K$526)^2+(L462-Sheet4!$L$526)^2)</f>
        <v>2.3561793092159808</v>
      </c>
      <c r="P462" s="12">
        <f t="shared" si="7"/>
        <v>1</v>
      </c>
      <c r="Q462" s="11">
        <f>IF(P462=Sheet1!$M462, 1, 0)</f>
        <v>0</v>
      </c>
    </row>
    <row r="463" spans="1:17" x14ac:dyDescent="0.35">
      <c r="A463" s="6" t="s">
        <v>493</v>
      </c>
      <c r="B463" s="6" t="s">
        <v>504</v>
      </c>
      <c r="C463" s="6">
        <v>1.4744589435627002</v>
      </c>
      <c r="D463" s="6">
        <v>1.2848729588180696</v>
      </c>
      <c r="E463" s="6">
        <v>-1.0756265216998495</v>
      </c>
      <c r="F463" s="6">
        <v>-0.27219987239974702</v>
      </c>
      <c r="G463" s="6">
        <v>-1.1546700424521024</v>
      </c>
      <c r="H463" s="6">
        <v>0.32683057046906688</v>
      </c>
      <c r="I463" s="6">
        <v>0.70464871150298214</v>
      </c>
      <c r="J463" s="6">
        <v>1.3857049336639855</v>
      </c>
      <c r="K463" s="6">
        <v>-1.3856347272573599</v>
      </c>
      <c r="L463" s="6">
        <v>-0.42654992946905262</v>
      </c>
      <c r="N463" s="8">
        <f>SQRT((C463-Sheet4!$C$525)^2+(D463-Sheet4!$D$525)^2+(E463-Sheet4!$E$525)^2+(F463-Sheet4!$F$525)^2+(G463-Sheet4!$G$525)^2+(H463-Sheet4!$H$525)^2+(I463-Sheet4!$I$525)^2+(J463-Sheet4!$J$525)^2+(K463-Sheet4!$K$525)^2+(L463-Sheet4!$L$525)^2)</f>
        <v>3.5207539881375043</v>
      </c>
      <c r="O463" s="8">
        <f>SQRT((C463-Sheet4!$C$526)^2+(D463-Sheet4!$D$526)^2+(E463-Sheet4!$E$526)^2+(F463-Sheet4!$F$526)^2+(G463-Sheet4!$G$526)^2+(H463-Sheet4!$H$526)^2+(I463-Sheet4!$I$526)^2+(J463-Sheet4!$J$526)^2+(K463-Sheet4!$K$526)^2+(L463-Sheet4!$L$526)^2)</f>
        <v>4.1685826173000082</v>
      </c>
      <c r="P463" s="12">
        <f t="shared" si="7"/>
        <v>0</v>
      </c>
      <c r="Q463" s="11">
        <f>IF(P463=Sheet1!$M463, 1, 0)</f>
        <v>0</v>
      </c>
    </row>
    <row r="464" spans="1:17" x14ac:dyDescent="0.35">
      <c r="A464" s="6" t="s">
        <v>505</v>
      </c>
      <c r="B464" s="6" t="s">
        <v>506</v>
      </c>
      <c r="C464" s="6">
        <v>-0.44597419651005643</v>
      </c>
      <c r="D464" s="6">
        <v>-4.0886663670939613E-2</v>
      </c>
      <c r="E464" s="6">
        <v>-1.0527862176204592</v>
      </c>
      <c r="F464" s="6">
        <v>-0.67277238426494923</v>
      </c>
      <c r="G464" s="6">
        <v>-0.96303846971451312</v>
      </c>
      <c r="H464" s="6">
        <v>-0.20911065959154834</v>
      </c>
      <c r="I464" s="6">
        <v>0.6115743185567758</v>
      </c>
      <c r="J464" s="6">
        <v>-0.68307463458140549</v>
      </c>
      <c r="K464" s="6">
        <v>-0.71742193308926616</v>
      </c>
      <c r="L464" s="6">
        <v>-0.42646710161692369</v>
      </c>
      <c r="N464" s="8">
        <f>SQRT((C464-Sheet4!$C$525)^2+(D464-Sheet4!$D$525)^2+(E464-Sheet4!$E$525)^2+(F464-Sheet4!$F$525)^2+(G464-Sheet4!$G$525)^2+(H464-Sheet4!$H$525)^2+(I464-Sheet4!$I$525)^2+(J464-Sheet4!$J$525)^2+(K464-Sheet4!$K$525)^2+(L464-Sheet4!$L$525)^2)</f>
        <v>1.7962249897177136</v>
      </c>
      <c r="O464" s="8">
        <f>SQRT((C464-Sheet4!$C$526)^2+(D464-Sheet4!$D$526)^2+(E464-Sheet4!$E$526)^2+(F464-Sheet4!$F$526)^2+(G464-Sheet4!$G$526)^2+(H464-Sheet4!$H$526)^2+(I464-Sheet4!$I$526)^2+(J464-Sheet4!$J$526)^2+(K464-Sheet4!$K$526)^2+(L464-Sheet4!$L$526)^2)</f>
        <v>4.1678386203461892</v>
      </c>
      <c r="P464" s="12">
        <f t="shared" si="7"/>
        <v>0</v>
      </c>
      <c r="Q464" s="11">
        <f>IF(P464=Sheet1!$M464, 1, 0)</f>
        <v>1</v>
      </c>
    </row>
    <row r="465" spans="1:17" x14ac:dyDescent="0.35">
      <c r="A465" s="6" t="s">
        <v>505</v>
      </c>
      <c r="B465" s="6" t="s">
        <v>507</v>
      </c>
      <c r="C465" s="6">
        <v>0.16732974829305308</v>
      </c>
      <c r="D465" s="6">
        <v>0.35193100225173013</v>
      </c>
      <c r="E465" s="6">
        <v>-0.86895860898149446</v>
      </c>
      <c r="F465" s="6">
        <v>-0.63271513307843041</v>
      </c>
      <c r="G465" s="6">
        <v>-1.5989068701619711</v>
      </c>
      <c r="H465" s="6">
        <v>0.18840152913682801</v>
      </c>
      <c r="I465" s="6">
        <v>-9.0946099434456626E-2</v>
      </c>
      <c r="J465" s="6">
        <v>-0.3148698306918587</v>
      </c>
      <c r="K465" s="6">
        <v>-1.0084935483474982</v>
      </c>
      <c r="L465" s="6">
        <v>-0.34974560960555695</v>
      </c>
      <c r="N465" s="8">
        <f>SQRT((C465-Sheet4!$C$525)^2+(D465-Sheet4!$D$525)^2+(E465-Sheet4!$E$525)^2+(F465-Sheet4!$F$525)^2+(G465-Sheet4!$G$525)^2+(H465-Sheet4!$H$525)^2+(I465-Sheet4!$I$525)^2+(J465-Sheet4!$J$525)^2+(K465-Sheet4!$K$525)^2+(L465-Sheet4!$L$525)^2)</f>
        <v>2.0391795867845364</v>
      </c>
      <c r="O465" s="8">
        <f>SQRT((C465-Sheet4!$C$526)^2+(D465-Sheet4!$D$526)^2+(E465-Sheet4!$E$526)^2+(F465-Sheet4!$F$526)^2+(G465-Sheet4!$G$526)^2+(H465-Sheet4!$H$526)^2+(I465-Sheet4!$I$526)^2+(J465-Sheet4!$J$526)^2+(K465-Sheet4!$K$526)^2+(L465-Sheet4!$L$526)^2)</f>
        <v>4.253508792875536</v>
      </c>
      <c r="P465" s="12">
        <f t="shared" si="7"/>
        <v>0</v>
      </c>
      <c r="Q465" s="11">
        <f>IF(P465=Sheet1!$M465, 1, 0)</f>
        <v>1</v>
      </c>
    </row>
    <row r="466" spans="1:17" x14ac:dyDescent="0.35">
      <c r="A466" s="6" t="s">
        <v>505</v>
      </c>
      <c r="B466" s="6" t="s">
        <v>508</v>
      </c>
      <c r="C466" s="6">
        <v>-0.54259976330616977</v>
      </c>
      <c r="D466" s="6">
        <v>0.34579322622168857</v>
      </c>
      <c r="E466" s="6">
        <v>-1.2100896021672285</v>
      </c>
      <c r="F466" s="6">
        <v>-0.94392916152754913</v>
      </c>
      <c r="G466" s="6">
        <v>-1.8195735296779858</v>
      </c>
      <c r="H466" s="6">
        <v>0.22125822766315714</v>
      </c>
      <c r="I466" s="6">
        <v>-3.8671440382477024E-2</v>
      </c>
      <c r="J466" s="6">
        <v>-0.86527907361953171</v>
      </c>
      <c r="K466" s="6">
        <v>-0.89269086270712661</v>
      </c>
      <c r="L466" s="6">
        <v>-0.42418398655871886</v>
      </c>
      <c r="N466" s="8">
        <f>SQRT((C466-Sheet4!$C$525)^2+(D466-Sheet4!$D$525)^2+(E466-Sheet4!$E$525)^2+(F466-Sheet4!$F$525)^2+(G466-Sheet4!$G$525)^2+(H466-Sheet4!$H$525)^2+(I466-Sheet4!$I$525)^2+(J466-Sheet4!$J$525)^2+(K466-Sheet4!$K$525)^2+(L466-Sheet4!$L$525)^2)</f>
        <v>2.4649861952165475</v>
      </c>
      <c r="O466" s="8">
        <f>SQRT((C466-Sheet4!$C$526)^2+(D466-Sheet4!$D$526)^2+(E466-Sheet4!$E$526)^2+(F466-Sheet4!$F$526)^2+(G466-Sheet4!$G$526)^2+(H466-Sheet4!$H$526)^2+(I466-Sheet4!$I$526)^2+(J466-Sheet4!$J$526)^2+(K466-Sheet4!$K$526)^2+(L466-Sheet4!$L$526)^2)</f>
        <v>4.7962679956903598</v>
      </c>
      <c r="P466" s="12">
        <f t="shared" si="7"/>
        <v>0</v>
      </c>
      <c r="Q466" s="11">
        <f>IF(P466=Sheet1!$M466, 1, 0)</f>
        <v>1</v>
      </c>
    </row>
    <row r="467" spans="1:17" x14ac:dyDescent="0.35">
      <c r="A467" s="6" t="s">
        <v>505</v>
      </c>
      <c r="B467" s="6" t="s">
        <v>509</v>
      </c>
      <c r="C467" s="6">
        <v>-0.95057437866753802</v>
      </c>
      <c r="D467" s="6">
        <v>-0.20660661648206549</v>
      </c>
      <c r="E467" s="6">
        <v>-1.1725136180366185</v>
      </c>
      <c r="F467" s="6">
        <v>-0.88384328474776852</v>
      </c>
      <c r="G467" s="6">
        <v>-1.0820823255060454</v>
      </c>
      <c r="H467" s="6">
        <v>-1.0359144667704869</v>
      </c>
      <c r="I467" s="6">
        <v>0.34063858566542055</v>
      </c>
      <c r="J467" s="6">
        <v>-1.1841368419362523</v>
      </c>
      <c r="K467" s="6">
        <v>-9.3026371325635418E-2</v>
      </c>
      <c r="L467" s="6">
        <v>-0.32245308010840712</v>
      </c>
      <c r="N467" s="8">
        <f>SQRT((C467-Sheet4!$C$525)^2+(D467-Sheet4!$D$525)^2+(E467-Sheet4!$E$525)^2+(F467-Sheet4!$F$525)^2+(G467-Sheet4!$G$525)^2+(H467-Sheet4!$H$525)^2+(I467-Sheet4!$I$525)^2+(J467-Sheet4!$J$525)^2+(K467-Sheet4!$K$525)^2+(L467-Sheet4!$L$525)^2)</f>
        <v>2.1402290124789736</v>
      </c>
      <c r="O467" s="8">
        <f>SQRT((C467-Sheet4!$C$526)^2+(D467-Sheet4!$D$526)^2+(E467-Sheet4!$E$526)^2+(F467-Sheet4!$F$526)^2+(G467-Sheet4!$G$526)^2+(H467-Sheet4!$H$526)^2+(I467-Sheet4!$I$526)^2+(J467-Sheet4!$J$526)^2+(K467-Sheet4!$K$526)^2+(L467-Sheet4!$L$526)^2)</f>
        <v>4.8824982062801894</v>
      </c>
      <c r="P467" s="12">
        <f t="shared" si="7"/>
        <v>0</v>
      </c>
      <c r="Q467" s="11">
        <f>IF(P467=Sheet1!$M467, 1, 0)</f>
        <v>1</v>
      </c>
    </row>
    <row r="468" spans="1:17" x14ac:dyDescent="0.35">
      <c r="A468" s="6" t="s">
        <v>505</v>
      </c>
      <c r="B468" s="6" t="s">
        <v>510</v>
      </c>
      <c r="C468" s="6">
        <v>-0.94654831338436674</v>
      </c>
      <c r="D468" s="6">
        <v>0.11255773708010311</v>
      </c>
      <c r="E468" s="6">
        <v>-1.0336298335538736</v>
      </c>
      <c r="F468" s="6">
        <v>-0.32458243164365874</v>
      </c>
      <c r="G468" s="6">
        <v>-1.3591132060089755E-2</v>
      </c>
      <c r="H468" s="6">
        <v>-0.44287799009034873</v>
      </c>
      <c r="I468" s="6">
        <v>0.1245274951944336</v>
      </c>
      <c r="J468" s="6">
        <v>1.1199901267333845</v>
      </c>
      <c r="K468" s="6">
        <v>-0.79410208979707941</v>
      </c>
      <c r="L468" s="6">
        <v>-0.37807532601592014</v>
      </c>
      <c r="N468" s="8">
        <f>SQRT((C468-Sheet4!$C$525)^2+(D468-Sheet4!$D$525)^2+(E468-Sheet4!$E$525)^2+(F468-Sheet4!$F$525)^2+(G468-Sheet4!$G$525)^2+(H468-Sheet4!$H$525)^2+(I468-Sheet4!$I$525)^2+(J468-Sheet4!$J$525)^2+(K468-Sheet4!$K$525)^2+(L468-Sheet4!$L$525)^2)</f>
        <v>2.3631095393540691</v>
      </c>
      <c r="O468" s="8">
        <f>SQRT((C468-Sheet4!$C$526)^2+(D468-Sheet4!$D$526)^2+(E468-Sheet4!$E$526)^2+(F468-Sheet4!$F$526)^2+(G468-Sheet4!$G$526)^2+(H468-Sheet4!$H$526)^2+(I468-Sheet4!$I$526)^2+(J468-Sheet4!$J$526)^2+(K468-Sheet4!$K$526)^2+(L468-Sheet4!$L$526)^2)</f>
        <v>3.3188493746988232</v>
      </c>
      <c r="P468" s="12">
        <f t="shared" si="7"/>
        <v>0</v>
      </c>
      <c r="Q468" s="11">
        <f>IF(P468=Sheet1!$M468, 1, 0)</f>
        <v>1</v>
      </c>
    </row>
    <row r="469" spans="1:17" x14ac:dyDescent="0.35">
      <c r="A469" s="6" t="s">
        <v>505</v>
      </c>
      <c r="B469" s="6" t="s">
        <v>511</v>
      </c>
      <c r="C469" s="6">
        <v>0.37131705597373715</v>
      </c>
      <c r="D469" s="6">
        <v>-0.10226442397135649</v>
      </c>
      <c r="E469" s="6">
        <v>-0.86637986497253106</v>
      </c>
      <c r="F469" s="6">
        <v>-0.45091683923191406</v>
      </c>
      <c r="G469" s="6">
        <v>-0.16747709198573077</v>
      </c>
      <c r="H469" s="6">
        <v>-0.3825509370584006</v>
      </c>
      <c r="I469" s="6">
        <v>-1.2511885320515537</v>
      </c>
      <c r="J469" s="6">
        <v>0.65309125169818638</v>
      </c>
      <c r="K469" s="6">
        <v>-0.72994114234768448</v>
      </c>
      <c r="L469" s="6">
        <v>-0.40688205479667994</v>
      </c>
      <c r="N469" s="8">
        <f>SQRT((C469-Sheet4!$C$525)^2+(D469-Sheet4!$D$525)^2+(E469-Sheet4!$E$525)^2+(F469-Sheet4!$F$525)^2+(G469-Sheet4!$G$525)^2+(H469-Sheet4!$H$525)^2+(I469-Sheet4!$I$525)^2+(J469-Sheet4!$J$525)^2+(K469-Sheet4!$K$525)^2+(L469-Sheet4!$L$525)^2)</f>
        <v>1.8246206386177537</v>
      </c>
      <c r="O469" s="8">
        <f>SQRT((C469-Sheet4!$C$526)^2+(D469-Sheet4!$D$526)^2+(E469-Sheet4!$E$526)^2+(F469-Sheet4!$F$526)^2+(G469-Sheet4!$G$526)^2+(H469-Sheet4!$H$526)^2+(I469-Sheet4!$I$526)^2+(J469-Sheet4!$J$526)^2+(K469-Sheet4!$K$526)^2+(L469-Sheet4!$L$526)^2)</f>
        <v>3.9925513902399827</v>
      </c>
      <c r="P469" s="12">
        <f t="shared" si="7"/>
        <v>0</v>
      </c>
      <c r="Q469" s="11">
        <f>IF(P469=Sheet1!$M469, 1, 0)</f>
        <v>1</v>
      </c>
    </row>
    <row r="470" spans="1:17" x14ac:dyDescent="0.35">
      <c r="A470" s="6" t="s">
        <v>505</v>
      </c>
      <c r="B470" s="6" t="s">
        <v>512</v>
      </c>
      <c r="C470" s="6">
        <v>-0.77208548444693947</v>
      </c>
      <c r="D470" s="6">
        <v>-0.63625093858498472</v>
      </c>
      <c r="E470" s="6">
        <v>-1.4539651070149129</v>
      </c>
      <c r="F470" s="6">
        <v>-1.0825888771731962</v>
      </c>
      <c r="G470" s="6">
        <v>-0.66978409325244581</v>
      </c>
      <c r="H470" s="6">
        <v>-0.30714212076846453</v>
      </c>
      <c r="I470" s="6">
        <v>-0.39439412027277393</v>
      </c>
      <c r="J470" s="6">
        <v>0.45949903522017715</v>
      </c>
      <c r="K470" s="6">
        <v>-0.27455490557270729</v>
      </c>
      <c r="L470" s="6">
        <v>-0.43629440478483278</v>
      </c>
      <c r="N470" s="8">
        <f>SQRT((C470-Sheet4!$C$525)^2+(D470-Sheet4!$D$525)^2+(E470-Sheet4!$E$525)^2+(F470-Sheet4!$F$525)^2+(G470-Sheet4!$G$525)^2+(H470-Sheet4!$H$525)^2+(I470-Sheet4!$I$525)^2+(J470-Sheet4!$J$525)^2+(K470-Sheet4!$K$525)^2+(L470-Sheet4!$L$525)^2)</f>
        <v>1.9475640575164164</v>
      </c>
      <c r="O470" s="8">
        <f>SQRT((C470-Sheet4!$C$526)^2+(D470-Sheet4!$D$526)^2+(E470-Sheet4!$E$526)^2+(F470-Sheet4!$F$526)^2+(G470-Sheet4!$G$526)^2+(H470-Sheet4!$H$526)^2+(I470-Sheet4!$I$526)^2+(J470-Sheet4!$J$526)^2+(K470-Sheet4!$K$526)^2+(L470-Sheet4!$L$526)^2)</f>
        <v>4.5058550877398122</v>
      </c>
      <c r="P470" s="12">
        <f t="shared" si="7"/>
        <v>0</v>
      </c>
      <c r="Q470" s="11">
        <f>IF(P470=Sheet1!$M470, 1, 0)</f>
        <v>1</v>
      </c>
    </row>
    <row r="471" spans="1:17" x14ac:dyDescent="0.35">
      <c r="A471" s="6" t="s">
        <v>505</v>
      </c>
      <c r="B471" s="6" t="s">
        <v>513</v>
      </c>
      <c r="C471" s="6">
        <v>-0.64190937362439759</v>
      </c>
      <c r="D471" s="6">
        <v>-0.47053098577385882</v>
      </c>
      <c r="E471" s="6">
        <v>-1.4211782189009494</v>
      </c>
      <c r="F471" s="6">
        <v>-1.4169128582299235</v>
      </c>
      <c r="G471" s="6">
        <v>-2.1592840449855326</v>
      </c>
      <c r="H471" s="6">
        <v>-0.63732500923796886</v>
      </c>
      <c r="I471" s="6">
        <v>-1.0695022170538218</v>
      </c>
      <c r="J471" s="6">
        <v>0.39496829639417413</v>
      </c>
      <c r="K471" s="6">
        <v>-3.6689929662751655E-2</v>
      </c>
      <c r="L471" s="6">
        <v>-0.43535183051401094</v>
      </c>
      <c r="N471" s="8">
        <f>SQRT((C471-Sheet4!$C$525)^2+(D471-Sheet4!$D$525)^2+(E471-Sheet4!$E$525)^2+(F471-Sheet4!$F$525)^2+(G471-Sheet4!$G$525)^2+(H471-Sheet4!$H$525)^2+(I471-Sheet4!$I$525)^2+(J471-Sheet4!$J$525)^2+(K471-Sheet4!$K$525)^2+(L471-Sheet4!$L$525)^2)</f>
        <v>2.7907027489199265</v>
      </c>
      <c r="O471" s="8">
        <f>SQRT((C471-Sheet4!$C$526)^2+(D471-Sheet4!$D$526)^2+(E471-Sheet4!$E$526)^2+(F471-Sheet4!$F$526)^2+(G471-Sheet4!$G$526)^2+(H471-Sheet4!$H$526)^2+(I471-Sheet4!$I$526)^2+(J471-Sheet4!$J$526)^2+(K471-Sheet4!$K$526)^2+(L471-Sheet4!$L$526)^2)</f>
        <v>5.5642178020705764</v>
      </c>
      <c r="P471" s="12">
        <f t="shared" si="7"/>
        <v>0</v>
      </c>
      <c r="Q471" s="11">
        <f>IF(P471=Sheet1!$M471, 1, 0)</f>
        <v>1</v>
      </c>
    </row>
    <row r="472" spans="1:17" x14ac:dyDescent="0.35">
      <c r="A472" s="6" t="s">
        <v>505</v>
      </c>
      <c r="B472" s="6" t="s">
        <v>514</v>
      </c>
      <c r="C472" s="6">
        <v>-1.1706659474809076</v>
      </c>
      <c r="D472" s="6">
        <v>2.0705082906634091</v>
      </c>
      <c r="E472" s="6">
        <v>1.0923604058358354</v>
      </c>
      <c r="F472" s="6">
        <v>1.5735150091945358</v>
      </c>
      <c r="G472" s="6">
        <v>0.40741762622704125</v>
      </c>
      <c r="H472" s="6">
        <v>1.1859524417722642</v>
      </c>
      <c r="I472" s="6">
        <v>0.94753462734205607</v>
      </c>
      <c r="J472" s="6">
        <v>0.24313126386240255</v>
      </c>
      <c r="K472" s="6">
        <v>-1.5468195464595</v>
      </c>
      <c r="L472" s="6">
        <v>-0.30442189131630942</v>
      </c>
      <c r="N472" s="8">
        <f>SQRT((C472-Sheet4!$C$525)^2+(D472-Sheet4!$D$525)^2+(E472-Sheet4!$E$525)^2+(F472-Sheet4!$F$525)^2+(G472-Sheet4!$G$525)^2+(H472-Sheet4!$H$525)^2+(I472-Sheet4!$I$525)^2+(J472-Sheet4!$J$525)^2+(K472-Sheet4!$K$525)^2+(L472-Sheet4!$L$525)^2)</f>
        <v>4.6379368001453276</v>
      </c>
      <c r="O472" s="8">
        <f>SQRT((C472-Sheet4!$C$526)^2+(D472-Sheet4!$D$526)^2+(E472-Sheet4!$E$526)^2+(F472-Sheet4!$F$526)^2+(G472-Sheet4!$G$526)^2+(H472-Sheet4!$H$526)^2+(I472-Sheet4!$I$526)^2+(J472-Sheet4!$J$526)^2+(K472-Sheet4!$K$526)^2+(L472-Sheet4!$L$526)^2)</f>
        <v>2.1485690530342727</v>
      </c>
      <c r="P472" s="12">
        <f t="shared" si="7"/>
        <v>1</v>
      </c>
      <c r="Q472" s="11">
        <f>IF(P472=Sheet1!$M472, 1, 0)</f>
        <v>0</v>
      </c>
    </row>
    <row r="473" spans="1:17" x14ac:dyDescent="0.35">
      <c r="A473" s="6" t="s">
        <v>505</v>
      </c>
      <c r="B473" s="6" t="s">
        <v>515</v>
      </c>
      <c r="C473" s="6">
        <v>-0.76403335388059668</v>
      </c>
      <c r="D473" s="6">
        <v>0.92888194907565047</v>
      </c>
      <c r="E473" s="6">
        <v>-0.74002140853332288</v>
      </c>
      <c r="F473" s="6">
        <v>0.16380790013045457</v>
      </c>
      <c r="G473" s="6">
        <v>-6.5854288261248589E-2</v>
      </c>
      <c r="H473" s="6">
        <v>0.71895641517673314</v>
      </c>
      <c r="I473" s="6">
        <v>0.83342287160663786</v>
      </c>
      <c r="J473" s="6">
        <v>-0.85389129617964865</v>
      </c>
      <c r="K473" s="6">
        <v>-0.51085498032535759</v>
      </c>
      <c r="L473" s="6">
        <v>-0.41583651036948732</v>
      </c>
      <c r="N473" s="8">
        <f>SQRT((C473-Sheet4!$C$525)^2+(D473-Sheet4!$D$525)^2+(E473-Sheet4!$E$525)^2+(F473-Sheet4!$F$525)^2+(G473-Sheet4!$G$525)^2+(H473-Sheet4!$H$525)^2+(I473-Sheet4!$I$525)^2+(J473-Sheet4!$J$525)^2+(K473-Sheet4!$K$525)^2+(L473-Sheet4!$L$525)^2)</f>
        <v>2.4602042133173692</v>
      </c>
      <c r="O473" s="8">
        <f>SQRT((C473-Sheet4!$C$526)^2+(D473-Sheet4!$D$526)^2+(E473-Sheet4!$E$526)^2+(F473-Sheet4!$F$526)^2+(G473-Sheet4!$G$526)^2+(H473-Sheet4!$H$526)^2+(I473-Sheet4!$I$526)^2+(J473-Sheet4!$J$526)^2+(K473-Sheet4!$K$526)^2+(L473-Sheet4!$L$526)^2)</f>
        <v>3.1633891214931484</v>
      </c>
      <c r="P473" s="12">
        <f t="shared" si="7"/>
        <v>0</v>
      </c>
      <c r="Q473" s="11">
        <f>IF(P473=Sheet1!$M473, 1, 0)</f>
        <v>1</v>
      </c>
    </row>
    <row r="474" spans="1:17" x14ac:dyDescent="0.35">
      <c r="A474" s="6" t="s">
        <v>516</v>
      </c>
      <c r="B474" s="6" t="s">
        <v>517</v>
      </c>
      <c r="C474" s="6">
        <v>1.4207780731204147</v>
      </c>
      <c r="D474" s="6">
        <v>0.32737989813156382</v>
      </c>
      <c r="E474" s="6">
        <v>-1.0605224496473493</v>
      </c>
      <c r="F474" s="6">
        <v>-0.21673598614148823</v>
      </c>
      <c r="G474" s="6">
        <v>-0.33588059530058234</v>
      </c>
      <c r="H474" s="6">
        <v>-0.61093192353649162</v>
      </c>
      <c r="I474" s="6">
        <v>0.82003545892259477</v>
      </c>
      <c r="J474" s="6">
        <v>1.0782349427871476</v>
      </c>
      <c r="K474" s="6">
        <v>0.3232373365167836</v>
      </c>
      <c r="L474" s="6">
        <v>-0.38635027559699342</v>
      </c>
      <c r="N474" s="8">
        <f>SQRT((C474-Sheet4!$C$525)^2+(D474-Sheet4!$D$525)^2+(E474-Sheet4!$E$525)^2+(F474-Sheet4!$F$525)^2+(G474-Sheet4!$G$525)^2+(H474-Sheet4!$H$525)^2+(I474-Sheet4!$I$525)^2+(J474-Sheet4!$J$525)^2+(K474-Sheet4!$K$525)^2+(L474-Sheet4!$L$525)^2)</f>
        <v>2.4135672717052823</v>
      </c>
      <c r="O474" s="8">
        <f>SQRT((C474-Sheet4!$C$526)^2+(D474-Sheet4!$D$526)^2+(E474-Sheet4!$E$526)^2+(F474-Sheet4!$F$526)^2+(G474-Sheet4!$G$526)^2+(H474-Sheet4!$H$526)^2+(I474-Sheet4!$I$526)^2+(J474-Sheet4!$J$526)^2+(K474-Sheet4!$K$526)^2+(L474-Sheet4!$L$526)^2)</f>
        <v>4.0253854068651087</v>
      </c>
      <c r="P474" s="12">
        <f t="shared" si="7"/>
        <v>0</v>
      </c>
      <c r="Q474" s="11">
        <f>IF(P474=Sheet1!$M474, 1, 0)</f>
        <v>0</v>
      </c>
    </row>
    <row r="475" spans="1:17" x14ac:dyDescent="0.35">
      <c r="A475" s="6" t="s">
        <v>516</v>
      </c>
      <c r="B475" s="6" t="s">
        <v>518</v>
      </c>
      <c r="C475" s="6">
        <v>0.50551923207945038</v>
      </c>
      <c r="D475" s="6">
        <v>8.8006632959936798E-2</v>
      </c>
      <c r="E475" s="6">
        <v>-0.80080608874460379</v>
      </c>
      <c r="F475" s="6">
        <v>-0.71128897194429574</v>
      </c>
      <c r="G475" s="6">
        <v>-1.3724331932902731</v>
      </c>
      <c r="H475" s="6">
        <v>-0.1417813593326771</v>
      </c>
      <c r="I475" s="6">
        <v>-8.6483628539775009E-2</v>
      </c>
      <c r="J475" s="6">
        <v>-0.69446241202128833</v>
      </c>
      <c r="K475" s="6">
        <v>0.9679766133253439</v>
      </c>
      <c r="L475" s="6">
        <v>-0.42308137734353385</v>
      </c>
      <c r="N475" s="8">
        <f>SQRT((C475-Sheet4!$C$525)^2+(D475-Sheet4!$D$525)^2+(E475-Sheet4!$E$525)^2+(F475-Sheet4!$F$525)^2+(G475-Sheet4!$G$525)^2+(H475-Sheet4!$H$525)^2+(I475-Sheet4!$I$525)^2+(J475-Sheet4!$J$525)^2+(K475-Sheet4!$K$525)^2+(L475-Sheet4!$L$525)^2)</f>
        <v>1.5539760334027153</v>
      </c>
      <c r="O475" s="8">
        <f>SQRT((C475-Sheet4!$C$526)^2+(D475-Sheet4!$D$526)^2+(E475-Sheet4!$E$526)^2+(F475-Sheet4!$F$526)^2+(G475-Sheet4!$G$526)^2+(H475-Sheet4!$H$526)^2+(I475-Sheet4!$I$526)^2+(J475-Sheet4!$J$526)^2+(K475-Sheet4!$K$526)^2+(L475-Sheet4!$L$526)^2)</f>
        <v>4.6992894208441429</v>
      </c>
      <c r="P475" s="12">
        <f t="shared" si="7"/>
        <v>0</v>
      </c>
      <c r="Q475" s="11">
        <f>IF(P475=Sheet1!$M475, 1, 0)</f>
        <v>1</v>
      </c>
    </row>
    <row r="476" spans="1:17" x14ac:dyDescent="0.35">
      <c r="A476" s="6" t="s">
        <v>516</v>
      </c>
      <c r="B476" s="6" t="s">
        <v>519</v>
      </c>
      <c r="C476" s="6">
        <v>2.5950471140454052</v>
      </c>
      <c r="D476" s="6">
        <v>-0.83265977154631954</v>
      </c>
      <c r="E476" s="6">
        <v>-0.84390795289442122</v>
      </c>
      <c r="F476" s="6">
        <v>-1.4785393985168778</v>
      </c>
      <c r="G476" s="6">
        <v>-2.7341787631983023</v>
      </c>
      <c r="H476" s="6">
        <v>-0.86732189892227318</v>
      </c>
      <c r="I476" s="6">
        <v>-4.1664570179625366</v>
      </c>
      <c r="J476" s="6">
        <v>-0.81972796386000013</v>
      </c>
      <c r="K476" s="6">
        <v>0.86156333462878443</v>
      </c>
      <c r="L476" s="6">
        <v>-0.43825176650936182</v>
      </c>
      <c r="N476" s="8">
        <f>SQRT((C476-Sheet4!$C$525)^2+(D476-Sheet4!$D$525)^2+(E476-Sheet4!$E$525)^2+(F476-Sheet4!$F$525)^2+(G476-Sheet4!$G$525)^2+(H476-Sheet4!$H$525)^2+(I476-Sheet4!$I$525)^2+(J476-Sheet4!$J$525)^2+(K476-Sheet4!$K$525)^2+(L476-Sheet4!$L$525)^2)</f>
        <v>5.4207844363088959</v>
      </c>
      <c r="O476" s="8">
        <f>SQRT((C476-Sheet4!$C$526)^2+(D476-Sheet4!$D$526)^2+(E476-Sheet4!$E$526)^2+(F476-Sheet4!$F$526)^2+(G476-Sheet4!$G$526)^2+(H476-Sheet4!$H$526)^2+(I476-Sheet4!$I$526)^2+(J476-Sheet4!$J$526)^2+(K476-Sheet4!$K$526)^2+(L476-Sheet4!$L$526)^2)</f>
        <v>8.3862773678594689</v>
      </c>
      <c r="P476" s="12">
        <f t="shared" si="7"/>
        <v>0</v>
      </c>
      <c r="Q476" s="11">
        <f>IF(P476=Sheet1!$M476, 1, 0)</f>
        <v>0</v>
      </c>
    </row>
    <row r="477" spans="1:17" x14ac:dyDescent="0.35">
      <c r="A477" s="6" t="s">
        <v>516</v>
      </c>
      <c r="B477" s="6" t="s">
        <v>520</v>
      </c>
      <c r="C477" s="6">
        <v>2.3507991535330071</v>
      </c>
      <c r="D477" s="6">
        <v>-0.13295330412156439</v>
      </c>
      <c r="E477" s="6">
        <v>-0.22721974275088053</v>
      </c>
      <c r="F477" s="6">
        <v>-0.81297276341776981</v>
      </c>
      <c r="G477" s="6">
        <v>-2.5164156123601318</v>
      </c>
      <c r="H477" s="6">
        <v>1.3345348463762764E-2</v>
      </c>
      <c r="I477" s="6">
        <v>0.3336261314023502</v>
      </c>
      <c r="J477" s="6">
        <v>-0.12127761421384972</v>
      </c>
      <c r="K477" s="6">
        <v>-0.33089134723559105</v>
      </c>
      <c r="L477" s="6">
        <v>6.4727448954961561E-2</v>
      </c>
      <c r="N477" s="8">
        <f>SQRT((C477-Sheet4!$C$525)^2+(D477-Sheet4!$D$525)^2+(E477-Sheet4!$E$525)^2+(F477-Sheet4!$F$525)^2+(G477-Sheet4!$G$525)^2+(H477-Sheet4!$H$525)^2+(I477-Sheet4!$I$525)^2+(J477-Sheet4!$J$525)^2+(K477-Sheet4!$K$525)^2+(L477-Sheet4!$L$525)^2)</f>
        <v>3.2314515199639198</v>
      </c>
      <c r="O477" s="8">
        <f>SQRT((C477-Sheet4!$C$526)^2+(D477-Sheet4!$D$526)^2+(E477-Sheet4!$E$526)^2+(F477-Sheet4!$F$526)^2+(G477-Sheet4!$G$526)^2+(H477-Sheet4!$H$526)^2+(I477-Sheet4!$I$526)^2+(J477-Sheet4!$J$526)^2+(K477-Sheet4!$K$526)^2+(L477-Sheet4!$L$526)^2)</f>
        <v>5.4463108605830559</v>
      </c>
      <c r="P477" s="12">
        <f t="shared" si="7"/>
        <v>0</v>
      </c>
      <c r="Q477" s="11">
        <f>IF(P477=Sheet1!$M477, 1, 0)</f>
        <v>0</v>
      </c>
    </row>
    <row r="478" spans="1:17" x14ac:dyDescent="0.35">
      <c r="A478" s="6" t="s">
        <v>516</v>
      </c>
      <c r="B478" s="6" t="s">
        <v>521</v>
      </c>
      <c r="C478" s="6">
        <v>1.1121130680772742</v>
      </c>
      <c r="D478" s="6">
        <v>-5.9299991761064347E-2</v>
      </c>
      <c r="E478" s="6">
        <v>0.60866170815455178</v>
      </c>
      <c r="F478" s="6">
        <v>0.32249624136936217</v>
      </c>
      <c r="G478" s="6">
        <v>-0.24296831760963145</v>
      </c>
      <c r="H478" s="6">
        <v>0.52235485842082952</v>
      </c>
      <c r="I478" s="6">
        <v>6.7790365247773279E-2</v>
      </c>
      <c r="J478" s="6">
        <v>0.75178532284383803</v>
      </c>
      <c r="K478" s="6">
        <v>0.31697773188757328</v>
      </c>
      <c r="L478" s="6">
        <v>-0.32117223638801018</v>
      </c>
      <c r="N478" s="8">
        <f>SQRT((C478-Sheet4!$C$525)^2+(D478-Sheet4!$D$525)^2+(E478-Sheet4!$E$525)^2+(F478-Sheet4!$F$525)^2+(G478-Sheet4!$G$525)^2+(H478-Sheet4!$H$525)^2+(I478-Sheet4!$I$525)^2+(J478-Sheet4!$J$525)^2+(K478-Sheet4!$K$525)^2+(L478-Sheet4!$L$525)^2)</f>
        <v>2.0969477065583568</v>
      </c>
      <c r="O478" s="8">
        <f>SQRT((C478-Sheet4!$C$526)^2+(D478-Sheet4!$D$526)^2+(E478-Sheet4!$E$526)^2+(F478-Sheet4!$F$526)^2+(G478-Sheet4!$G$526)^2+(H478-Sheet4!$H$526)^2+(I478-Sheet4!$I$526)^2+(J478-Sheet4!$J$526)^2+(K478-Sheet4!$K$526)^2+(L478-Sheet4!$L$526)^2)</f>
        <v>2.9389389224207014</v>
      </c>
      <c r="P478" s="12">
        <f t="shared" si="7"/>
        <v>0</v>
      </c>
      <c r="Q478" s="11">
        <f>IF(P478=Sheet1!$M478, 1, 0)</f>
        <v>0</v>
      </c>
    </row>
    <row r="479" spans="1:17" x14ac:dyDescent="0.35">
      <c r="A479" s="6" t="s">
        <v>516</v>
      </c>
      <c r="B479" s="6" t="s">
        <v>522</v>
      </c>
      <c r="C479" s="6">
        <v>0.84236669410479081</v>
      </c>
      <c r="D479" s="6">
        <v>-0.58101095431460936</v>
      </c>
      <c r="E479" s="6">
        <v>-1.5239595872582061</v>
      </c>
      <c r="F479" s="6">
        <v>-1.1503780714888456</v>
      </c>
      <c r="G479" s="6">
        <v>-0.9485209263253026</v>
      </c>
      <c r="H479" s="6">
        <v>-1.9499770470849229</v>
      </c>
      <c r="I479" s="6">
        <v>-2.151970156935048</v>
      </c>
      <c r="J479" s="6">
        <v>-0.572992785995871</v>
      </c>
      <c r="K479" s="6">
        <v>1.6596629248529713</v>
      </c>
      <c r="L479" s="6">
        <v>-0.43176507527055735</v>
      </c>
      <c r="N479" s="8">
        <f>SQRT((C479-Sheet4!$C$525)^2+(D479-Sheet4!$D$525)^2+(E479-Sheet4!$E$525)^2+(F479-Sheet4!$F$525)^2+(G479-Sheet4!$G$525)^2+(H479-Sheet4!$H$525)^2+(I479-Sheet4!$I$525)^2+(J479-Sheet4!$J$525)^2+(K479-Sheet4!$K$525)^2+(L479-Sheet4!$L$525)^2)</f>
        <v>3.3713886181268706</v>
      </c>
      <c r="O479" s="8">
        <f>SQRT((C479-Sheet4!$C$526)^2+(D479-Sheet4!$D$526)^2+(E479-Sheet4!$E$526)^2+(F479-Sheet4!$F$526)^2+(G479-Sheet4!$G$526)^2+(H479-Sheet4!$H$526)^2+(I479-Sheet4!$I$526)^2+(J479-Sheet4!$J$526)^2+(K479-Sheet4!$K$526)^2+(L479-Sheet4!$L$526)^2)</f>
        <v>6.6313794272844859</v>
      </c>
      <c r="P479" s="12">
        <f t="shared" si="7"/>
        <v>0</v>
      </c>
      <c r="Q479" s="11">
        <f>IF(P479=Sheet1!$M479, 1, 0)</f>
        <v>0</v>
      </c>
    </row>
    <row r="480" spans="1:17" x14ac:dyDescent="0.35">
      <c r="A480" s="6" t="s">
        <v>516</v>
      </c>
      <c r="B480" s="6" t="s">
        <v>523</v>
      </c>
      <c r="C480" s="6">
        <v>2.0810527795605238</v>
      </c>
      <c r="D480" s="6">
        <v>-6.5437767791105925E-2</v>
      </c>
      <c r="E480" s="6">
        <v>-1.0958880817702765</v>
      </c>
      <c r="F480" s="6">
        <v>-0.64041845061429925</v>
      </c>
      <c r="G480" s="6">
        <v>-0.99788057384862183</v>
      </c>
      <c r="H480" s="6">
        <v>0.3801553762740934</v>
      </c>
      <c r="I480" s="6">
        <v>4.0407810380426222E-3</v>
      </c>
      <c r="J480" s="6">
        <v>-0.64511537644846251</v>
      </c>
      <c r="K480" s="6">
        <v>-8.989656901103138E-2</v>
      </c>
      <c r="L480" s="6">
        <v>-0.28089598137924437</v>
      </c>
      <c r="N480" s="8">
        <f>SQRT((C480-Sheet4!$C$525)^2+(D480-Sheet4!$D$525)^2+(E480-Sheet4!$E$525)^2+(F480-Sheet4!$F$525)^2+(G480-Sheet4!$G$525)^2+(H480-Sheet4!$H$525)^2+(I480-Sheet4!$I$525)^2+(J480-Sheet4!$J$525)^2+(K480-Sheet4!$K$525)^2+(L480-Sheet4!$L$525)^2)</f>
        <v>2.2654276068031844</v>
      </c>
      <c r="O480" s="8">
        <f>SQRT((C480-Sheet4!$C$526)^2+(D480-Sheet4!$D$526)^2+(E480-Sheet4!$E$526)^2+(F480-Sheet4!$F$526)^2+(G480-Sheet4!$G$526)^2+(H480-Sheet4!$H$526)^2+(I480-Sheet4!$I$526)^2+(J480-Sheet4!$J$526)^2+(K480-Sheet4!$K$526)^2+(L480-Sheet4!$L$526)^2)</f>
        <v>4.9619217309325592</v>
      </c>
      <c r="P480" s="12">
        <f t="shared" si="7"/>
        <v>0</v>
      </c>
      <c r="Q480" s="11">
        <f>IF(P480=Sheet1!$M480, 1, 0)</f>
        <v>1</v>
      </c>
    </row>
    <row r="481" spans="1:17" x14ac:dyDescent="0.35">
      <c r="A481" s="6" t="s">
        <v>516</v>
      </c>
      <c r="B481" s="6" t="s">
        <v>524</v>
      </c>
      <c r="C481" s="6">
        <v>0.70145440919379176</v>
      </c>
      <c r="D481" s="6">
        <v>-0.2557088247223992</v>
      </c>
      <c r="E481" s="6">
        <v>-0.89990353708905568</v>
      </c>
      <c r="F481" s="6">
        <v>-0.92544119944146208</v>
      </c>
      <c r="G481" s="6">
        <v>-1.4014682800686984</v>
      </c>
      <c r="H481" s="6">
        <v>-1.1899639057627842</v>
      </c>
      <c r="I481" s="6">
        <v>-0.74501683342629255</v>
      </c>
      <c r="J481" s="6">
        <v>-0.47429871485021918</v>
      </c>
      <c r="K481" s="6">
        <v>-0.47486225370740337</v>
      </c>
      <c r="L481" s="6">
        <v>-0.40481309277996602</v>
      </c>
      <c r="N481" s="8">
        <f>SQRT((C481-Sheet4!$C$525)^2+(D481-Sheet4!$D$525)^2+(E481-Sheet4!$E$525)^2+(F481-Sheet4!$F$525)^2+(G481-Sheet4!$G$525)^2+(H481-Sheet4!$H$525)^2+(I481-Sheet4!$I$525)^2+(J481-Sheet4!$J$525)^2+(K481-Sheet4!$K$525)^2+(L481-Sheet4!$L$525)^2)</f>
        <v>1.8949288555347139</v>
      </c>
      <c r="O481" s="8">
        <f>SQRT((C481-Sheet4!$C$526)^2+(D481-Sheet4!$D$526)^2+(E481-Sheet4!$E$526)^2+(F481-Sheet4!$F$526)^2+(G481-Sheet4!$G$526)^2+(H481-Sheet4!$H$526)^2+(I481-Sheet4!$I$526)^2+(J481-Sheet4!$J$526)^2+(K481-Sheet4!$K$526)^2+(L481-Sheet4!$L$526)^2)</f>
        <v>5.0812644668969629</v>
      </c>
      <c r="P481" s="12">
        <f t="shared" si="7"/>
        <v>0</v>
      </c>
      <c r="Q481" s="11">
        <f>IF(P481=Sheet1!$M481, 1, 0)</f>
        <v>0</v>
      </c>
    </row>
    <row r="482" spans="1:17" x14ac:dyDescent="0.35">
      <c r="A482" s="6" t="s">
        <v>516</v>
      </c>
      <c r="B482" s="6" t="s">
        <v>525</v>
      </c>
      <c r="C482" s="6">
        <v>2.8970020102832601</v>
      </c>
      <c r="D482" s="6">
        <v>-1.8699439206233688</v>
      </c>
      <c r="E482" s="6">
        <v>-1.9973433089036361</v>
      </c>
      <c r="F482" s="6">
        <v>-2.4984586402659716</v>
      </c>
      <c r="G482" s="6">
        <v>-2.7457927979096715</v>
      </c>
      <c r="H482" s="6">
        <v>-0.40140314113088427</v>
      </c>
      <c r="I482" s="6">
        <v>-3.0655016986604888</v>
      </c>
      <c r="J482" s="6">
        <v>-1.3549535035344955</v>
      </c>
      <c r="K482" s="6">
        <v>0.96171700869613352</v>
      </c>
      <c r="L482" s="6">
        <v>-0.45585809689648016</v>
      </c>
      <c r="N482" s="8">
        <f>SQRT((C482-Sheet4!$C$525)^2+(D482-Sheet4!$D$525)^2+(E482-Sheet4!$E$525)^2+(F482-Sheet4!$F$525)^2+(G482-Sheet4!$G$525)^2+(H482-Sheet4!$H$525)^2+(I482-Sheet4!$I$525)^2+(J482-Sheet4!$J$525)^2+(K482-Sheet4!$K$525)^2+(L482-Sheet4!$L$525)^2)</f>
        <v>5.6325754112002082</v>
      </c>
      <c r="O482" s="8">
        <f>SQRT((C482-Sheet4!$C$526)^2+(D482-Sheet4!$D$526)^2+(E482-Sheet4!$E$526)^2+(F482-Sheet4!$F$526)^2+(G482-Sheet4!$G$526)^2+(H482-Sheet4!$H$526)^2+(I482-Sheet4!$I$526)^2+(J482-Sheet4!$J$526)^2+(K482-Sheet4!$K$526)^2+(L482-Sheet4!$L$526)^2)</f>
        <v>9.025791679877246</v>
      </c>
      <c r="P482" s="12">
        <f t="shared" si="7"/>
        <v>0</v>
      </c>
      <c r="Q482" s="11">
        <f>IF(P482=Sheet1!$M482, 1, 0)</f>
        <v>0</v>
      </c>
    </row>
    <row r="483" spans="1:17" x14ac:dyDescent="0.35">
      <c r="A483" s="6" t="s">
        <v>516</v>
      </c>
      <c r="B483" s="6" t="s">
        <v>526</v>
      </c>
      <c r="C483" s="6">
        <v>2.5655226353021487</v>
      </c>
      <c r="D483" s="6">
        <v>-0.90631308390682019</v>
      </c>
      <c r="E483" s="6">
        <v>-1.8713532444657084</v>
      </c>
      <c r="F483" s="6">
        <v>-1.5756011994688301</v>
      </c>
      <c r="G483" s="6">
        <v>-1.2795209155993224</v>
      </c>
      <c r="H483" s="6">
        <v>-0.36154419537763277</v>
      </c>
      <c r="I483" s="6">
        <v>-2.8245282703477068</v>
      </c>
      <c r="J483" s="6">
        <v>-1.203116471002724</v>
      </c>
      <c r="K483" s="6">
        <v>1.8850086915045086</v>
      </c>
      <c r="L483" s="6">
        <v>-0.4491674075950281</v>
      </c>
      <c r="N483" s="8">
        <f>SQRT((C483-Sheet4!$C$525)^2+(D483-Sheet4!$D$525)^2+(E483-Sheet4!$E$525)^2+(F483-Sheet4!$F$525)^2+(G483-Sheet4!$G$525)^2+(H483-Sheet4!$H$525)^2+(I483-Sheet4!$I$525)^2+(J483-Sheet4!$J$525)^2+(K483-Sheet4!$K$525)^2+(L483-Sheet4!$L$525)^2)</f>
        <v>4.5144751527622766</v>
      </c>
      <c r="O483" s="8">
        <f>SQRT((C483-Sheet4!$C$526)^2+(D483-Sheet4!$D$526)^2+(E483-Sheet4!$E$526)^2+(F483-Sheet4!$F$526)^2+(G483-Sheet4!$G$526)^2+(H483-Sheet4!$H$526)^2+(I483-Sheet4!$I$526)^2+(J483-Sheet4!$J$526)^2+(K483-Sheet4!$K$526)^2+(L483-Sheet4!$L$526)^2)</f>
        <v>7.78774069456923</v>
      </c>
      <c r="P483" s="12">
        <f t="shared" si="7"/>
        <v>0</v>
      </c>
      <c r="Q483" s="11">
        <f>IF(P483=Sheet1!$M483, 1, 0)</f>
        <v>0</v>
      </c>
    </row>
    <row r="484" spans="1:17" x14ac:dyDescent="0.35">
      <c r="A484" s="6" t="s">
        <v>516</v>
      </c>
      <c r="B484" s="6" t="s">
        <v>527</v>
      </c>
      <c r="C484" s="6">
        <v>2.285040087241208</v>
      </c>
      <c r="D484" s="6">
        <v>-1.1088596928981966</v>
      </c>
      <c r="E484" s="6">
        <v>-1.7755713241327811</v>
      </c>
      <c r="F484" s="6">
        <v>-1.5524912468612224</v>
      </c>
      <c r="G484" s="6">
        <v>-0.59719637630638889</v>
      </c>
      <c r="H484" s="6">
        <v>0.77228122098175955</v>
      </c>
      <c r="I484" s="6">
        <v>-0.27836987701106458</v>
      </c>
      <c r="J484" s="6">
        <v>-0.81972796386000013</v>
      </c>
      <c r="K484" s="6">
        <v>2.3701280502682298</v>
      </c>
      <c r="L484" s="6">
        <v>-0.44667799602217417</v>
      </c>
      <c r="N484" s="8">
        <f>SQRT((C484-Sheet4!$C$525)^2+(D484-Sheet4!$D$525)^2+(E484-Sheet4!$E$525)^2+(F484-Sheet4!$F$525)^2+(G484-Sheet4!$G$525)^2+(H484-Sheet4!$H$525)^2+(I484-Sheet4!$I$525)^2+(J484-Sheet4!$J$525)^2+(K484-Sheet4!$K$525)^2+(L484-Sheet4!$L$525)^2)</f>
        <v>3.7424662849992152</v>
      </c>
      <c r="O484" s="8">
        <f>SQRT((C484-Sheet4!$C$526)^2+(D484-Sheet4!$D$526)^2+(E484-Sheet4!$E$526)^2+(F484-Sheet4!$F$526)^2+(G484-Sheet4!$G$526)^2+(H484-Sheet4!$H$526)^2+(I484-Sheet4!$I$526)^2+(J484-Sheet4!$J$526)^2+(K484-Sheet4!$K$526)^2+(L484-Sheet4!$L$526)^2)</f>
        <v>6.71542126366265</v>
      </c>
      <c r="P484" s="12">
        <f t="shared" si="7"/>
        <v>0</v>
      </c>
      <c r="Q484" s="11">
        <f>IF(P484=Sheet1!$M484, 1, 0)</f>
        <v>0</v>
      </c>
    </row>
    <row r="485" spans="1:17" x14ac:dyDescent="0.35">
      <c r="A485" s="6" t="s">
        <v>516</v>
      </c>
      <c r="B485" s="6" t="s">
        <v>528</v>
      </c>
      <c r="C485" s="6">
        <v>3.0097318382120597</v>
      </c>
      <c r="D485" s="6">
        <v>-2.0356638734344945</v>
      </c>
      <c r="E485" s="6">
        <v>-1.9582937567679042</v>
      </c>
      <c r="F485" s="6">
        <v>-2.1256180715298973</v>
      </c>
      <c r="G485" s="6">
        <v>-0.69591567135302324</v>
      </c>
      <c r="H485" s="6">
        <v>-1.7232119638130445</v>
      </c>
      <c r="I485" s="6">
        <v>-0.16999558385452232</v>
      </c>
      <c r="J485" s="6">
        <v>-1.6548316427847449</v>
      </c>
      <c r="K485" s="6">
        <v>3.9506782191435814</v>
      </c>
      <c r="L485" s="6">
        <v>-0.45564831091379226</v>
      </c>
      <c r="N485" s="8">
        <f>SQRT((C485-Sheet4!$C$525)^2+(D485-Sheet4!$D$525)^2+(E485-Sheet4!$E$525)^2+(F485-Sheet4!$F$525)^2+(G485-Sheet4!$G$525)^2+(H485-Sheet4!$H$525)^2+(I485-Sheet4!$I$525)^2+(J485-Sheet4!$J$525)^2+(K485-Sheet4!$K$525)^2+(L485-Sheet4!$L$525)^2)</f>
        <v>5.8254340428227778</v>
      </c>
      <c r="O485" s="8">
        <f>SQRT((C485-Sheet4!$C$526)^2+(D485-Sheet4!$D$526)^2+(E485-Sheet4!$E$526)^2+(F485-Sheet4!$F$526)^2+(G485-Sheet4!$G$526)^2+(H485-Sheet4!$H$526)^2+(I485-Sheet4!$I$526)^2+(J485-Sheet4!$J$526)^2+(K485-Sheet4!$K$526)^2+(L485-Sheet4!$L$526)^2)</f>
        <v>8.979548437133964</v>
      </c>
      <c r="P485" s="12">
        <f t="shared" si="7"/>
        <v>0</v>
      </c>
      <c r="Q485" s="11">
        <f>IF(P485=Sheet1!$M485, 1, 0)</f>
        <v>1</v>
      </c>
    </row>
    <row r="486" spans="1:17" x14ac:dyDescent="0.35">
      <c r="A486" s="6" t="s">
        <v>516</v>
      </c>
      <c r="B486" s="6" t="s">
        <v>529</v>
      </c>
      <c r="C486" s="6">
        <v>0.41291973056650833</v>
      </c>
      <c r="D486" s="6">
        <v>1.6899661768008225</v>
      </c>
      <c r="E486" s="6">
        <v>1.259610374417178</v>
      </c>
      <c r="F486" s="6">
        <v>1.3193055305108483</v>
      </c>
      <c r="G486" s="6">
        <v>0.36967201341509293</v>
      </c>
      <c r="H486" s="6">
        <v>0.72865183441401093</v>
      </c>
      <c r="I486" s="6">
        <v>0.44901287882196284</v>
      </c>
      <c r="J486" s="6">
        <v>1.8563997345124774</v>
      </c>
      <c r="K486" s="6">
        <v>-1.2620075358304761</v>
      </c>
      <c r="L486" s="6">
        <v>-0.25026139819673437</v>
      </c>
      <c r="N486" s="8">
        <f>SQRT((C486-Sheet4!$C$525)^2+(D486-Sheet4!$D$525)^2+(E486-Sheet4!$E$525)^2+(F486-Sheet4!$F$525)^2+(G486-Sheet4!$G$525)^2+(H486-Sheet4!$H$525)^2+(I486-Sheet4!$I$525)^2+(J486-Sheet4!$J$525)^2+(K486-Sheet4!$K$525)^2+(L486-Sheet4!$L$525)^2)</f>
        <v>4.3637694793822064</v>
      </c>
      <c r="O486" s="8">
        <f>SQRT((C486-Sheet4!$C$526)^2+(D486-Sheet4!$D$526)^2+(E486-Sheet4!$E$526)^2+(F486-Sheet4!$F$526)^2+(G486-Sheet4!$G$526)^2+(H486-Sheet4!$H$526)^2+(I486-Sheet4!$I$526)^2+(J486-Sheet4!$J$526)^2+(K486-Sheet4!$K$526)^2+(L486-Sheet4!$L$526)^2)</f>
        <v>1.9628492938701558</v>
      </c>
      <c r="P486" s="12">
        <f t="shared" si="7"/>
        <v>1</v>
      </c>
      <c r="Q486" s="11">
        <f>IF(P486=Sheet1!$M486, 1, 0)</f>
        <v>0</v>
      </c>
    </row>
    <row r="487" spans="1:17" x14ac:dyDescent="0.35">
      <c r="A487" s="6" t="s">
        <v>530</v>
      </c>
      <c r="B487" s="6" t="s">
        <v>531</v>
      </c>
      <c r="C487" s="6">
        <v>-0.28358956342214331</v>
      </c>
      <c r="D487" s="6">
        <v>0.18007327341056265</v>
      </c>
      <c r="E487" s="6">
        <v>-4.5602486119598835E-2</v>
      </c>
      <c r="F487" s="6">
        <v>8.6774724771761666E-2</v>
      </c>
      <c r="G487" s="6">
        <v>-0.75108233623202991</v>
      </c>
      <c r="H487" s="6">
        <v>0.26381034542676335</v>
      </c>
      <c r="I487" s="6">
        <v>-0.87889096026672742</v>
      </c>
      <c r="J487" s="6">
        <v>-1.0892386966038949</v>
      </c>
      <c r="K487" s="6">
        <v>0.19178563930338741</v>
      </c>
      <c r="L487" s="6">
        <v>-0.24111775912918038</v>
      </c>
      <c r="N487" s="8">
        <f>SQRT((C487-Sheet4!$C$525)^2+(D487-Sheet4!$D$525)^2+(E487-Sheet4!$E$525)^2+(F487-Sheet4!$F$525)^2+(G487-Sheet4!$G$525)^2+(H487-Sheet4!$H$525)^2+(I487-Sheet4!$I$525)^2+(J487-Sheet4!$J$525)^2+(K487-Sheet4!$K$525)^2+(L487-Sheet4!$L$525)^2)</f>
        <v>1.5069127142850405</v>
      </c>
      <c r="O487" s="8">
        <f>SQRT((C487-Sheet4!$C$526)^2+(D487-Sheet4!$D$526)^2+(E487-Sheet4!$E$526)^2+(F487-Sheet4!$F$526)^2+(G487-Sheet4!$G$526)^2+(H487-Sheet4!$H$526)^2+(I487-Sheet4!$I$526)^2+(J487-Sheet4!$J$526)^2+(K487-Sheet4!$K$526)^2+(L487-Sheet4!$L$526)^2)</f>
        <v>3.8091193804622479</v>
      </c>
      <c r="P487" s="12">
        <f t="shared" si="7"/>
        <v>0</v>
      </c>
      <c r="Q487" s="11">
        <f>IF(P487=Sheet1!$M487, 1, 0)</f>
        <v>0</v>
      </c>
    </row>
    <row r="488" spans="1:17" x14ac:dyDescent="0.35">
      <c r="A488" s="6" t="s">
        <v>530</v>
      </c>
      <c r="B488" s="6" t="s">
        <v>532</v>
      </c>
      <c r="C488" s="6">
        <v>3.3304750391047144</v>
      </c>
      <c r="D488" s="6">
        <v>-1.7410506239924928</v>
      </c>
      <c r="E488" s="6">
        <v>-1.0240516415205809</v>
      </c>
      <c r="F488" s="6">
        <v>-1.7342895407077377</v>
      </c>
      <c r="G488" s="6">
        <v>-2.832898058244941</v>
      </c>
      <c r="H488" s="6">
        <v>-2.8818145626677008</v>
      </c>
      <c r="I488" s="6">
        <v>-2.6555918721919207</v>
      </c>
      <c r="J488" s="6">
        <v>-1.3056064679616697</v>
      </c>
      <c r="K488" s="6">
        <v>2.2965776958750204</v>
      </c>
      <c r="L488" s="6">
        <v>-0.36156945265711266</v>
      </c>
      <c r="N488" s="8">
        <f>SQRT((C488-Sheet4!$C$525)^2+(D488-Sheet4!$D$525)^2+(E488-Sheet4!$E$525)^2+(F488-Sheet4!$F$525)^2+(G488-Sheet4!$G$525)^2+(H488-Sheet4!$H$525)^2+(I488-Sheet4!$I$525)^2+(J488-Sheet4!$J$525)^2+(K488-Sheet4!$K$525)^2+(L488-Sheet4!$L$525)^2)</f>
        <v>6.162719173015021</v>
      </c>
      <c r="O488" s="8">
        <f>SQRT((C488-Sheet4!$C$526)^2+(D488-Sheet4!$D$526)^2+(E488-Sheet4!$E$526)^2+(F488-Sheet4!$F$526)^2+(G488-Sheet4!$G$526)^2+(H488-Sheet4!$H$526)^2+(I488-Sheet4!$I$526)^2+(J488-Sheet4!$J$526)^2+(K488-Sheet4!$K$526)^2+(L488-Sheet4!$L$526)^2)</f>
        <v>9.4123100282337848</v>
      </c>
      <c r="P488" s="12">
        <f t="shared" si="7"/>
        <v>0</v>
      </c>
      <c r="Q488" s="11">
        <f>IF(P488=Sheet1!$M488, 1, 0)</f>
        <v>1</v>
      </c>
    </row>
    <row r="489" spans="1:17" x14ac:dyDescent="0.35">
      <c r="A489" s="6" t="s">
        <v>530</v>
      </c>
      <c r="B489" s="6" t="s">
        <v>533</v>
      </c>
      <c r="C489" s="6">
        <v>-1.9211276493888138E-2</v>
      </c>
      <c r="D489" s="6">
        <v>0.99025970937606844</v>
      </c>
      <c r="E489" s="6">
        <v>-0.12370159039106277</v>
      </c>
      <c r="F489" s="6">
        <v>0.3240369048765368</v>
      </c>
      <c r="G489" s="6">
        <v>-0.72495075813144838</v>
      </c>
      <c r="H489" s="6">
        <v>-0.32114661522231003</v>
      </c>
      <c r="I489" s="6">
        <v>-0.65449242384847495</v>
      </c>
      <c r="J489" s="6">
        <v>1.0668471653472644</v>
      </c>
      <c r="K489" s="6">
        <v>-0.23386747548284592</v>
      </c>
      <c r="L489" s="6">
        <v>-0.24431388200745963</v>
      </c>
      <c r="N489" s="8">
        <f>SQRT((C489-Sheet4!$C$525)^2+(D489-Sheet4!$D$525)^2+(E489-Sheet4!$E$525)^2+(F489-Sheet4!$F$525)^2+(G489-Sheet4!$G$525)^2+(H489-Sheet4!$H$525)^2+(I489-Sheet4!$I$525)^2+(J489-Sheet4!$J$525)^2+(K489-Sheet4!$K$525)^2+(L489-Sheet4!$L$525)^2)</f>
        <v>2.2673289997223702</v>
      </c>
      <c r="O489" s="8">
        <f>SQRT((C489-Sheet4!$C$526)^2+(D489-Sheet4!$D$526)^2+(E489-Sheet4!$E$526)^2+(F489-Sheet4!$F$526)^2+(G489-Sheet4!$G$526)^2+(H489-Sheet4!$H$526)^2+(I489-Sheet4!$I$526)^2+(J489-Sheet4!$J$526)^2+(K489-Sheet4!$K$526)^2+(L489-Sheet4!$L$526)^2)</f>
        <v>2.9670707691500775</v>
      </c>
      <c r="P489" s="12">
        <f t="shared" si="7"/>
        <v>0</v>
      </c>
      <c r="Q489" s="11">
        <f>IF(P489=Sheet1!$M489, 1, 0)</f>
        <v>0</v>
      </c>
    </row>
    <row r="490" spans="1:17" x14ac:dyDescent="0.35">
      <c r="A490" s="6" t="s">
        <v>530</v>
      </c>
      <c r="B490" s="6" t="s">
        <v>534</v>
      </c>
      <c r="C490" s="6">
        <v>1.5509541839429564</v>
      </c>
      <c r="D490" s="6">
        <v>0.96570860525590108</v>
      </c>
      <c r="E490" s="6">
        <v>-0.54108972784185816</v>
      </c>
      <c r="F490" s="6">
        <v>-0.11967418518953367</v>
      </c>
      <c r="G490" s="6">
        <v>-0.43750339902506036</v>
      </c>
      <c r="H490" s="6">
        <v>0.45933463337852593</v>
      </c>
      <c r="I490" s="6">
        <v>0.13090245361540628</v>
      </c>
      <c r="J490" s="6">
        <v>-0.76278907666058571</v>
      </c>
      <c r="K490" s="6">
        <v>0.5673619170559473</v>
      </c>
      <c r="L490" s="6">
        <v>-0.29818874022829528</v>
      </c>
      <c r="N490" s="8">
        <f>SQRT((C490-Sheet4!$C$525)^2+(D490-Sheet4!$D$525)^2+(E490-Sheet4!$E$525)^2+(F490-Sheet4!$F$525)^2+(G490-Sheet4!$G$525)^2+(H490-Sheet4!$H$525)^2+(I490-Sheet4!$I$525)^2+(J490-Sheet4!$J$525)^2+(K490-Sheet4!$K$525)^2+(L490-Sheet4!$L$525)^2)</f>
        <v>2.1337053860189976</v>
      </c>
      <c r="O490" s="8">
        <f>SQRT((C490-Sheet4!$C$526)^2+(D490-Sheet4!$D$526)^2+(E490-Sheet4!$E$526)^2+(F490-Sheet4!$F$526)^2+(G490-Sheet4!$G$526)^2+(H490-Sheet4!$H$526)^2+(I490-Sheet4!$I$526)^2+(J490-Sheet4!$J$526)^2+(K490-Sheet4!$K$526)^2+(L490-Sheet4!$L$526)^2)</f>
        <v>4.0817533543230899</v>
      </c>
      <c r="P490" s="12">
        <f t="shared" si="7"/>
        <v>0</v>
      </c>
      <c r="Q490" s="11">
        <f>IF(P490=Sheet1!$M490, 1, 0)</f>
        <v>0</v>
      </c>
    </row>
    <row r="491" spans="1:17" x14ac:dyDescent="0.35">
      <c r="A491" s="6" t="s">
        <v>530</v>
      </c>
      <c r="B491" s="6" t="s">
        <v>535</v>
      </c>
      <c r="C491" s="6">
        <v>1.8542511019418684</v>
      </c>
      <c r="D491" s="6">
        <v>0.63426869963364929</v>
      </c>
      <c r="E491" s="6">
        <v>-1.0439448095897275</v>
      </c>
      <c r="F491" s="6">
        <v>-0.33998906671539642</v>
      </c>
      <c r="G491" s="6">
        <v>-0.14134551388514929</v>
      </c>
      <c r="H491" s="6">
        <v>-0.47627332301874908</v>
      </c>
      <c r="I491" s="6">
        <v>-0.27071992690589664</v>
      </c>
      <c r="J491" s="6">
        <v>-0.98295277383165469</v>
      </c>
      <c r="K491" s="6">
        <v>-0.86452264187568473</v>
      </c>
      <c r="L491" s="6">
        <v>-0.39831664356766405</v>
      </c>
      <c r="N491" s="8">
        <f>SQRT((C491-Sheet4!$C$525)^2+(D491-Sheet4!$D$525)^2+(E491-Sheet4!$E$525)^2+(F491-Sheet4!$F$525)^2+(G491-Sheet4!$G$525)^2+(H491-Sheet4!$H$525)^2+(I491-Sheet4!$I$525)^2+(J491-Sheet4!$J$525)^2+(K491-Sheet4!$K$525)^2+(L491-Sheet4!$L$525)^2)</f>
        <v>2.3839809246135277</v>
      </c>
      <c r="O491" s="8">
        <f>SQRT((C491-Sheet4!$C$526)^2+(D491-Sheet4!$D$526)^2+(E491-Sheet4!$E$526)^2+(F491-Sheet4!$F$526)^2+(G491-Sheet4!$G$526)^2+(H491-Sheet4!$H$526)^2+(I491-Sheet4!$I$526)^2+(J491-Sheet4!$J$526)^2+(K491-Sheet4!$K$526)^2+(L491-Sheet4!$L$526)^2)</f>
        <v>4.6648566165383141</v>
      </c>
      <c r="P491" s="12">
        <f t="shared" si="7"/>
        <v>0</v>
      </c>
      <c r="Q491" s="11">
        <f>IF(P491=Sheet1!$M491, 1, 0)</f>
        <v>0</v>
      </c>
    </row>
    <row r="492" spans="1:17" x14ac:dyDescent="0.35">
      <c r="A492" s="6" t="s">
        <v>530</v>
      </c>
      <c r="B492" s="6" t="s">
        <v>536</v>
      </c>
      <c r="C492" s="6">
        <v>1.6341595331284986</v>
      </c>
      <c r="D492" s="6">
        <v>1.1682552142472775</v>
      </c>
      <c r="E492" s="6">
        <v>-0.26442733488021003</v>
      </c>
      <c r="F492" s="6">
        <v>0.3702568100917521</v>
      </c>
      <c r="G492" s="6">
        <v>-0.39685427753526831</v>
      </c>
      <c r="H492" s="6">
        <v>0.32952374247942162</v>
      </c>
      <c r="I492" s="6">
        <v>0.79899809613338379</v>
      </c>
      <c r="J492" s="6">
        <v>1.6817871471009402</v>
      </c>
      <c r="K492" s="6">
        <v>8.6769811250344078E-4</v>
      </c>
      <c r="L492" s="6">
        <v>-0.3894164523571117</v>
      </c>
      <c r="N492" s="8">
        <f>SQRT((C492-Sheet4!$C$525)^2+(D492-Sheet4!$D$525)^2+(E492-Sheet4!$E$525)^2+(F492-Sheet4!$F$525)^2+(G492-Sheet4!$G$525)^2+(H492-Sheet4!$H$525)^2+(I492-Sheet4!$I$525)^2+(J492-Sheet4!$J$525)^2+(K492-Sheet4!$K$525)^2+(L492-Sheet4!$L$525)^2)</f>
        <v>3.2711772489555688</v>
      </c>
      <c r="O492" s="8">
        <f>SQRT((C492-Sheet4!$C$526)^2+(D492-Sheet4!$D$526)^2+(E492-Sheet4!$E$526)^2+(F492-Sheet4!$F$526)^2+(G492-Sheet4!$G$526)^2+(H492-Sheet4!$H$526)^2+(I492-Sheet4!$I$526)^2+(J492-Sheet4!$J$526)^2+(K492-Sheet4!$K$526)^2+(L492-Sheet4!$L$526)^2)</f>
        <v>3.3427586399060965</v>
      </c>
      <c r="P492" s="12">
        <f t="shared" si="7"/>
        <v>0</v>
      </c>
      <c r="Q492" s="11">
        <f>IF(P492=Sheet1!$M492, 1, 0)</f>
        <v>0</v>
      </c>
    </row>
    <row r="493" spans="1:17" x14ac:dyDescent="0.35">
      <c r="A493" s="6" t="s">
        <v>530</v>
      </c>
      <c r="B493" s="6" t="s">
        <v>537</v>
      </c>
      <c r="C493" s="6">
        <v>3.2633739510518578</v>
      </c>
      <c r="D493" s="6">
        <v>-2.2504860344859545</v>
      </c>
      <c r="E493" s="6">
        <v>-1.4543334990161936</v>
      </c>
      <c r="F493" s="6">
        <v>-2.0378002516209874</v>
      </c>
      <c r="G493" s="6">
        <v>-0.88174022673492913</v>
      </c>
      <c r="H493" s="6">
        <v>-4.1443736011220542</v>
      </c>
      <c r="I493" s="6">
        <v>-0.19422042585421967</v>
      </c>
      <c r="J493" s="6">
        <v>-1.6396479395315677</v>
      </c>
      <c r="K493" s="6">
        <v>3.0978070884138136</v>
      </c>
      <c r="L493" s="6">
        <v>-0.39448198982833305</v>
      </c>
      <c r="N493" s="8">
        <f>SQRT((C493-Sheet4!$C$525)^2+(D493-Sheet4!$D$525)^2+(E493-Sheet4!$E$525)^2+(F493-Sheet4!$F$525)^2+(G493-Sheet4!$G$525)^2+(H493-Sheet4!$H$525)^2+(I493-Sheet4!$I$525)^2+(J493-Sheet4!$J$525)^2+(K493-Sheet4!$K$525)^2+(L493-Sheet4!$L$525)^2)</f>
        <v>6.4847203260454167</v>
      </c>
      <c r="O493" s="8">
        <f>SQRT((C493-Sheet4!$C$526)^2+(D493-Sheet4!$D$526)^2+(E493-Sheet4!$E$526)^2+(F493-Sheet4!$F$526)^2+(G493-Sheet4!$G$526)^2+(H493-Sheet4!$H$526)^2+(I493-Sheet4!$I$526)^2+(J493-Sheet4!$J$526)^2+(K493-Sheet4!$K$526)^2+(L493-Sheet4!$L$526)^2)</f>
        <v>9.5610792902676423</v>
      </c>
      <c r="P493" s="12">
        <f t="shared" si="7"/>
        <v>0</v>
      </c>
      <c r="Q493" s="11">
        <f>IF(P493=Sheet1!$M493, 1, 0)</f>
        <v>0</v>
      </c>
    </row>
    <row r="494" spans="1:17" x14ac:dyDescent="0.35">
      <c r="A494" s="6" t="s">
        <v>530</v>
      </c>
      <c r="B494" s="6" t="s">
        <v>538</v>
      </c>
      <c r="C494" s="6">
        <v>3.1841946671494865</v>
      </c>
      <c r="D494" s="6">
        <v>-2.8826769655802504</v>
      </c>
      <c r="E494" s="6">
        <v>-1.8551439964093668</v>
      </c>
      <c r="F494" s="6">
        <v>-3.2256518156520322</v>
      </c>
      <c r="G494" s="6">
        <v>-1.2562928461765845</v>
      </c>
      <c r="H494" s="6">
        <v>-3.3078743747058383</v>
      </c>
      <c r="I494" s="6">
        <v>-0.14449575017062968</v>
      </c>
      <c r="J494" s="6">
        <v>-1.2600553582021381</v>
      </c>
      <c r="K494" s="6">
        <v>3.431131034919209</v>
      </c>
      <c r="L494" s="6">
        <v>-0.4383993898129166</v>
      </c>
      <c r="N494" s="8">
        <f>SQRT((C494-Sheet4!$C$525)^2+(D494-Sheet4!$D$525)^2+(E494-Sheet4!$E$525)^2+(F494-Sheet4!$F$525)^2+(G494-Sheet4!$G$525)^2+(H494-Sheet4!$H$525)^2+(I494-Sheet4!$I$525)^2+(J494-Sheet4!$J$525)^2+(K494-Sheet4!$K$525)^2+(L494-Sheet4!$L$525)^2)</f>
        <v>6.8298855647273715</v>
      </c>
      <c r="O494" s="8">
        <f>SQRT((C494-Sheet4!$C$526)^2+(D494-Sheet4!$D$526)^2+(E494-Sheet4!$E$526)^2+(F494-Sheet4!$F$526)^2+(G494-Sheet4!$G$526)^2+(H494-Sheet4!$H$526)^2+(I494-Sheet4!$I$526)^2+(J494-Sheet4!$J$526)^2+(K494-Sheet4!$K$526)^2+(L494-Sheet4!$L$526)^2)</f>
        <v>10.061062771766411</v>
      </c>
      <c r="P494" s="12">
        <f t="shared" si="7"/>
        <v>0</v>
      </c>
      <c r="Q494" s="11">
        <f>IF(P494=Sheet1!$M494, 1, 0)</f>
        <v>0</v>
      </c>
    </row>
    <row r="495" spans="1:17" x14ac:dyDescent="0.35">
      <c r="A495" s="6" t="s">
        <v>530</v>
      </c>
      <c r="B495" s="6" t="s">
        <v>539</v>
      </c>
      <c r="C495" s="6">
        <v>0.25456116276176671</v>
      </c>
      <c r="D495" s="6">
        <v>1.0700507977666101</v>
      </c>
      <c r="E495" s="6">
        <v>0.39609952341570898</v>
      </c>
      <c r="F495" s="6">
        <v>0.70149946413413244</v>
      </c>
      <c r="G495" s="6">
        <v>0.78487375434653639</v>
      </c>
      <c r="H495" s="6">
        <v>0.3462214089436218</v>
      </c>
      <c r="I495" s="6">
        <v>0.3903632613490105</v>
      </c>
      <c r="J495" s="6">
        <v>0.11786571202369081</v>
      </c>
      <c r="K495" s="6">
        <v>-0.73463584581959163</v>
      </c>
      <c r="L495" s="6">
        <v>0.99575701327331334</v>
      </c>
      <c r="N495" s="8">
        <f>SQRT((C495-Sheet4!$C$525)^2+(D495-Sheet4!$D$525)^2+(E495-Sheet4!$E$525)^2+(F495-Sheet4!$F$525)^2+(G495-Sheet4!$G$525)^2+(H495-Sheet4!$H$525)^2+(I495-Sheet4!$I$525)^2+(J495-Sheet4!$J$525)^2+(K495-Sheet4!$K$525)^2+(L495-Sheet4!$L$525)^2)</f>
        <v>2.9194948108017833</v>
      </c>
      <c r="O495" s="8">
        <f>SQRT((C495-Sheet4!$C$526)^2+(D495-Sheet4!$D$526)^2+(E495-Sheet4!$E$526)^2+(F495-Sheet4!$F$526)^2+(G495-Sheet4!$G$526)^2+(H495-Sheet4!$H$526)^2+(I495-Sheet4!$I$526)^2+(J495-Sheet4!$J$526)^2+(K495-Sheet4!$K$526)^2+(L495-Sheet4!$L$526)^2)</f>
        <v>1.6530420554485659</v>
      </c>
      <c r="P495" s="12">
        <f t="shared" si="7"/>
        <v>1</v>
      </c>
      <c r="Q495" s="11">
        <f>IF(P495=Sheet1!$M495, 1, 0)</f>
        <v>0</v>
      </c>
    </row>
    <row r="496" spans="1:17" x14ac:dyDescent="0.35">
      <c r="A496" s="6" t="s">
        <v>530</v>
      </c>
      <c r="B496" s="6" t="s">
        <v>540</v>
      </c>
      <c r="C496" s="6">
        <v>1.0235396318475034</v>
      </c>
      <c r="D496" s="6">
        <v>0.21689992959081214</v>
      </c>
      <c r="E496" s="6">
        <v>-0.90653459311210449</v>
      </c>
      <c r="F496" s="6">
        <v>-1.2797938060914502</v>
      </c>
      <c r="G496" s="6">
        <v>-2.710950693775565</v>
      </c>
      <c r="H496" s="6">
        <v>-0.83446520039594407</v>
      </c>
      <c r="I496" s="6">
        <v>-1.3155756121033821</v>
      </c>
      <c r="J496" s="6">
        <v>0.63411162263171506</v>
      </c>
      <c r="K496" s="6">
        <v>1.6048913843473906</v>
      </c>
      <c r="L496" s="6">
        <v>-0.39158928350927796</v>
      </c>
      <c r="N496" s="8">
        <f>SQRT((C496-Sheet4!$C$525)^2+(D496-Sheet4!$D$525)^2+(E496-Sheet4!$E$525)^2+(F496-Sheet4!$F$525)^2+(G496-Sheet4!$G$525)^2+(H496-Sheet4!$H$525)^2+(I496-Sheet4!$I$525)^2+(J496-Sheet4!$J$525)^2+(K496-Sheet4!$K$525)^2+(L496-Sheet4!$L$525)^2)</f>
        <v>3.4982240760741909</v>
      </c>
      <c r="O496" s="8">
        <f>SQRT((C496-Sheet4!$C$526)^2+(D496-Sheet4!$D$526)^2+(E496-Sheet4!$E$526)^2+(F496-Sheet4!$F$526)^2+(G496-Sheet4!$G$526)^2+(H496-Sheet4!$H$526)^2+(I496-Sheet4!$I$526)^2+(J496-Sheet4!$J$526)^2+(K496-Sheet4!$K$526)^2+(L496-Sheet4!$L$526)^2)</f>
        <v>6.197047092061994</v>
      </c>
      <c r="P496" s="12">
        <f t="shared" si="7"/>
        <v>0</v>
      </c>
      <c r="Q496" s="11">
        <f>IF(P496=Sheet1!$M496, 1, 0)</f>
        <v>1</v>
      </c>
    </row>
    <row r="497" spans="1:17" x14ac:dyDescent="0.35">
      <c r="A497" s="6" t="s">
        <v>530</v>
      </c>
      <c r="B497" s="6" t="s">
        <v>541</v>
      </c>
      <c r="C497" s="6">
        <v>1.8488830148976401</v>
      </c>
      <c r="D497" s="6">
        <v>-1.1825130052586972</v>
      </c>
      <c r="E497" s="6">
        <v>-1.472753099080218</v>
      </c>
      <c r="F497" s="6">
        <v>-1.729667550186216</v>
      </c>
      <c r="G497" s="6">
        <v>-1.262099863532268</v>
      </c>
      <c r="H497" s="6">
        <v>-2.2575372906674467</v>
      </c>
      <c r="I497" s="6">
        <v>-2.3253690259855158</v>
      </c>
      <c r="J497" s="6">
        <v>-0.36042094045139028</v>
      </c>
      <c r="K497" s="6">
        <v>-1.2307095126844292</v>
      </c>
      <c r="L497" s="6">
        <v>-0.41957828575293704</v>
      </c>
      <c r="N497" s="8">
        <f>SQRT((C497-Sheet4!$C$525)^2+(D497-Sheet4!$D$525)^2+(E497-Sheet4!$E$525)^2+(F497-Sheet4!$F$525)^2+(G497-Sheet4!$G$525)^2+(H497-Sheet4!$H$525)^2+(I497-Sheet4!$I$525)^2+(J497-Sheet4!$J$525)^2+(K497-Sheet4!$K$525)^2+(L497-Sheet4!$L$525)^2)</f>
        <v>4.190455414600585</v>
      </c>
      <c r="O497" s="8">
        <f>SQRT((C497-Sheet4!$C$526)^2+(D497-Sheet4!$D$526)^2+(E497-Sheet4!$E$526)^2+(F497-Sheet4!$F$526)^2+(G497-Sheet4!$G$526)^2+(H497-Sheet4!$H$526)^2+(I497-Sheet4!$I$526)^2+(J497-Sheet4!$J$526)^2+(K497-Sheet4!$K$526)^2+(L497-Sheet4!$L$526)^2)</f>
        <v>7.1904552086401639</v>
      </c>
      <c r="P497" s="12">
        <f t="shared" si="7"/>
        <v>0</v>
      </c>
      <c r="Q497" s="11">
        <f>IF(P497=Sheet1!$M497, 1, 0)</f>
        <v>0</v>
      </c>
    </row>
    <row r="498" spans="1:17" x14ac:dyDescent="0.35">
      <c r="A498" s="6" t="s">
        <v>530</v>
      </c>
      <c r="B498" s="6" t="s">
        <v>542</v>
      </c>
      <c r="C498" s="6">
        <v>1.6851563600486694</v>
      </c>
      <c r="D498" s="6">
        <v>-2.0602149775546614</v>
      </c>
      <c r="E498" s="6">
        <v>-1.6904727718369876</v>
      </c>
      <c r="F498" s="6">
        <v>-2.8712992090020455</v>
      </c>
      <c r="G498" s="6">
        <v>-3.213257695042278</v>
      </c>
      <c r="H498" s="6">
        <v>-2.4702978794854795</v>
      </c>
      <c r="I498" s="6">
        <v>0.86274768034311444</v>
      </c>
      <c r="J498" s="6">
        <v>-1.7497297881171021</v>
      </c>
      <c r="K498" s="6">
        <v>1.8302371509989257</v>
      </c>
      <c r="L498" s="6">
        <v>-0.42626847357395242</v>
      </c>
      <c r="N498" s="8">
        <f>SQRT((C498-Sheet4!$C$525)^2+(D498-Sheet4!$D$525)^2+(E498-Sheet4!$E$525)^2+(F498-Sheet4!$F$525)^2+(G498-Sheet4!$G$525)^2+(H498-Sheet4!$H$525)^2+(I498-Sheet4!$I$525)^2+(J498-Sheet4!$J$525)^2+(K498-Sheet4!$K$525)^2+(L498-Sheet4!$L$525)^2)</f>
        <v>5.6489057496776596</v>
      </c>
      <c r="O498" s="8">
        <f>SQRT((C498-Sheet4!$C$526)^2+(D498-Sheet4!$D$526)^2+(E498-Sheet4!$E$526)^2+(F498-Sheet4!$F$526)^2+(G498-Sheet4!$G$526)^2+(H498-Sheet4!$H$526)^2+(I498-Sheet4!$I$526)^2+(J498-Sheet4!$J$526)^2+(K498-Sheet4!$K$526)^2+(L498-Sheet4!$L$526)^2)</f>
        <v>8.9476045105665953</v>
      </c>
      <c r="P498" s="12">
        <f t="shared" si="7"/>
        <v>0</v>
      </c>
      <c r="Q498" s="11">
        <f>IF(P498=Sheet1!$M498, 1, 0)</f>
        <v>0</v>
      </c>
    </row>
    <row r="499" spans="1:17" x14ac:dyDescent="0.35">
      <c r="A499" s="6" t="s">
        <v>530</v>
      </c>
      <c r="B499" s="6" t="s">
        <v>543</v>
      </c>
      <c r="C499" s="6">
        <v>3.4042862359628563</v>
      </c>
      <c r="D499" s="6">
        <v>-2.5573748359880404</v>
      </c>
      <c r="E499" s="6">
        <v>-2.0002904449138801</v>
      </c>
      <c r="F499" s="6">
        <v>-3.150159303800514</v>
      </c>
      <c r="G499" s="6">
        <v>-1.0472402213719409</v>
      </c>
      <c r="H499" s="6">
        <v>-3.4533056632649997</v>
      </c>
      <c r="I499" s="6">
        <v>-2.656866863876115</v>
      </c>
      <c r="J499" s="6">
        <v>-1.0664631417241293</v>
      </c>
      <c r="K499" s="6">
        <v>2.50470954979623</v>
      </c>
      <c r="L499" s="6">
        <v>-0.42642232359292964</v>
      </c>
      <c r="N499" s="8">
        <f>SQRT((C499-Sheet4!$C$525)^2+(D499-Sheet4!$D$525)^2+(E499-Sheet4!$E$525)^2+(F499-Sheet4!$F$525)^2+(G499-Sheet4!$G$525)^2+(H499-Sheet4!$H$525)^2+(I499-Sheet4!$I$525)^2+(J499-Sheet4!$J$525)^2+(K499-Sheet4!$K$525)^2+(L499-Sheet4!$L$525)^2)</f>
        <v>6.8845440010443957</v>
      </c>
      <c r="O499" s="8">
        <f>SQRT((C499-Sheet4!$C$526)^2+(D499-Sheet4!$D$526)^2+(E499-Sheet4!$E$526)^2+(F499-Sheet4!$F$526)^2+(G499-Sheet4!$G$526)^2+(H499-Sheet4!$H$526)^2+(I499-Sheet4!$I$526)^2+(J499-Sheet4!$J$526)^2+(K499-Sheet4!$K$526)^2+(L499-Sheet4!$L$526)^2)</f>
        <v>10.207876836759183</v>
      </c>
      <c r="P499" s="12">
        <f t="shared" si="7"/>
        <v>0</v>
      </c>
      <c r="Q499" s="11">
        <f>IF(P499=Sheet1!$M499, 1, 0)</f>
        <v>0</v>
      </c>
    </row>
    <row r="500" spans="1:17" x14ac:dyDescent="0.35">
      <c r="A500" s="6" t="s">
        <v>530</v>
      </c>
      <c r="B500" s="6" t="s">
        <v>544</v>
      </c>
      <c r="C500" s="6">
        <v>2.4407146115238354</v>
      </c>
      <c r="D500" s="6">
        <v>-3.31232128768317</v>
      </c>
      <c r="E500" s="6">
        <v>-1.8035691162300982</v>
      </c>
      <c r="F500" s="6">
        <v>-3.643171626096148</v>
      </c>
      <c r="G500" s="6">
        <v>-1.4856700317261222</v>
      </c>
      <c r="H500" s="6">
        <v>-2.4735296858979057</v>
      </c>
      <c r="I500" s="6">
        <v>-0.27135742274799424</v>
      </c>
      <c r="J500" s="6">
        <v>-0.23895131442597306</v>
      </c>
      <c r="K500" s="6">
        <v>2.8818507287060906</v>
      </c>
      <c r="L500" s="6">
        <v>-0.42874998682992832</v>
      </c>
      <c r="N500" s="8">
        <f>SQRT((C500-Sheet4!$C$525)^2+(D500-Sheet4!$D$525)^2+(E500-Sheet4!$E$525)^2+(F500-Sheet4!$F$525)^2+(G500-Sheet4!$G$525)^2+(H500-Sheet4!$H$525)^2+(I500-Sheet4!$I$525)^2+(J500-Sheet4!$J$525)^2+(K500-Sheet4!$K$525)^2+(L500-Sheet4!$L$525)^2)</f>
        <v>6.2923978124284767</v>
      </c>
      <c r="O500" s="8">
        <f>SQRT((C500-Sheet4!$C$526)^2+(D500-Sheet4!$D$526)^2+(E500-Sheet4!$E$526)^2+(F500-Sheet4!$F$526)^2+(G500-Sheet4!$G$526)^2+(H500-Sheet4!$H$526)^2+(I500-Sheet4!$I$526)^2+(J500-Sheet4!$J$526)^2+(K500-Sheet4!$K$526)^2+(L500-Sheet4!$L$526)^2)</f>
        <v>9.5200678711507241</v>
      </c>
      <c r="P500" s="12">
        <f t="shared" si="7"/>
        <v>0</v>
      </c>
      <c r="Q500" s="11">
        <f>IF(P500=Sheet1!$M500, 1, 0)</f>
        <v>0</v>
      </c>
    </row>
    <row r="501" spans="1:17" x14ac:dyDescent="0.35">
      <c r="A501" s="6" t="s">
        <v>530</v>
      </c>
      <c r="B501" s="6" t="s">
        <v>545</v>
      </c>
      <c r="C501" s="6">
        <v>2.7279072683900618</v>
      </c>
      <c r="D501" s="6">
        <v>-2.9379169498506257</v>
      </c>
      <c r="E501" s="6">
        <v>-2.0201836129830264</v>
      </c>
      <c r="F501" s="6">
        <v>-3.1316713417144273</v>
      </c>
      <c r="G501" s="6">
        <v>-1.1111174122844707</v>
      </c>
      <c r="H501" s="6">
        <v>-3.9838605493049055</v>
      </c>
      <c r="I501" s="6">
        <v>-5.0066765378467872</v>
      </c>
      <c r="J501" s="6">
        <v>-1.4954027586263845</v>
      </c>
      <c r="K501" s="6">
        <v>3.3090687446496272</v>
      </c>
      <c r="L501" s="6">
        <v>-0.43661217622155762</v>
      </c>
      <c r="N501" s="8">
        <f>SQRT((C501-Sheet4!$C$525)^2+(D501-Sheet4!$D$525)^2+(E501-Sheet4!$E$525)^2+(F501-Sheet4!$F$525)^2+(G501-Sheet4!$G$525)^2+(H501-Sheet4!$H$525)^2+(I501-Sheet4!$I$525)^2+(J501-Sheet4!$J$525)^2+(K501-Sheet4!$K$525)^2+(L501-Sheet4!$L$525)^2)</f>
        <v>8.4300199901363762</v>
      </c>
      <c r="O501" s="8">
        <f>SQRT((C501-Sheet4!$C$526)^2+(D501-Sheet4!$D$526)^2+(E501-Sheet4!$E$526)^2+(F501-Sheet4!$F$526)^2+(G501-Sheet4!$G$526)^2+(H501-Sheet4!$H$526)^2+(I501-Sheet4!$I$526)^2+(J501-Sheet4!$J$526)^2+(K501-Sheet4!$K$526)^2+(L501-Sheet4!$L$526)^2)</f>
        <v>11.655952265637682</v>
      </c>
      <c r="P501" s="12">
        <f t="shared" si="7"/>
        <v>0</v>
      </c>
      <c r="Q501" s="11">
        <f>IF(P501=Sheet1!$M501, 1, 0)</f>
        <v>0</v>
      </c>
    </row>
    <row r="502" spans="1:17" x14ac:dyDescent="0.35">
      <c r="A502" s="6" t="s">
        <v>530</v>
      </c>
      <c r="B502" s="6" t="s">
        <v>546</v>
      </c>
      <c r="C502" s="6">
        <v>0.21027444464688136</v>
      </c>
      <c r="D502" s="6">
        <v>0.24145103371097953</v>
      </c>
      <c r="E502" s="6">
        <v>-1.3659194187088759</v>
      </c>
      <c r="F502" s="6">
        <v>-0.92235987242711504</v>
      </c>
      <c r="G502" s="6">
        <v>-0.92819636558040863</v>
      </c>
      <c r="H502" s="6">
        <v>-0.47627332301874908</v>
      </c>
      <c r="I502" s="6">
        <v>0.29856386008699759</v>
      </c>
      <c r="J502" s="6">
        <v>-0.59197241506234233</v>
      </c>
      <c r="K502" s="6">
        <v>-0.13997340604470707</v>
      </c>
      <c r="L502" s="6">
        <v>-0.42002082134331026</v>
      </c>
      <c r="N502" s="8">
        <f>SQRT((C502-Sheet4!$C$525)^2+(D502-Sheet4!$D$525)^2+(E502-Sheet4!$E$525)^2+(F502-Sheet4!$F$525)^2+(G502-Sheet4!$G$525)^2+(H502-Sheet4!$H$525)^2+(I502-Sheet4!$I$525)^2+(J502-Sheet4!$J$525)^2+(K502-Sheet4!$K$525)^2+(L502-Sheet4!$L$525)^2)</f>
        <v>1.5879715286086895</v>
      </c>
      <c r="O502" s="8">
        <f>SQRT((C502-Sheet4!$C$526)^2+(D502-Sheet4!$D$526)^2+(E502-Sheet4!$E$526)^2+(F502-Sheet4!$F$526)^2+(G502-Sheet4!$G$526)^2+(H502-Sheet4!$H$526)^2+(I502-Sheet4!$I$526)^2+(J502-Sheet4!$J$526)^2+(K502-Sheet4!$K$526)^2+(L502-Sheet4!$L$526)^2)</f>
        <v>4.5123997579259338</v>
      </c>
      <c r="P502" s="12">
        <f t="shared" si="7"/>
        <v>0</v>
      </c>
      <c r="Q502" s="11">
        <f>IF(P502=Sheet1!$M502, 1, 0)</f>
        <v>1</v>
      </c>
    </row>
    <row r="503" spans="1:17" x14ac:dyDescent="0.35">
      <c r="A503" s="6" t="s">
        <v>530</v>
      </c>
      <c r="B503" s="6" t="s">
        <v>547</v>
      </c>
      <c r="C503" s="6">
        <v>0.50015114503522196</v>
      </c>
      <c r="D503" s="6">
        <v>-0.2557088247223992</v>
      </c>
      <c r="E503" s="6">
        <v>-0.51530228775222386</v>
      </c>
      <c r="F503" s="6">
        <v>-0.52949067809778161</v>
      </c>
      <c r="G503" s="6">
        <v>-0.83528408788945363</v>
      </c>
      <c r="H503" s="6">
        <v>-0.89533088782996373</v>
      </c>
      <c r="I503" s="6">
        <v>-0.60540524400698259</v>
      </c>
      <c r="J503" s="6">
        <v>-1.3853209100408499</v>
      </c>
      <c r="K503" s="6">
        <v>1.165154159145436</v>
      </c>
      <c r="L503" s="6">
        <v>-0.4161280585583762</v>
      </c>
      <c r="N503" s="8">
        <f>SQRT((C503-Sheet4!$C$525)^2+(D503-Sheet4!$D$525)^2+(E503-Sheet4!$E$525)^2+(F503-Sheet4!$F$525)^2+(G503-Sheet4!$G$525)^2+(H503-Sheet4!$H$525)^2+(I503-Sheet4!$I$525)^2+(J503-Sheet4!$J$525)^2+(K503-Sheet4!$K$525)^2+(L503-Sheet4!$L$525)^2)</f>
        <v>1.7034292589907671</v>
      </c>
      <c r="O503" s="8">
        <f>SQRT((C503-Sheet4!$C$526)^2+(D503-Sheet4!$D$526)^2+(E503-Sheet4!$E$526)^2+(F503-Sheet4!$F$526)^2+(G503-Sheet4!$G$526)^2+(H503-Sheet4!$H$526)^2+(I503-Sheet4!$I$526)^2+(J503-Sheet4!$J$526)^2+(K503-Sheet4!$K$526)^2+(L503-Sheet4!$L$526)^2)</f>
        <v>5.0479406876880386</v>
      </c>
      <c r="P503" s="12">
        <f t="shared" si="7"/>
        <v>0</v>
      </c>
      <c r="Q503" s="11">
        <f>IF(P503=Sheet1!$M503, 1, 0)</f>
        <v>1</v>
      </c>
    </row>
    <row r="504" spans="1:17" x14ac:dyDescent="0.35">
      <c r="A504" s="6" t="s">
        <v>530</v>
      </c>
      <c r="B504" s="6" t="s">
        <v>548</v>
      </c>
      <c r="C504" s="6">
        <v>2.3588512840993503</v>
      </c>
      <c r="D504" s="6">
        <v>0.47468652285256496</v>
      </c>
      <c r="E504" s="6">
        <v>-1.302924386489912</v>
      </c>
      <c r="F504" s="6">
        <v>-0.74364290559494794</v>
      </c>
      <c r="G504" s="6">
        <v>-0.93981040029177543</v>
      </c>
      <c r="H504" s="6">
        <v>0.40277802116107425</v>
      </c>
      <c r="I504" s="6">
        <v>-0.78071660058374182</v>
      </c>
      <c r="J504" s="6">
        <v>1.328766046464571</v>
      </c>
      <c r="K504" s="6">
        <v>-2.0460230156389425</v>
      </c>
      <c r="L504" s="6">
        <v>-0.42789772082774963</v>
      </c>
      <c r="N504" s="8">
        <f>SQRT((C504-Sheet4!$C$525)^2+(D504-Sheet4!$D$525)^2+(E504-Sheet4!$E$525)^2+(F504-Sheet4!$F$525)^2+(G504-Sheet4!$G$525)^2+(H504-Sheet4!$H$525)^2+(I504-Sheet4!$I$525)^2+(J504-Sheet4!$J$525)^2+(K504-Sheet4!$K$525)^2+(L504-Sheet4!$L$525)^2)</f>
        <v>3.910335705934485</v>
      </c>
      <c r="O504" s="8">
        <f>SQRT((C504-Sheet4!$C$526)^2+(D504-Sheet4!$D$526)^2+(E504-Sheet4!$E$526)^2+(F504-Sheet4!$F$526)^2+(G504-Sheet4!$G$526)^2+(H504-Sheet4!$H$526)^2+(I504-Sheet4!$I$526)^2+(J504-Sheet4!$J$526)^2+(K504-Sheet4!$K$526)^2+(L504-Sheet4!$L$526)^2)</f>
        <v>5.2468806055938773</v>
      </c>
      <c r="P504" s="12">
        <f t="shared" si="7"/>
        <v>0</v>
      </c>
      <c r="Q504" s="11">
        <f>IF(P504=Sheet1!$M504, 1, 0)</f>
        <v>0</v>
      </c>
    </row>
    <row r="505" spans="1:17" x14ac:dyDescent="0.35">
      <c r="A505" s="6" t="s">
        <v>530</v>
      </c>
      <c r="B505" s="6" t="s">
        <v>549</v>
      </c>
      <c r="C505" s="6">
        <v>3.4405208235113984</v>
      </c>
      <c r="D505" s="6">
        <v>0.26600213783114585</v>
      </c>
      <c r="E505" s="6">
        <v>-1.7007877478728415</v>
      </c>
      <c r="F505" s="6">
        <v>-1.1103208203023256</v>
      </c>
      <c r="G505" s="6">
        <v>-1.0443367126940972</v>
      </c>
      <c r="H505" s="6">
        <v>0.16793342185813062</v>
      </c>
      <c r="I505" s="6">
        <v>-2.5229927370356804</v>
      </c>
      <c r="J505" s="6">
        <v>-0.91083018337906307</v>
      </c>
      <c r="K505" s="6">
        <v>-0.14153830720200797</v>
      </c>
      <c r="L505" s="6">
        <v>-0.44261702834076222</v>
      </c>
      <c r="N505" s="8">
        <f>SQRT((C505-Sheet4!$C$525)^2+(D505-Sheet4!$D$525)^2+(E505-Sheet4!$E$525)^2+(F505-Sheet4!$F$525)^2+(G505-Sheet4!$G$525)^2+(H505-Sheet4!$H$525)^2+(I505-Sheet4!$I$525)^2+(J505-Sheet4!$J$525)^2+(K505-Sheet4!$K$525)^2+(L505-Sheet4!$L$525)^2)</f>
        <v>4.3812406022452626</v>
      </c>
      <c r="O505" s="8">
        <f>SQRT((C505-Sheet4!$C$526)^2+(D505-Sheet4!$D$526)^2+(E505-Sheet4!$E$526)^2+(F505-Sheet4!$F$526)^2+(G505-Sheet4!$G$526)^2+(H505-Sheet4!$H$526)^2+(I505-Sheet4!$I$526)^2+(J505-Sheet4!$J$526)^2+(K505-Sheet4!$K$526)^2+(L505-Sheet4!$L$526)^2)</f>
        <v>7.0486931820578915</v>
      </c>
      <c r="P505" s="12">
        <f t="shared" si="7"/>
        <v>0</v>
      </c>
      <c r="Q505" s="11">
        <f>IF(P505=Sheet1!$M505, 1, 0)</f>
        <v>0</v>
      </c>
    </row>
    <row r="506" spans="1:17" x14ac:dyDescent="0.35">
      <c r="A506" s="6" t="s">
        <v>530</v>
      </c>
      <c r="B506" s="6" t="s">
        <v>550</v>
      </c>
      <c r="C506" s="6">
        <v>2.2152549556662371</v>
      </c>
      <c r="D506" s="6">
        <v>-1.5753306711813664</v>
      </c>
      <c r="E506" s="6">
        <v>-2.1078609092877834</v>
      </c>
      <c r="F506" s="6">
        <v>-2.7341801568635717</v>
      </c>
      <c r="G506" s="6">
        <v>-3.3845647070349729</v>
      </c>
      <c r="H506" s="6">
        <v>-0.64702042847524666</v>
      </c>
      <c r="I506" s="6">
        <v>-1.2135762773678134</v>
      </c>
      <c r="J506" s="6">
        <v>-1.1955246193761351</v>
      </c>
      <c r="K506" s="6">
        <v>-0.41070130625800838</v>
      </c>
      <c r="L506" s="6">
        <v>-0.43740301087024008</v>
      </c>
      <c r="N506" s="8">
        <f>SQRT((C506-Sheet4!$C$525)^2+(D506-Sheet4!$D$525)^2+(E506-Sheet4!$E$525)^2+(F506-Sheet4!$F$525)^2+(G506-Sheet4!$G$525)^2+(H506-Sheet4!$H$525)^2+(I506-Sheet4!$I$525)^2+(J506-Sheet4!$J$525)^2+(K506-Sheet4!$K$525)^2+(L506-Sheet4!$L$525)^2)</f>
        <v>5.0355135186722046</v>
      </c>
      <c r="O506" s="8">
        <f>SQRT((C506-Sheet4!$C$526)^2+(D506-Sheet4!$D$526)^2+(E506-Sheet4!$E$526)^2+(F506-Sheet4!$F$526)^2+(G506-Sheet4!$G$526)^2+(H506-Sheet4!$H$526)^2+(I506-Sheet4!$I$526)^2+(J506-Sheet4!$J$526)^2+(K506-Sheet4!$K$526)^2+(L506-Sheet4!$L$526)^2)</f>
        <v>8.3607511008227959</v>
      </c>
      <c r="P506" s="12">
        <f t="shared" si="7"/>
        <v>0</v>
      </c>
      <c r="Q506" s="11">
        <f>IF(P506=Sheet1!$M506, 1, 0)</f>
        <v>0</v>
      </c>
    </row>
    <row r="507" spans="1:17" x14ac:dyDescent="0.35">
      <c r="A507" s="6" t="s">
        <v>530</v>
      </c>
      <c r="B507" s="6" t="s">
        <v>551</v>
      </c>
      <c r="C507" s="6">
        <v>3.3425532349542282</v>
      </c>
      <c r="D507" s="6">
        <v>-4.3066410045499275</v>
      </c>
      <c r="E507" s="6">
        <v>-2.3388426940906504</v>
      </c>
      <c r="F507" s="6">
        <v>-5.7138233797378133</v>
      </c>
      <c r="G507" s="6">
        <v>-4.130766437240438</v>
      </c>
      <c r="H507" s="6">
        <v>-3.9240721306750279</v>
      </c>
      <c r="I507" s="6">
        <v>-4.5763668444311056</v>
      </c>
      <c r="J507" s="6">
        <v>-1.9205464497153455</v>
      </c>
      <c r="K507" s="6">
        <v>4.4545763917949328</v>
      </c>
      <c r="L507" s="6">
        <v>-0.44190511417580608</v>
      </c>
      <c r="N507" s="8">
        <f>SQRT((C507-Sheet4!$C$525)^2+(D507-Sheet4!$D$525)^2+(E507-Sheet4!$E$525)^2+(F507-Sheet4!$F$525)^2+(G507-Sheet4!$G$525)^2+(H507-Sheet4!$H$525)^2+(I507-Sheet4!$I$525)^2+(J507-Sheet4!$J$525)^2+(K507-Sheet4!$K$525)^2+(L507-Sheet4!$L$525)^2)</f>
        <v>11.155697111548347</v>
      </c>
      <c r="O507" s="8">
        <f>SQRT((C507-Sheet4!$C$526)^2+(D507-Sheet4!$D$526)^2+(E507-Sheet4!$E$526)^2+(F507-Sheet4!$F$526)^2+(G507-Sheet4!$G$526)^2+(H507-Sheet4!$H$526)^2+(I507-Sheet4!$I$526)^2+(J507-Sheet4!$J$526)^2+(K507-Sheet4!$K$526)^2+(L507-Sheet4!$L$526)^2)</f>
        <v>14.56721025487164</v>
      </c>
      <c r="P507" s="12">
        <f t="shared" si="7"/>
        <v>0</v>
      </c>
      <c r="Q507" s="11">
        <f>IF(P507=Sheet1!$M507, 1, 0)</f>
        <v>0</v>
      </c>
    </row>
    <row r="508" spans="1:17" x14ac:dyDescent="0.35">
      <c r="A508" s="6" t="s">
        <v>530</v>
      </c>
      <c r="B508" s="6" t="s">
        <v>552</v>
      </c>
      <c r="C508" s="6">
        <v>3.5505666079180833</v>
      </c>
      <c r="D508" s="6">
        <v>-3.0729480225115435</v>
      </c>
      <c r="E508" s="6">
        <v>-2.1852232295566862</v>
      </c>
      <c r="F508" s="6">
        <v>-3.2734123843744225</v>
      </c>
      <c r="G508" s="6">
        <v>-1.0298191693048866</v>
      </c>
      <c r="H508" s="6">
        <v>-4.0231808606560859</v>
      </c>
      <c r="I508" s="6">
        <v>-5.3719616553685432</v>
      </c>
      <c r="J508" s="6">
        <v>-1.9205464497153455</v>
      </c>
      <c r="K508" s="6">
        <v>4.099343829087303</v>
      </c>
      <c r="L508" s="6">
        <v>-0.4338209779008988</v>
      </c>
      <c r="N508" s="8">
        <f>SQRT((C508-Sheet4!$C$525)^2+(D508-Sheet4!$D$525)^2+(E508-Sheet4!$E$525)^2+(F508-Sheet4!$F$525)^2+(G508-Sheet4!$G$525)^2+(H508-Sheet4!$H$525)^2+(I508-Sheet4!$I$525)^2+(J508-Sheet4!$J$525)^2+(K508-Sheet4!$K$525)^2+(L508-Sheet4!$L$525)^2)</f>
        <v>9.3994651040695807</v>
      </c>
      <c r="O508" s="8">
        <f>SQRT((C508-Sheet4!$C$526)^2+(D508-Sheet4!$D$526)^2+(E508-Sheet4!$E$526)^2+(F508-Sheet4!$F$526)^2+(G508-Sheet4!$G$526)^2+(H508-Sheet4!$H$526)^2+(I508-Sheet4!$I$526)^2+(J508-Sheet4!$J$526)^2+(K508-Sheet4!$K$526)^2+(L508-Sheet4!$L$526)^2)</f>
        <v>12.606739552776187</v>
      </c>
      <c r="P508" s="12">
        <f t="shared" si="7"/>
        <v>0</v>
      </c>
      <c r="Q508" s="11">
        <f>IF(P508=Sheet1!$M508, 1, 0)</f>
        <v>0</v>
      </c>
    </row>
    <row r="509" spans="1:17" x14ac:dyDescent="0.35">
      <c r="A509" s="6" t="s">
        <v>530</v>
      </c>
      <c r="B509" s="6" t="s">
        <v>553</v>
      </c>
      <c r="C509" s="6">
        <v>3.2861883209898282</v>
      </c>
      <c r="D509" s="6">
        <v>-3.1343257828119606</v>
      </c>
      <c r="E509" s="6">
        <v>-2.1505943814363202</v>
      </c>
      <c r="F509" s="6">
        <v>-3.3288762706326813</v>
      </c>
      <c r="G509" s="6">
        <v>-1.7150472172756639</v>
      </c>
      <c r="H509" s="6">
        <v>-4.0215649574498729</v>
      </c>
      <c r="I509" s="6">
        <v>-5.427423793631009</v>
      </c>
      <c r="J509" s="6">
        <v>-1.578913126518859</v>
      </c>
      <c r="K509" s="6">
        <v>4.1275120499187459</v>
      </c>
      <c r="L509" s="6">
        <v>-0.44286384029569342</v>
      </c>
      <c r="N509" s="8">
        <f>SQRT((C509-Sheet4!$C$525)^2+(D509-Sheet4!$D$525)^2+(E509-Sheet4!$E$525)^2+(F509-Sheet4!$F$525)^2+(G509-Sheet4!$G$525)^2+(H509-Sheet4!$H$525)^2+(I509-Sheet4!$I$525)^2+(J509-Sheet4!$J$525)^2+(K509-Sheet4!$K$525)^2+(L509-Sheet4!$L$525)^2)</f>
        <v>9.4073330928137722</v>
      </c>
      <c r="O509" s="8">
        <f>SQRT((C509-Sheet4!$C$526)^2+(D509-Sheet4!$D$526)^2+(E509-Sheet4!$E$526)^2+(F509-Sheet4!$F$526)^2+(G509-Sheet4!$G$526)^2+(H509-Sheet4!$H$526)^2+(I509-Sheet4!$I$526)^2+(J509-Sheet4!$J$526)^2+(K509-Sheet4!$K$526)^2+(L509-Sheet4!$L$526)^2)</f>
        <v>12.63543786566408</v>
      </c>
      <c r="P509" s="12">
        <f t="shared" si="7"/>
        <v>0</v>
      </c>
      <c r="Q509" s="11">
        <f>IF(P509=Sheet1!$M509, 1, 0)</f>
        <v>0</v>
      </c>
    </row>
    <row r="510" spans="1:17" x14ac:dyDescent="0.35">
      <c r="A510" s="6" t="s">
        <v>530</v>
      </c>
      <c r="B510" s="6" t="s">
        <v>554</v>
      </c>
      <c r="C510" s="6">
        <v>2.815138682858775</v>
      </c>
      <c r="D510" s="6">
        <v>-3.3307346157732955</v>
      </c>
      <c r="E510" s="6">
        <v>-2.0853889972096731</v>
      </c>
      <c r="F510" s="6">
        <v>-3.2225704886376851</v>
      </c>
      <c r="G510" s="6">
        <v>-1.2098367073311092</v>
      </c>
      <c r="H510" s="6">
        <v>-4.1325236442764925</v>
      </c>
      <c r="I510" s="6">
        <v>-1.6049987244155592</v>
      </c>
      <c r="J510" s="6">
        <v>-1.7649134913702793</v>
      </c>
      <c r="K510" s="6">
        <v>3.7894933999414433</v>
      </c>
      <c r="L510" s="6">
        <v>-0.44258696040957818</v>
      </c>
      <c r="N510" s="8">
        <f>SQRT((C510-Sheet4!$C$525)^2+(D510-Sheet4!$D$525)^2+(E510-Sheet4!$E$525)^2+(F510-Sheet4!$F$525)^2+(G510-Sheet4!$G$525)^2+(H510-Sheet4!$H$525)^2+(I510-Sheet4!$I$525)^2+(J510-Sheet4!$J$525)^2+(K510-Sheet4!$K$525)^2+(L510-Sheet4!$L$525)^2)</f>
        <v>7.6693743851521132</v>
      </c>
      <c r="O510" s="8">
        <f>SQRT((C510-Sheet4!$C$526)^2+(D510-Sheet4!$D$526)^2+(E510-Sheet4!$E$526)^2+(F510-Sheet4!$F$526)^2+(G510-Sheet4!$G$526)^2+(H510-Sheet4!$H$526)^2+(I510-Sheet4!$I$526)^2+(J510-Sheet4!$J$526)^2+(K510-Sheet4!$K$526)^2+(L510-Sheet4!$L$526)^2)</f>
        <v>10.994568410590681</v>
      </c>
      <c r="P510" s="12">
        <f t="shared" si="7"/>
        <v>0</v>
      </c>
      <c r="Q510" s="11">
        <f>IF(P510=Sheet1!$M510, 1, 0)</f>
        <v>0</v>
      </c>
    </row>
    <row r="511" spans="1:17" x14ac:dyDescent="0.35">
      <c r="A511" s="6" t="s">
        <v>530</v>
      </c>
      <c r="B511" s="6" t="s">
        <v>555</v>
      </c>
      <c r="C511" s="6">
        <v>3.2190872329369715</v>
      </c>
      <c r="D511" s="6">
        <v>-3.8524455783268405</v>
      </c>
      <c r="E511" s="6">
        <v>-1.8098317802518666</v>
      </c>
      <c r="F511" s="6">
        <v>-4.122317976827218</v>
      </c>
      <c r="G511" s="6">
        <v>-1.1024068862509435</v>
      </c>
      <c r="H511" s="6">
        <v>-3.5427189740087814</v>
      </c>
      <c r="I511" s="6">
        <v>-6.7966482776116973E-3</v>
      </c>
      <c r="J511" s="6">
        <v>-1.5637294232656818</v>
      </c>
      <c r="K511" s="6">
        <v>3.1244104080879533</v>
      </c>
      <c r="L511" s="6">
        <v>-0.4415745758829635</v>
      </c>
      <c r="N511" s="8">
        <f>SQRT((C511-Sheet4!$C$525)^2+(D511-Sheet4!$D$525)^2+(E511-Sheet4!$E$525)^2+(F511-Sheet4!$F$525)^2+(G511-Sheet4!$G$525)^2+(H511-Sheet4!$H$525)^2+(I511-Sheet4!$I$525)^2+(J511-Sheet4!$J$525)^2+(K511-Sheet4!$K$525)^2+(L511-Sheet4!$L$525)^2)</f>
        <v>7.6439768571047573</v>
      </c>
      <c r="O511" s="8">
        <f>SQRT((C511-Sheet4!$C$526)^2+(D511-Sheet4!$D$526)^2+(E511-Sheet4!$E$526)^2+(F511-Sheet4!$F$526)^2+(G511-Sheet4!$G$526)^2+(H511-Sheet4!$H$526)^2+(I511-Sheet4!$I$526)^2+(J511-Sheet4!$J$526)^2+(K511-Sheet4!$K$526)^2+(L511-Sheet4!$L$526)^2)</f>
        <v>10.88854370100802</v>
      </c>
      <c r="P511" s="12">
        <f t="shared" si="7"/>
        <v>0</v>
      </c>
      <c r="Q511" s="11">
        <f>IF(P511=Sheet1!$M511, 1, 0)</f>
        <v>0</v>
      </c>
    </row>
    <row r="512" spans="1:17" x14ac:dyDescent="0.35">
      <c r="A512" s="6" t="s">
        <v>530</v>
      </c>
      <c r="B512" s="6" t="s">
        <v>556</v>
      </c>
      <c r="C512" s="6">
        <v>2.219281020949408</v>
      </c>
      <c r="D512" s="6">
        <v>-2.146143841975245</v>
      </c>
      <c r="E512" s="6">
        <v>-1.808726604248025</v>
      </c>
      <c r="F512" s="6">
        <v>-2.2997130478405441</v>
      </c>
      <c r="G512" s="6">
        <v>-1.1053103949287875</v>
      </c>
      <c r="H512" s="6">
        <v>-3.5060918346679553</v>
      </c>
      <c r="I512" s="6">
        <v>-0.88590341452979782</v>
      </c>
      <c r="J512" s="6">
        <v>0.23553941223581379</v>
      </c>
      <c r="K512" s="6">
        <v>1.3670264084374373</v>
      </c>
      <c r="L512" s="6">
        <v>-0.43999002307308754</v>
      </c>
      <c r="N512" s="8">
        <f>SQRT((C512-Sheet4!$C$525)^2+(D512-Sheet4!$D$525)^2+(E512-Sheet4!$E$525)^2+(F512-Sheet4!$F$525)^2+(G512-Sheet4!$G$525)^2+(H512-Sheet4!$H$525)^2+(I512-Sheet4!$I$525)^2+(J512-Sheet4!$J$525)^2+(K512-Sheet4!$K$525)^2+(L512-Sheet4!$L$525)^2)</f>
        <v>5.1145178762551797</v>
      </c>
      <c r="O512" s="8">
        <f>SQRT((C512-Sheet4!$C$526)^2+(D512-Sheet4!$D$526)^2+(E512-Sheet4!$E$526)^2+(F512-Sheet4!$F$526)^2+(G512-Sheet4!$G$526)^2+(H512-Sheet4!$H$526)^2+(I512-Sheet4!$I$526)^2+(J512-Sheet4!$J$526)^2+(K512-Sheet4!$K$526)^2+(L512-Sheet4!$L$526)^2)</f>
        <v>8.2411995776981133</v>
      </c>
      <c r="P512" s="12">
        <f t="shared" si="7"/>
        <v>0</v>
      </c>
      <c r="Q512" s="11">
        <f>IF(P512=Sheet1!$M512, 1, 0)</f>
        <v>0</v>
      </c>
    </row>
    <row r="513" spans="1:17" x14ac:dyDescent="0.35">
      <c r="A513" s="6" t="s">
        <v>530</v>
      </c>
      <c r="B513" s="6" t="s">
        <v>557</v>
      </c>
      <c r="C513" s="6">
        <v>3.9437789839078228</v>
      </c>
      <c r="D513" s="6">
        <v>-3.2816324075329617</v>
      </c>
      <c r="E513" s="6">
        <v>-1.8407767083594277</v>
      </c>
      <c r="F513" s="6">
        <v>-3.3257949436183329</v>
      </c>
      <c r="G513" s="6">
        <v>-1.1517665337742629</v>
      </c>
      <c r="H513" s="6">
        <v>-4.1389872571013449</v>
      </c>
      <c r="I513" s="6">
        <v>-3.1955508504483392</v>
      </c>
      <c r="J513" s="6">
        <v>-1.3777290584142614</v>
      </c>
      <c r="K513" s="6">
        <v>0.98362562489836625</v>
      </c>
      <c r="L513" s="6">
        <v>-0.44291120930194378</v>
      </c>
      <c r="N513" s="8">
        <f>SQRT((C513-Sheet4!$C$525)^2+(D513-Sheet4!$D$525)^2+(E513-Sheet4!$E$525)^2+(F513-Sheet4!$F$525)^2+(G513-Sheet4!$G$525)^2+(H513-Sheet4!$H$525)^2+(I513-Sheet4!$I$525)^2+(J513-Sheet4!$J$525)^2+(K513-Sheet4!$K$525)^2+(L513-Sheet4!$L$525)^2)</f>
        <v>7.6869406825296966</v>
      </c>
      <c r="O513" s="8">
        <f>SQRT((C513-Sheet4!$C$526)^2+(D513-Sheet4!$D$526)^2+(E513-Sheet4!$E$526)^2+(F513-Sheet4!$F$526)^2+(G513-Sheet4!$G$526)^2+(H513-Sheet4!$H$526)^2+(I513-Sheet4!$I$526)^2+(J513-Sheet4!$J$526)^2+(K513-Sheet4!$K$526)^2+(L513-Sheet4!$L$526)^2)</f>
        <v>10.953844667393597</v>
      </c>
      <c r="P513" s="12">
        <f t="shared" si="7"/>
        <v>0</v>
      </c>
      <c r="Q513" s="11">
        <f>IF(P513=Sheet1!$M513, 1, 0)</f>
        <v>0</v>
      </c>
    </row>
    <row r="514" spans="1:17" x14ac:dyDescent="0.35">
      <c r="A514" s="6" t="s">
        <v>530</v>
      </c>
      <c r="B514" s="6" t="s">
        <v>558</v>
      </c>
      <c r="C514" s="6">
        <v>3.8001826554747109</v>
      </c>
      <c r="D514" s="6">
        <v>-3.1834279910522945</v>
      </c>
      <c r="E514" s="6">
        <v>-2.0820734691981486</v>
      </c>
      <c r="F514" s="6">
        <v>-3.0762074554561685</v>
      </c>
      <c r="G514" s="6">
        <v>-1.2475823201430574</v>
      </c>
      <c r="H514" s="6">
        <v>-4.1583780955759</v>
      </c>
      <c r="I514" s="6">
        <v>5.953268564334614E-3</v>
      </c>
      <c r="J514" s="6">
        <v>-1.6206683104650963</v>
      </c>
      <c r="K514" s="6">
        <v>2.4327240965603236</v>
      </c>
      <c r="L514" s="6">
        <v>-0.4413609034268911</v>
      </c>
      <c r="N514" s="8">
        <f>SQRT((C514-Sheet4!$C$525)^2+(D514-Sheet4!$D$525)^2+(E514-Sheet4!$E$525)^2+(F514-Sheet4!$F$525)^2+(G514-Sheet4!$G$525)^2+(H514-Sheet4!$H$525)^2+(I514-Sheet4!$I$525)^2+(J514-Sheet4!$J$525)^2+(K514-Sheet4!$K$525)^2+(L514-Sheet4!$L$525)^2)</f>
        <v>7.3116745674983594</v>
      </c>
      <c r="O514" s="8">
        <f>SQRT((C514-Sheet4!$C$526)^2+(D514-Sheet4!$D$526)^2+(E514-Sheet4!$E$526)^2+(F514-Sheet4!$F$526)^2+(G514-Sheet4!$G$526)^2+(H514-Sheet4!$H$526)^2+(I514-Sheet4!$I$526)^2+(J514-Sheet4!$J$526)^2+(K514-Sheet4!$K$526)^2+(L514-Sheet4!$L$526)^2)</f>
        <v>10.531313446854988</v>
      </c>
      <c r="P514" s="12">
        <f t="shared" si="7"/>
        <v>0</v>
      </c>
      <c r="Q514" s="11">
        <f>IF(P514=Sheet1!$M514, 1, 0)</f>
        <v>0</v>
      </c>
    </row>
    <row r="515" spans="1:17" x14ac:dyDescent="0.35">
      <c r="A515" s="6" t="s">
        <v>530</v>
      </c>
      <c r="B515" s="6" t="s">
        <v>559</v>
      </c>
      <c r="C515" s="6">
        <v>-0.11852088681211596</v>
      </c>
      <c r="D515" s="6">
        <v>1.923201665942408</v>
      </c>
      <c r="E515" s="6">
        <v>1.6991020319448029</v>
      </c>
      <c r="F515" s="6">
        <v>1.5688930186730139</v>
      </c>
      <c r="G515" s="6">
        <v>0.25062815762355645</v>
      </c>
      <c r="H515" s="6">
        <v>0.43671198849154513</v>
      </c>
      <c r="I515" s="6">
        <v>0.76266083313383681</v>
      </c>
      <c r="J515" s="6">
        <v>2.5092989743990963</v>
      </c>
      <c r="K515" s="6">
        <v>-0.89425576386442862</v>
      </c>
      <c r="L515" s="6">
        <v>1.855737795368476E-2</v>
      </c>
      <c r="N515" s="8">
        <f>SQRT((C515-Sheet4!$C$525)^2+(D515-Sheet4!$D$525)^2+(E515-Sheet4!$E$525)^2+(F515-Sheet4!$F$525)^2+(G515-Sheet4!$G$525)^2+(H515-Sheet4!$H$525)^2+(I515-Sheet4!$I$525)^2+(J515-Sheet4!$J$525)^2+(K515-Sheet4!$K$525)^2+(L515-Sheet4!$L$525)^2)</f>
        <v>5.0092859340182265</v>
      </c>
      <c r="O515" s="8">
        <f>SQRT((C515-Sheet4!$C$526)^2+(D515-Sheet4!$D$526)^2+(E515-Sheet4!$E$526)^2+(F515-Sheet4!$F$526)^2+(G515-Sheet4!$G$526)^2+(H515-Sheet4!$H$526)^2+(I515-Sheet4!$I$526)^2+(J515-Sheet4!$J$526)^2+(K515-Sheet4!$K$526)^2+(L515-Sheet4!$L$526)^2)</f>
        <v>2.1634173679491755</v>
      </c>
      <c r="P515" s="12">
        <f t="shared" ref="P515" si="8">IF(N515&lt;=O515, 0, 1)</f>
        <v>1</v>
      </c>
      <c r="Q515" s="11">
        <f>IF(P515=Sheet1!$M515, 1, 0)</f>
        <v>0</v>
      </c>
    </row>
    <row r="516" spans="1:17" x14ac:dyDescent="0.35">
      <c r="P516" s="15" t="s">
        <v>570</v>
      </c>
      <c r="Q516" s="15">
        <f>(SUM(Q2:Q515)/514)*100</f>
        <v>58.949416342412455</v>
      </c>
    </row>
    <row r="519" spans="1:17" x14ac:dyDescent="0.35">
      <c r="C519" s="1" t="s">
        <v>564</v>
      </c>
    </row>
    <row r="520" spans="1:17" x14ac:dyDescent="0.35">
      <c r="C520" s="9">
        <v>0.23302845910882625</v>
      </c>
      <c r="D520" s="9">
        <v>-0.36977728136537019</v>
      </c>
      <c r="E520" s="9">
        <v>-0.39744316105684441</v>
      </c>
      <c r="F520" s="9">
        <v>-0.40120394823456063</v>
      </c>
      <c r="G520" s="9">
        <v>-0.31399674285832663</v>
      </c>
      <c r="H520" s="9">
        <v>-0.24026738234626152</v>
      </c>
      <c r="I520" s="9">
        <v>-0.25279583746195455</v>
      </c>
      <c r="J520" s="9">
        <v>-0.38060562533160636</v>
      </c>
      <c r="K520" s="9">
        <v>0.20709931491413203</v>
      </c>
      <c r="L520" s="9">
        <v>-0.23051322706499272</v>
      </c>
    </row>
    <row r="521" spans="1:17" x14ac:dyDescent="0.35">
      <c r="C521" s="9">
        <v>-0.64768204075835656</v>
      </c>
      <c r="D521" s="9">
        <v>1.0277633261478669</v>
      </c>
      <c r="E521" s="9">
        <v>1.1046581976432874</v>
      </c>
      <c r="F521" s="9">
        <v>1.1151109737696074</v>
      </c>
      <c r="G521" s="9">
        <v>0.87272624117977926</v>
      </c>
      <c r="H521" s="9">
        <v>0.66780198916828726</v>
      </c>
      <c r="I521" s="9">
        <v>0.70262372471043744</v>
      </c>
      <c r="J521" s="9">
        <v>1.0578597527599065</v>
      </c>
      <c r="K521" s="9">
        <v>-0.57561427233489859</v>
      </c>
      <c r="L521" s="9">
        <v>0.64069117522475938</v>
      </c>
    </row>
    <row r="524" spans="1:17" x14ac:dyDescent="0.35">
      <c r="C524" s="1" t="s">
        <v>565</v>
      </c>
    </row>
    <row r="525" spans="1:17" x14ac:dyDescent="0.35">
      <c r="C525" s="9">
        <f>AVERAGEIF($P$2:$P$515, 0, C$2:C$515)</f>
        <v>0.25757243898726201</v>
      </c>
      <c r="D525" s="9">
        <f t="shared" ref="D525:L525" si="9">AVERAGEIF($P$2:$P$515, 0, D$2:D$515)</f>
        <v>-0.37832981872531463</v>
      </c>
      <c r="E525" s="9">
        <f t="shared" si="9"/>
        <v>-0.42352524265513491</v>
      </c>
      <c r="F525" s="9">
        <f t="shared" si="9"/>
        <v>-0.42745232296786057</v>
      </c>
      <c r="G525" s="9">
        <f t="shared" si="9"/>
        <v>-0.35136067170354413</v>
      </c>
      <c r="H525" s="9">
        <f t="shared" si="9"/>
        <v>-0.26637413722979969</v>
      </c>
      <c r="I525" s="9">
        <f t="shared" si="9"/>
        <v>-0.2779157703838171</v>
      </c>
      <c r="J525" s="9">
        <f t="shared" si="9"/>
        <v>-0.40636724248737482</v>
      </c>
      <c r="K525" s="9">
        <f t="shared" si="9"/>
        <v>0.22589619713214754</v>
      </c>
      <c r="L525" s="9">
        <f t="shared" si="9"/>
        <v>-0.23674924683440149</v>
      </c>
    </row>
    <row r="526" spans="1:17" x14ac:dyDescent="0.35">
      <c r="C526" s="9">
        <f>AVERAGEIF($P$2:$P$515, 1, C$2:C$515)</f>
        <v>-0.63096604181443516</v>
      </c>
      <c r="D526" s="9">
        <f t="shared" ref="D526:L526" si="10">AVERAGEIF($P$2:$P$515, 1, D$2:D$515)</f>
        <v>0.92678109956201271</v>
      </c>
      <c r="E526" s="9">
        <f t="shared" si="10"/>
        <v>1.0374947219404305</v>
      </c>
      <c r="F526" s="9">
        <f t="shared" si="10"/>
        <v>1.0471147508944418</v>
      </c>
      <c r="G526" s="9">
        <f t="shared" si="10"/>
        <v>0.8607157394080277</v>
      </c>
      <c r="H526" s="9">
        <f t="shared" si="10"/>
        <v>0.65252724891863845</v>
      </c>
      <c r="I526" s="9">
        <f t="shared" si="10"/>
        <v>0.68080037711472408</v>
      </c>
      <c r="J526" s="9">
        <f t="shared" si="10"/>
        <v>0.99546337924759642</v>
      </c>
      <c r="K526" s="9">
        <f t="shared" si="10"/>
        <v>-0.55336987888079325</v>
      </c>
      <c r="L526" s="9">
        <f t="shared" si="10"/>
        <v>0.579956208688299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2EB0-BC96-470D-AED8-A12D9DE5AFBE}">
  <dimension ref="A1:Q526"/>
  <sheetViews>
    <sheetView topLeftCell="A487" zoomScale="43" workbookViewId="0">
      <selection activeCell="C524" sqref="C524"/>
    </sheetView>
  </sheetViews>
  <sheetFormatPr defaultRowHeight="14.5" x14ac:dyDescent="0.35"/>
  <sheetData>
    <row r="1" spans="1:17" x14ac:dyDescent="0.35">
      <c r="A1" s="5" t="s">
        <v>560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N1" s="13" t="s">
        <v>571</v>
      </c>
      <c r="O1" s="13" t="s">
        <v>567</v>
      </c>
      <c r="P1" s="14" t="s">
        <v>569</v>
      </c>
      <c r="Q1" s="15" t="s">
        <v>572</v>
      </c>
    </row>
    <row r="2" spans="1:17" x14ac:dyDescent="0.35">
      <c r="A2" s="6" t="s">
        <v>12</v>
      </c>
      <c r="B2" s="6" t="s">
        <v>13</v>
      </c>
      <c r="C2" s="6">
        <v>0.90007362983024741</v>
      </c>
      <c r="D2" s="6">
        <v>0.6404064756636908</v>
      </c>
      <c r="E2" s="6">
        <v>-1.1703032660289354</v>
      </c>
      <c r="F2" s="6">
        <v>-0.54181598615517224</v>
      </c>
      <c r="G2" s="6">
        <v>-1.2708103895657952</v>
      </c>
      <c r="H2" s="6">
        <v>-0.30391031435603855</v>
      </c>
      <c r="I2" s="6">
        <v>0.14747734550993657</v>
      </c>
      <c r="J2" s="6">
        <v>0.24692718967569677</v>
      </c>
      <c r="K2" s="6">
        <v>0.26377109253929582</v>
      </c>
      <c r="L2" s="6">
        <v>-0.42450280274635355</v>
      </c>
      <c r="N2" s="8">
        <f>SQRT((C2-Sheet5!$C$525)^2+(D2-Sheet5!$D$525)^2+(E2-Sheet5!$E$525)^2+(F2-Sheet5!$F$525)^2+(G2-Sheet5!$G$525)^2+(H2-Sheet5!$H$525)^2+(I2-Sheet5!$I$525)^2+(J2-Sheet5!$J$525)^2+(K2-Sheet5!$K$525)^2+(L2-Sheet5!$L$525)^2)</f>
        <v>1.8741994166221414</v>
      </c>
      <c r="O2" s="8">
        <f>SQRT((C2-Sheet5!$C$526)^2+(D2-Sheet5!$D$526)^2+(E2-Sheet5!$E$526)^2+(F2-Sheet5!$F$526)^2+(G2-Sheet5!$G$526)^2+(H2-Sheet5!$H$526)^2+(I2-Sheet5!$I$526)^2+(J2-Sheet5!$J$526)^2+(K2-Sheet5!$K$526)^2+(L2-Sheet5!$L$526)^2)</f>
        <v>4.2195662515347339</v>
      </c>
      <c r="P2" s="12">
        <f>IF(N2&lt;=O2, 0, 1)</f>
        <v>0</v>
      </c>
      <c r="Q2" s="11">
        <f>IF(P2=Sheet1!$M2, 1, 0)</f>
        <v>1</v>
      </c>
    </row>
    <row r="3" spans="1:17" x14ac:dyDescent="0.35">
      <c r="A3" s="6" t="s">
        <v>12</v>
      </c>
      <c r="B3" s="6" t="s">
        <v>14</v>
      </c>
      <c r="C3" s="6">
        <v>1.0852726328561315</v>
      </c>
      <c r="D3" s="6">
        <v>0.14938439326035369</v>
      </c>
      <c r="E3" s="6">
        <v>-0.57056108794429738</v>
      </c>
      <c r="F3" s="6">
        <v>-0.1088895406393177</v>
      </c>
      <c r="G3" s="6">
        <v>-0.64655602382970401</v>
      </c>
      <c r="H3" s="6">
        <v>-0.41163719477023253</v>
      </c>
      <c r="I3" s="6">
        <v>-0.41798146643037459</v>
      </c>
      <c r="J3" s="6">
        <v>1.2528475301986848</v>
      </c>
      <c r="K3" s="6">
        <v>-1.0350968680216379</v>
      </c>
      <c r="L3" s="6">
        <v>-0.42173791125360344</v>
      </c>
      <c r="N3" s="8">
        <f>SQRT((C3-Sheet5!$C$525)^2+(D3-Sheet5!$D$525)^2+(E3-Sheet5!$E$525)^2+(F3-Sheet5!$F$525)^2+(G3-Sheet5!$G$525)^2+(H3-Sheet5!$H$525)^2+(I3-Sheet5!$I$525)^2+(J3-Sheet5!$J$525)^2+(K3-Sheet5!$K$525)^2+(L3-Sheet5!$L$525)^2)</f>
        <v>2.3647092243631356</v>
      </c>
      <c r="O3" s="8">
        <f>SQRT((C3-Sheet5!$C$526)^2+(D3-Sheet5!$D$526)^2+(E3-Sheet5!$E$526)^2+(F3-Sheet5!$F$526)^2+(G3-Sheet5!$G$526)^2+(H3-Sheet5!$H$526)^2+(I3-Sheet5!$I$526)^2+(J3-Sheet5!$J$526)^2+(K3-Sheet5!$K$526)^2+(L3-Sheet5!$L$526)^2)</f>
        <v>3.658598708723825</v>
      </c>
      <c r="P3" s="12">
        <f t="shared" ref="P3:P66" si="0">IF(N3&lt;=O3, 0, 1)</f>
        <v>0</v>
      </c>
      <c r="Q3" s="11">
        <f>IF(P3=Sheet1!$M3, 1, 0)</f>
        <v>0</v>
      </c>
    </row>
    <row r="4" spans="1:17" x14ac:dyDescent="0.35">
      <c r="A4" s="6" t="s">
        <v>12</v>
      </c>
      <c r="B4" s="6" t="s">
        <v>15</v>
      </c>
      <c r="C4" s="6">
        <v>0.12170100841711061</v>
      </c>
      <c r="D4" s="6">
        <v>0.27213991386118852</v>
      </c>
      <c r="E4" s="6">
        <v>-0.79012272070746958</v>
      </c>
      <c r="F4" s="6">
        <v>-0.38312764491626466</v>
      </c>
      <c r="G4" s="6">
        <v>-1.5263191532159142</v>
      </c>
      <c r="H4" s="6">
        <v>-0.78921991062198271</v>
      </c>
      <c r="I4" s="6">
        <v>-0.34976941132596229</v>
      </c>
      <c r="J4" s="6">
        <v>0.53162162567276894</v>
      </c>
      <c r="K4" s="6">
        <v>-1.3480770994821039</v>
      </c>
      <c r="L4" s="6">
        <v>-0.36813456289920671</v>
      </c>
      <c r="N4" s="8">
        <f>SQRT((C4-Sheet5!$C$525)^2+(D4-Sheet5!$D$525)^2+(E4-Sheet5!$E$525)^2+(F4-Sheet5!$F$525)^2+(G4-Sheet5!$G$525)^2+(H4-Sheet5!$H$525)^2+(I4-Sheet5!$I$525)^2+(J4-Sheet5!$J$525)^2+(K4-Sheet5!$K$525)^2+(L4-Sheet5!$L$525)^2)</f>
        <v>2.3688532130396229</v>
      </c>
      <c r="O4" s="8">
        <f>SQRT((C4-Sheet5!$C$526)^2+(D4-Sheet5!$D$526)^2+(E4-Sheet5!$E$526)^2+(F4-Sheet5!$F$526)^2+(G4-Sheet5!$G$526)^2+(H4-Sheet5!$H$526)^2+(I4-Sheet5!$I$526)^2+(J4-Sheet5!$J$526)^2+(K4-Sheet5!$K$526)^2+(L4-Sheet5!$L$526)^2)</f>
        <v>4.1188676826846704</v>
      </c>
      <c r="P4" s="12">
        <f t="shared" si="0"/>
        <v>0</v>
      </c>
      <c r="Q4" s="11">
        <f>IF(P4=Sheet1!$M4, 1, 0)</f>
        <v>1</v>
      </c>
    </row>
    <row r="5" spans="1:17" x14ac:dyDescent="0.35">
      <c r="A5" s="6" t="s">
        <v>12</v>
      </c>
      <c r="B5" s="6" t="s">
        <v>16</v>
      </c>
      <c r="C5" s="6">
        <v>0.1525675089214247</v>
      </c>
      <c r="D5" s="6">
        <v>0.75702422023448301</v>
      </c>
      <c r="E5" s="6">
        <v>-0.8453815208995431</v>
      </c>
      <c r="F5" s="6">
        <v>-7.4994943481493007E-2</v>
      </c>
      <c r="G5" s="6">
        <v>-0.41717883828016644</v>
      </c>
      <c r="H5" s="6">
        <v>-0.78060176018884708</v>
      </c>
      <c r="I5" s="6">
        <v>0.10030265319473533</v>
      </c>
      <c r="J5" s="6">
        <v>0.52023384823288588</v>
      </c>
      <c r="K5" s="6">
        <v>2.4341215472039265E-2</v>
      </c>
      <c r="L5" s="6">
        <v>-0.38607558968778871</v>
      </c>
      <c r="N5" s="8">
        <f>SQRT((C5-Sheet5!$C$525)^2+(D5-Sheet5!$D$525)^2+(E5-Sheet5!$E$525)^2+(F5-Sheet5!$F$525)^2+(G5-Sheet5!$G$525)^2+(H5-Sheet5!$H$525)^2+(I5-Sheet5!$I$525)^2+(J5-Sheet5!$J$525)^2+(K5-Sheet5!$K$525)^2+(L5-Sheet5!$L$525)^2)</f>
        <v>1.7133497473647621</v>
      </c>
      <c r="O5" s="8">
        <f>SQRT((C5-Sheet5!$C$526)^2+(D5-Sheet5!$D$526)^2+(E5-Sheet5!$E$526)^2+(F5-Sheet5!$F$526)^2+(G5-Sheet5!$G$526)^2+(H5-Sheet5!$H$526)^2+(I5-Sheet5!$I$526)^2+(J5-Sheet5!$J$526)^2+(K5-Sheet5!$K$526)^2+(L5-Sheet5!$L$526)^2)</f>
        <v>3.311156429759627</v>
      </c>
      <c r="P5" s="12">
        <f t="shared" si="0"/>
        <v>0</v>
      </c>
      <c r="Q5" s="11">
        <f>IF(P5=Sheet1!$M5, 1, 0)</f>
        <v>1</v>
      </c>
    </row>
    <row r="6" spans="1:17" x14ac:dyDescent="0.35">
      <c r="A6" s="6" t="s">
        <v>12</v>
      </c>
      <c r="B6" s="6" t="s">
        <v>17</v>
      </c>
      <c r="C6" s="6">
        <v>0.29213777207136638</v>
      </c>
      <c r="D6" s="6">
        <v>-0.13909108015160596</v>
      </c>
      <c r="E6" s="6">
        <v>-0.64387109619911498</v>
      </c>
      <c r="F6" s="6">
        <v>-0.32304176813648411</v>
      </c>
      <c r="G6" s="6">
        <v>-0.2661963870323692</v>
      </c>
      <c r="H6" s="6">
        <v>-0.56299346175217524</v>
      </c>
      <c r="I6" s="6">
        <v>-0.12600837074980831</v>
      </c>
      <c r="J6" s="6">
        <v>0.78594865516348666</v>
      </c>
      <c r="K6" s="6">
        <v>-1.5624685580325237</v>
      </c>
      <c r="L6" s="6">
        <v>-0.2827211194286291</v>
      </c>
      <c r="N6" s="8">
        <f>SQRT((C6-Sheet5!$C$525)^2+(D6-Sheet5!$D$525)^2+(E6-Sheet5!$E$525)^2+(F6-Sheet5!$F$525)^2+(G6-Sheet5!$G$525)^2+(H6-Sheet5!$H$525)^2+(I6-Sheet5!$I$525)^2+(J6-Sheet5!$J$525)^2+(K6-Sheet5!$K$525)^2+(L6-Sheet5!$L$525)^2)</f>
        <v>2.2041267529166735</v>
      </c>
      <c r="O6" s="8">
        <f>SQRT((C6-Sheet5!$C$526)^2+(D6-Sheet5!$D$526)^2+(E6-Sheet5!$E$526)^2+(F6-Sheet5!$F$526)^2+(G6-Sheet5!$G$526)^2+(H6-Sheet5!$H$526)^2+(I6-Sheet5!$I$526)^2+(J6-Sheet5!$J$526)^2+(K6-Sheet5!$K$526)^2+(L6-Sheet5!$L$526)^2)</f>
        <v>3.4492426250538801</v>
      </c>
      <c r="P6" s="12">
        <f t="shared" si="0"/>
        <v>0</v>
      </c>
      <c r="Q6" s="11">
        <f>IF(P6=Sheet1!$M6, 1, 0)</f>
        <v>1</v>
      </c>
    </row>
    <row r="7" spans="1:17" x14ac:dyDescent="0.35">
      <c r="A7" s="6" t="s">
        <v>12</v>
      </c>
      <c r="B7" s="6" t="s">
        <v>18</v>
      </c>
      <c r="C7" s="6">
        <v>0.40084153471699413</v>
      </c>
      <c r="D7" s="6">
        <v>0.87364196480527523</v>
      </c>
      <c r="E7" s="6">
        <v>0.167696482621805</v>
      </c>
      <c r="F7" s="6">
        <v>0.5304858148378343</v>
      </c>
      <c r="G7" s="6">
        <v>-0.23135428289826052</v>
      </c>
      <c r="H7" s="6">
        <v>0.72057231838294611</v>
      </c>
      <c r="I7" s="6">
        <v>0.31641374366572228</v>
      </c>
      <c r="J7" s="6">
        <v>-0.92980981244553462</v>
      </c>
      <c r="K7" s="6">
        <v>1.0696951885499939</v>
      </c>
      <c r="L7" s="6">
        <v>-0.33454928972214776</v>
      </c>
      <c r="N7" s="8">
        <f>SQRT((C7-Sheet5!$C$525)^2+(D7-Sheet5!$D$525)^2+(E7-Sheet5!$E$525)^2+(F7-Sheet5!$F$525)^2+(G7-Sheet5!$G$525)^2+(H7-Sheet5!$H$525)^2+(I7-Sheet5!$I$525)^2+(J7-Sheet5!$J$525)^2+(K7-Sheet5!$K$525)^2+(L7-Sheet5!$L$525)^2)</f>
        <v>2.2786825373605897</v>
      </c>
      <c r="O7" s="8">
        <f>SQRT((C7-Sheet5!$C$526)^2+(D7-Sheet5!$D$526)^2+(E7-Sheet5!$E$526)^2+(F7-Sheet5!$F$526)^2+(G7-Sheet5!$G$526)^2+(H7-Sheet5!$H$526)^2+(I7-Sheet5!$I$526)^2+(J7-Sheet5!$J$526)^2+(K7-Sheet5!$K$526)^2+(L7-Sheet5!$L$526)^2)</f>
        <v>3.2554979870132272</v>
      </c>
      <c r="P7" s="12">
        <f t="shared" si="0"/>
        <v>0</v>
      </c>
      <c r="Q7" s="11">
        <f>IF(P7=Sheet1!$M7, 1, 0)</f>
        <v>1</v>
      </c>
    </row>
    <row r="8" spans="1:17" x14ac:dyDescent="0.35">
      <c r="A8" s="6" t="s">
        <v>12</v>
      </c>
      <c r="B8" s="6" t="s">
        <v>19</v>
      </c>
      <c r="C8" s="6">
        <v>0.87725925989227593</v>
      </c>
      <c r="D8" s="6">
        <v>0.68337090787398302</v>
      </c>
      <c r="E8" s="6">
        <v>-0.2695848228981369</v>
      </c>
      <c r="F8" s="6">
        <v>0.26857301861827798</v>
      </c>
      <c r="G8" s="6">
        <v>-0.48395953787053997</v>
      </c>
      <c r="H8" s="6">
        <v>0.66778614697999084</v>
      </c>
      <c r="I8" s="6">
        <v>0.57906203060981287</v>
      </c>
      <c r="J8" s="6">
        <v>0.77076495191030947</v>
      </c>
      <c r="K8" s="6">
        <v>-1.4732691920662908</v>
      </c>
      <c r="L8" s="6">
        <v>-0.30252259684734706</v>
      </c>
      <c r="N8" s="8">
        <f>SQRT((C8-Sheet5!$C$525)^2+(D8-Sheet5!$D$525)^2+(E8-Sheet5!$E$525)^2+(F8-Sheet5!$F$525)^2+(G8-Sheet5!$G$525)^2+(H8-Sheet5!$H$525)^2+(I8-Sheet5!$I$525)^2+(J8-Sheet5!$J$525)^2+(K8-Sheet5!$K$525)^2+(L8-Sheet5!$L$525)^2)</f>
        <v>2.8144532900083425</v>
      </c>
      <c r="O8" s="8">
        <f>SQRT((C8-Sheet5!$C$526)^2+(D8-Sheet5!$D$526)^2+(E8-Sheet5!$E$526)^2+(F8-Sheet5!$F$526)^2+(G8-Sheet5!$G$526)^2+(H8-Sheet5!$H$526)^2+(I8-Sheet5!$I$526)^2+(J8-Sheet5!$J$526)^2+(K8-Sheet5!$K$526)^2+(L8-Sheet5!$L$526)^2)</f>
        <v>2.8535564381780296</v>
      </c>
      <c r="P8" s="12">
        <f t="shared" si="0"/>
        <v>0</v>
      </c>
      <c r="Q8" s="11">
        <f>IF(P8=Sheet1!$M8, 1, 0)</f>
        <v>1</v>
      </c>
    </row>
    <row r="9" spans="1:17" x14ac:dyDescent="0.35">
      <c r="A9" s="6" t="s">
        <v>12</v>
      </c>
      <c r="B9" s="6" t="s">
        <v>20</v>
      </c>
      <c r="C9" s="6">
        <v>0.23845690162908126</v>
      </c>
      <c r="D9" s="6">
        <v>1.1621174382172359</v>
      </c>
      <c r="E9" s="6">
        <v>-0.25079683083283189</v>
      </c>
      <c r="F9" s="6">
        <v>0.56283974848848439</v>
      </c>
      <c r="G9" s="6">
        <v>3.8672024141073208E-2</v>
      </c>
      <c r="H9" s="6">
        <v>0.54928657852437801</v>
      </c>
      <c r="I9" s="6">
        <v>-0.17700803811759264</v>
      </c>
      <c r="J9" s="6">
        <v>1.0023164265212616</v>
      </c>
      <c r="K9" s="6">
        <v>-1.2197552045833129</v>
      </c>
      <c r="L9" s="6">
        <v>-0.2445237933602567</v>
      </c>
      <c r="N9" s="8">
        <f>SQRT((C9-Sheet5!$C$525)^2+(D9-Sheet5!$D$525)^2+(E9-Sheet5!$E$525)^2+(F9-Sheet5!$F$525)^2+(G9-Sheet5!$G$525)^2+(H9-Sheet5!$H$525)^2+(I9-Sheet5!$I$525)^2+(J9-Sheet5!$J$525)^2+(K9-Sheet5!$K$525)^2+(L9-Sheet5!$L$525)^2)</f>
        <v>2.8785109035577778</v>
      </c>
      <c r="O9" s="8">
        <f>SQRT((C9-Sheet5!$C$526)^2+(D9-Sheet5!$D$526)^2+(E9-Sheet5!$E$526)^2+(F9-Sheet5!$F$526)^2+(G9-Sheet5!$G$526)^2+(H9-Sheet5!$H$526)^2+(I9-Sheet5!$I$526)^2+(J9-Sheet5!$J$526)^2+(K9-Sheet5!$K$526)^2+(L9-Sheet5!$L$526)^2)</f>
        <v>2.2916435746431367</v>
      </c>
      <c r="P9" s="12">
        <f t="shared" si="0"/>
        <v>1</v>
      </c>
      <c r="Q9" s="11">
        <f>IF(P9=Sheet1!$M9, 1, 0)</f>
        <v>0</v>
      </c>
    </row>
    <row r="10" spans="1:17" x14ac:dyDescent="0.35">
      <c r="A10" s="6" t="s">
        <v>12</v>
      </c>
      <c r="B10" s="6" t="s">
        <v>21</v>
      </c>
      <c r="C10" s="6">
        <v>0.9819369572547324</v>
      </c>
      <c r="D10" s="6">
        <v>0.34579322622168857</v>
      </c>
      <c r="E10" s="6">
        <v>-0.17122415855624601</v>
      </c>
      <c r="F10" s="6">
        <v>0.11912865842241392</v>
      </c>
      <c r="G10" s="6">
        <v>-0.7859244403661344</v>
      </c>
      <c r="H10" s="6">
        <v>-1.2443659803719522</v>
      </c>
      <c r="I10" s="6">
        <v>0.26158910124535395</v>
      </c>
      <c r="J10" s="6">
        <v>0.8428875423629012</v>
      </c>
      <c r="K10" s="6">
        <v>-1.4357115642910345</v>
      </c>
      <c r="L10" s="6">
        <v>-0.2922999599351695</v>
      </c>
      <c r="N10" s="8">
        <f>SQRT((C10-Sheet5!$C$525)^2+(D10-Sheet5!$D$525)^2+(E10-Sheet5!$E$525)^2+(F10-Sheet5!$F$525)^2+(G10-Sheet5!$G$525)^2+(H10-Sheet5!$H$525)^2+(I10-Sheet5!$I$525)^2+(J10-Sheet5!$J$525)^2+(K10-Sheet5!$K$525)^2+(L10-Sheet5!$L$525)^2)</f>
        <v>2.6781537892026872</v>
      </c>
      <c r="O10" s="8">
        <f>SQRT((C10-Sheet5!$C$526)^2+(D10-Sheet5!$D$526)^2+(E10-Sheet5!$E$526)^2+(F10-Sheet5!$F$526)^2+(G10-Sheet5!$G$526)^2+(H10-Sheet5!$H$526)^2+(I10-Sheet5!$I$526)^2+(J10-Sheet5!$J$526)^2+(K10-Sheet5!$K$526)^2+(L10-Sheet5!$L$526)^2)</f>
        <v>3.6481728949670145</v>
      </c>
      <c r="P10" s="12">
        <f t="shared" si="0"/>
        <v>0</v>
      </c>
      <c r="Q10" s="11">
        <f>IF(P10=Sheet1!$M10, 1, 0)</f>
        <v>1</v>
      </c>
    </row>
    <row r="11" spans="1:17" x14ac:dyDescent="0.35">
      <c r="A11" s="6" t="s">
        <v>12</v>
      </c>
      <c r="B11" s="6" t="s">
        <v>22</v>
      </c>
      <c r="C11" s="6">
        <v>0.13109516074451058</v>
      </c>
      <c r="D11" s="6">
        <v>0.52378873109289759</v>
      </c>
      <c r="E11" s="6">
        <v>-0.53703741582777276</v>
      </c>
      <c r="F11" s="6">
        <v>0.3702568100917521</v>
      </c>
      <c r="G11" s="6">
        <v>0.4654877997838876</v>
      </c>
      <c r="H11" s="6">
        <v>0.25249902298327331</v>
      </c>
      <c r="I11" s="6">
        <v>0.53507481750509889</v>
      </c>
      <c r="J11" s="6">
        <v>-0.28070649837221007</v>
      </c>
      <c r="K11" s="6">
        <v>-0.55623711388712604</v>
      </c>
      <c r="L11" s="6">
        <v>-0.24216485028101861</v>
      </c>
      <c r="N11" s="8">
        <f>SQRT((C11-Sheet5!$C$525)^2+(D11-Sheet5!$D$525)^2+(E11-Sheet5!$E$525)^2+(F11-Sheet5!$F$525)^2+(G11-Sheet5!$G$525)^2+(H11-Sheet5!$H$525)^2+(I11-Sheet5!$I$525)^2+(J11-Sheet5!$J$525)^2+(K11-Sheet5!$K$525)^2+(L11-Sheet5!$L$525)^2)</f>
        <v>1.9245820844011727</v>
      </c>
      <c r="O11" s="8">
        <f>SQRT((C11-Sheet5!$C$526)^2+(D11-Sheet5!$D$526)^2+(E11-Sheet5!$E$526)^2+(F11-Sheet5!$F$526)^2+(G11-Sheet5!$G$526)^2+(H11-Sheet5!$H$526)^2+(I11-Sheet5!$I$526)^2+(J11-Sheet5!$J$526)^2+(K11-Sheet5!$K$526)^2+(L11-Sheet5!$L$526)^2)</f>
        <v>2.5144368570501312</v>
      </c>
      <c r="P11" s="12">
        <f t="shared" si="0"/>
        <v>0</v>
      </c>
      <c r="Q11" s="11">
        <f>IF(P11=Sheet1!$M11, 1, 0)</f>
        <v>1</v>
      </c>
    </row>
    <row r="12" spans="1:17" x14ac:dyDescent="0.35">
      <c r="A12" s="6" t="s">
        <v>12</v>
      </c>
      <c r="B12" s="6" t="s">
        <v>23</v>
      </c>
      <c r="C12" s="6">
        <v>0.69206025686639183</v>
      </c>
      <c r="D12" s="6">
        <v>0.12483328914018736</v>
      </c>
      <c r="E12" s="6">
        <v>-0.78238648868057925</v>
      </c>
      <c r="F12" s="6">
        <v>-7.1913616467145905E-2</v>
      </c>
      <c r="G12" s="6">
        <v>-0.24587182628747109</v>
      </c>
      <c r="H12" s="6">
        <v>0.14908121778564698</v>
      </c>
      <c r="I12" s="6">
        <v>0.37952583203335621</v>
      </c>
      <c r="J12" s="6">
        <v>1.2338679011322136</v>
      </c>
      <c r="K12" s="6">
        <v>-1.7205235749200585</v>
      </c>
      <c r="L12" s="6">
        <v>-0.10531035851903973</v>
      </c>
      <c r="N12" s="8">
        <f>SQRT((C12-Sheet5!$C$525)^2+(D12-Sheet5!$D$525)^2+(E12-Sheet5!$E$525)^2+(F12-Sheet5!$F$525)^2+(G12-Sheet5!$G$525)^2+(H12-Sheet5!$H$525)^2+(I12-Sheet5!$I$525)^2+(J12-Sheet5!$J$525)^2+(K12-Sheet5!$K$525)^2+(L12-Sheet5!$L$525)^2)</f>
        <v>2.794512459909702</v>
      </c>
      <c r="O12" s="8">
        <f>SQRT((C12-Sheet5!$C$526)^2+(D12-Sheet5!$D$526)^2+(E12-Sheet5!$E$526)^2+(F12-Sheet5!$F$526)^2+(G12-Sheet5!$G$526)^2+(H12-Sheet5!$H$526)^2+(I12-Sheet5!$I$526)^2+(J12-Sheet5!$J$526)^2+(K12-Sheet5!$K$526)^2+(L12-Sheet5!$L$526)^2)</f>
        <v>3.2272505353733378</v>
      </c>
      <c r="P12" s="12">
        <f t="shared" si="0"/>
        <v>0</v>
      </c>
      <c r="Q12" s="11">
        <f>IF(P12=Sheet1!$M12, 1, 0)</f>
        <v>1</v>
      </c>
    </row>
    <row r="13" spans="1:17" x14ac:dyDescent="0.35">
      <c r="A13" s="6" t="s">
        <v>12</v>
      </c>
      <c r="B13" s="6" t="s">
        <v>24</v>
      </c>
      <c r="C13" s="6">
        <v>0.54577988491116447</v>
      </c>
      <c r="D13" s="6">
        <v>0.1432466172303121</v>
      </c>
      <c r="E13" s="6">
        <v>-0.69876150438990803</v>
      </c>
      <c r="F13" s="6">
        <v>-0.45245750273908869</v>
      </c>
      <c r="G13" s="6">
        <v>-1.3346875804783249</v>
      </c>
      <c r="H13" s="6">
        <v>-0.61901143956755644</v>
      </c>
      <c r="I13" s="6">
        <v>0.65046156492471141</v>
      </c>
      <c r="J13" s="6">
        <v>-0.38699242114445043</v>
      </c>
      <c r="K13" s="6">
        <v>-1.8081580397289894</v>
      </c>
      <c r="L13" s="6">
        <v>-0.39479616732192818</v>
      </c>
      <c r="N13" s="8">
        <f>SQRT((C13-Sheet5!$C$525)^2+(D13-Sheet5!$D$525)^2+(E13-Sheet5!$E$525)^2+(F13-Sheet5!$F$525)^2+(G13-Sheet5!$G$525)^2+(H13-Sheet5!$H$525)^2+(I13-Sheet5!$I$525)^2+(J13-Sheet5!$J$525)^2+(K13-Sheet5!$K$525)^2+(L13-Sheet5!$L$525)^2)</f>
        <v>2.5587860351590281</v>
      </c>
      <c r="O13" s="8">
        <f>SQRT((C13-Sheet5!$C$526)^2+(D13-Sheet5!$D$526)^2+(E13-Sheet5!$E$526)^2+(F13-Sheet5!$F$526)^2+(G13-Sheet5!$G$526)^2+(H13-Sheet5!$H$526)^2+(I13-Sheet5!$I$526)^2+(J13-Sheet5!$J$526)^2+(K13-Sheet5!$K$526)^2+(L13-Sheet5!$L$526)^2)</f>
        <v>4.2585568293022478</v>
      </c>
      <c r="P13" s="12">
        <f t="shared" si="0"/>
        <v>0</v>
      </c>
      <c r="Q13" s="11">
        <f>IF(P13=Sheet1!$M13, 1, 0)</f>
        <v>1</v>
      </c>
    </row>
    <row r="14" spans="1:17" x14ac:dyDescent="0.35">
      <c r="A14" s="6" t="s">
        <v>12</v>
      </c>
      <c r="B14" s="6" t="s">
        <v>25</v>
      </c>
      <c r="C14" s="6">
        <v>0.98864706606001818</v>
      </c>
      <c r="D14" s="6">
        <v>-2.247333558081379E-2</v>
      </c>
      <c r="E14" s="6">
        <v>-0.54108972784185816</v>
      </c>
      <c r="F14" s="6">
        <v>-0.36463968283017767</v>
      </c>
      <c r="G14" s="6">
        <v>-1.1982226726197382</v>
      </c>
      <c r="H14" s="6">
        <v>-1.5928624385118697</v>
      </c>
      <c r="I14" s="6">
        <v>-2.9109002751017063E-2</v>
      </c>
      <c r="J14" s="6">
        <v>-1.2220961000691954</v>
      </c>
      <c r="K14" s="6">
        <v>1.49065359986432</v>
      </c>
      <c r="L14" s="6">
        <v>-0.4175284008878361</v>
      </c>
      <c r="N14" s="8">
        <f>SQRT((C14-Sheet5!$C$525)^2+(D14-Sheet5!$D$525)^2+(E14-Sheet5!$E$525)^2+(F14-Sheet5!$F$525)^2+(G14-Sheet5!$G$525)^2+(H14-Sheet5!$H$525)^2+(I14-Sheet5!$I$525)^2+(J14-Sheet5!$J$525)^2+(K14-Sheet5!$K$525)^2+(L14-Sheet5!$L$525)^2)</f>
        <v>2.3484522588154797</v>
      </c>
      <c r="O14" s="8">
        <f>SQRT((C14-Sheet5!$C$526)^2+(D14-Sheet5!$D$526)^2+(E14-Sheet5!$E$526)^2+(F14-Sheet5!$F$526)^2+(G14-Sheet5!$G$526)^2+(H14-Sheet5!$H$526)^2+(I14-Sheet5!$I$526)^2+(J14-Sheet5!$J$526)^2+(K14-Sheet5!$K$526)^2+(L14-Sheet5!$L$526)^2)</f>
        <v>5.2806023502008737</v>
      </c>
      <c r="P14" s="12">
        <f t="shared" si="0"/>
        <v>0</v>
      </c>
      <c r="Q14" s="11">
        <f>IF(P14=Sheet1!$M14, 1, 0)</f>
        <v>1</v>
      </c>
    </row>
    <row r="15" spans="1:17" x14ac:dyDescent="0.35">
      <c r="A15" s="6" t="s">
        <v>12</v>
      </c>
      <c r="B15" s="6" t="s">
        <v>26</v>
      </c>
      <c r="C15" s="6">
        <v>0.14317335659402475</v>
      </c>
      <c r="D15" s="6">
        <v>0.29055324195131327</v>
      </c>
      <c r="E15" s="6">
        <v>-0.72123341646801797</v>
      </c>
      <c r="F15" s="6">
        <v>-6.8832289452796611E-2</v>
      </c>
      <c r="G15" s="6">
        <v>-7.7841147044063561E-3</v>
      </c>
      <c r="H15" s="6">
        <v>0.55197975053473269</v>
      </c>
      <c r="I15" s="6">
        <v>-0.12855835411819702</v>
      </c>
      <c r="J15" s="6">
        <v>0.30766200268840554</v>
      </c>
      <c r="K15" s="6">
        <v>-0.47486225370740337</v>
      </c>
      <c r="L15" s="6">
        <v>-0.33226333294146831</v>
      </c>
      <c r="N15" s="8">
        <f>SQRT((C15-Sheet5!$C$525)^2+(D15-Sheet5!$D$525)^2+(E15-Sheet5!$E$525)^2+(F15-Sheet5!$F$525)^2+(G15-Sheet5!$G$525)^2+(H15-Sheet5!$H$525)^2+(I15-Sheet5!$I$525)^2+(J15-Sheet5!$J$525)^2+(K15-Sheet5!$K$525)^2+(L15-Sheet5!$L$525)^2)</f>
        <v>1.5804457814402726</v>
      </c>
      <c r="O15" s="8">
        <f>SQRT((C15-Sheet5!$C$526)^2+(D15-Sheet5!$D$526)^2+(E15-Sheet5!$E$526)^2+(F15-Sheet5!$F$526)^2+(G15-Sheet5!$G$526)^2+(H15-Sheet5!$H$526)^2+(I15-Sheet5!$I$526)^2+(J15-Sheet5!$J$526)^2+(K15-Sheet5!$K$526)^2+(L15-Sheet5!$L$526)^2)</f>
        <v>2.8413697720366091</v>
      </c>
      <c r="P15" s="12">
        <f t="shared" si="0"/>
        <v>0</v>
      </c>
      <c r="Q15" s="11">
        <f>IF(P15=Sheet1!$M15, 1, 0)</f>
        <v>1</v>
      </c>
    </row>
    <row r="16" spans="1:17" x14ac:dyDescent="0.35">
      <c r="A16" s="6" t="s">
        <v>12</v>
      </c>
      <c r="B16" s="6" t="s">
        <v>27</v>
      </c>
      <c r="C16" s="6">
        <v>0.79942199775096245</v>
      </c>
      <c r="D16" s="6">
        <v>0.15552216929039525</v>
      </c>
      <c r="E16" s="6">
        <v>-0.74886281656405473</v>
      </c>
      <c r="F16" s="6">
        <v>-9.5023569074752456E-2</v>
      </c>
      <c r="G16" s="6">
        <v>-0.12102095314025532</v>
      </c>
      <c r="H16" s="6">
        <v>-0.12616096167261864</v>
      </c>
      <c r="I16" s="6">
        <v>0.31832623119201425</v>
      </c>
      <c r="J16" s="6">
        <v>-2.6379468881492351E-2</v>
      </c>
      <c r="K16" s="6">
        <v>-0.70020802035894059</v>
      </c>
      <c r="L16" s="6">
        <v>-0.31036742247885551</v>
      </c>
      <c r="N16" s="8">
        <f>SQRT((C16-Sheet5!$C$525)^2+(D16-Sheet5!$D$525)^2+(E16-Sheet5!$E$525)^2+(F16-Sheet5!$F$525)^2+(G16-Sheet5!$G$525)^2+(H16-Sheet5!$H$525)^2+(I16-Sheet5!$I$525)^2+(J16-Sheet5!$J$525)^2+(K16-Sheet5!$K$525)^2+(L16-Sheet5!$L$525)^2)</f>
        <v>1.4935368470089248</v>
      </c>
      <c r="O16" s="8">
        <f>SQRT((C16-Sheet5!$C$526)^2+(D16-Sheet5!$D$526)^2+(E16-Sheet5!$E$526)^2+(F16-Sheet5!$F$526)^2+(G16-Sheet5!$G$526)^2+(H16-Sheet5!$H$526)^2+(I16-Sheet5!$I$526)^2+(J16-Sheet5!$J$526)^2+(K16-Sheet5!$K$526)^2+(L16-Sheet5!$L$526)^2)</f>
        <v>3.2705280402591206</v>
      </c>
      <c r="P16" s="12">
        <f t="shared" si="0"/>
        <v>0</v>
      </c>
      <c r="Q16" s="11">
        <f>IF(P16=Sheet1!$M16, 1, 0)</f>
        <v>1</v>
      </c>
    </row>
    <row r="17" spans="1:17" x14ac:dyDescent="0.35">
      <c r="A17" s="6" t="s">
        <v>12</v>
      </c>
      <c r="B17" s="6" t="s">
        <v>28</v>
      </c>
      <c r="C17" s="6">
        <v>0.12841111722239637</v>
      </c>
      <c r="D17" s="6">
        <v>0.16779772135047949</v>
      </c>
      <c r="E17" s="6">
        <v>-0.24269220680466111</v>
      </c>
      <c r="F17" s="6">
        <v>-1.33684031945378E-2</v>
      </c>
      <c r="G17" s="6">
        <v>-0.71624023209792131</v>
      </c>
      <c r="H17" s="6">
        <v>0.23687862532321483</v>
      </c>
      <c r="I17" s="6">
        <v>7.7990298721329954E-2</v>
      </c>
      <c r="J17" s="6">
        <v>-0.60336019250222517</v>
      </c>
      <c r="K17" s="6">
        <v>0.48911685919083081</v>
      </c>
      <c r="L17" s="6">
        <v>-0.41644259126728067</v>
      </c>
      <c r="N17" s="8">
        <f>SQRT((C17-Sheet5!$C$525)^2+(D17-Sheet5!$D$525)^2+(E17-Sheet5!$E$525)^2+(F17-Sheet5!$F$525)^2+(G17-Sheet5!$G$525)^2+(H17-Sheet5!$H$525)^2+(I17-Sheet5!$I$525)^2+(J17-Sheet5!$J$525)^2+(K17-Sheet5!$K$525)^2+(L17-Sheet5!$L$525)^2)</f>
        <v>1.0828456124948627</v>
      </c>
      <c r="O17" s="8">
        <f>SQRT((C17-Sheet5!$C$526)^2+(D17-Sheet5!$D$526)^2+(E17-Sheet5!$E$526)^2+(F17-Sheet5!$F$526)^2+(G17-Sheet5!$G$526)^2+(H17-Sheet5!$H$526)^2+(I17-Sheet5!$I$526)^2+(J17-Sheet5!$J$526)^2+(K17-Sheet5!$K$526)^2+(L17-Sheet5!$L$526)^2)</f>
        <v>3.4022011135253636</v>
      </c>
      <c r="P17" s="12">
        <f t="shared" si="0"/>
        <v>0</v>
      </c>
      <c r="Q17" s="11">
        <f>IF(P17=Sheet1!$M17, 1, 0)</f>
        <v>1</v>
      </c>
    </row>
    <row r="18" spans="1:17" x14ac:dyDescent="0.35">
      <c r="A18" s="6" t="s">
        <v>12</v>
      </c>
      <c r="B18" s="6" t="s">
        <v>29</v>
      </c>
      <c r="C18" s="6">
        <v>0.9242300215292758</v>
      </c>
      <c r="D18" s="6">
        <v>0.95957082922585946</v>
      </c>
      <c r="E18" s="6">
        <v>0.29221297905461069</v>
      </c>
      <c r="F18" s="6">
        <v>0.51507917976609441</v>
      </c>
      <c r="G18" s="6">
        <v>-0.1152139357845678</v>
      </c>
      <c r="H18" s="6">
        <v>0.51104353597733876</v>
      </c>
      <c r="I18" s="6">
        <v>0.2915514058239273</v>
      </c>
      <c r="J18" s="6">
        <v>-1.4498516488668529</v>
      </c>
      <c r="K18" s="6">
        <v>1.2621780308981809</v>
      </c>
      <c r="L18" s="6">
        <v>-0.38070686550254335</v>
      </c>
      <c r="N18" s="8">
        <f>SQRT((C18-Sheet5!$C$525)^2+(D18-Sheet5!$D$525)^2+(E18-Sheet5!$E$525)^2+(F18-Sheet5!$F$525)^2+(G18-Sheet5!$G$525)^2+(H18-Sheet5!$H$525)^2+(I18-Sheet5!$I$525)^2+(J18-Sheet5!$J$525)^2+(K18-Sheet5!$K$525)^2+(L18-Sheet5!$L$525)^2)</f>
        <v>2.6082479248361965</v>
      </c>
      <c r="O18" s="8">
        <f>SQRT((C18-Sheet5!$C$526)^2+(D18-Sheet5!$D$526)^2+(E18-Sheet5!$E$526)^2+(F18-Sheet5!$F$526)^2+(G18-Sheet5!$G$526)^2+(H18-Sheet5!$H$526)^2+(I18-Sheet5!$I$526)^2+(J18-Sheet5!$J$526)^2+(K18-Sheet5!$K$526)^2+(L18-Sheet5!$L$526)^2)</f>
        <v>3.8184867633887505</v>
      </c>
      <c r="P18" s="12">
        <f t="shared" si="0"/>
        <v>0</v>
      </c>
      <c r="Q18" s="11">
        <f>IF(P18=Sheet1!$M18, 1, 0)</f>
        <v>1</v>
      </c>
    </row>
    <row r="19" spans="1:17" x14ac:dyDescent="0.35">
      <c r="A19" s="6" t="s">
        <v>12</v>
      </c>
      <c r="B19" s="6" t="s">
        <v>30</v>
      </c>
      <c r="C19" s="6">
        <v>0.97656887021050398</v>
      </c>
      <c r="D19" s="6">
        <v>0.55447761124310657</v>
      </c>
      <c r="E19" s="6">
        <v>-1.2815598005635205E-2</v>
      </c>
      <c r="F19" s="6">
        <v>0.56592107550283144</v>
      </c>
      <c r="G19" s="6">
        <v>0.15190886257692218</v>
      </c>
      <c r="H19" s="6">
        <v>-0.15632448818859307</v>
      </c>
      <c r="I19" s="6">
        <v>0.53061234661041723</v>
      </c>
      <c r="J19" s="6">
        <v>-0.5654009343692824</v>
      </c>
      <c r="K19" s="6">
        <v>-1.8300666559312209</v>
      </c>
      <c r="L19" s="6">
        <v>-0.40387062298423521</v>
      </c>
      <c r="N19" s="8">
        <f>SQRT((C19-Sheet5!$C$525)^2+(D19-Sheet5!$D$525)^2+(E19-Sheet5!$E$525)^2+(F19-Sheet5!$F$525)^2+(G19-Sheet5!$G$525)^2+(H19-Sheet5!$H$525)^2+(I19-Sheet5!$I$525)^2+(J19-Sheet5!$J$525)^2+(K19-Sheet5!$K$525)^2+(L19-Sheet5!$L$525)^2)</f>
        <v>2.7824219806795774</v>
      </c>
      <c r="O19" s="8">
        <f>SQRT((C19-Sheet5!$C$526)^2+(D19-Sheet5!$D$526)^2+(E19-Sheet5!$E$526)^2+(F19-Sheet5!$F$526)^2+(G19-Sheet5!$G$526)^2+(H19-Sheet5!$H$526)^2+(I19-Sheet5!$I$526)^2+(J19-Sheet5!$J$526)^2+(K19-Sheet5!$K$526)^2+(L19-Sheet5!$L$526)^2)</f>
        <v>3.204816620145249</v>
      </c>
      <c r="P19" s="12">
        <f t="shared" si="0"/>
        <v>0</v>
      </c>
      <c r="Q19" s="11">
        <f>IF(P19=Sheet1!$M19, 1, 0)</f>
        <v>1</v>
      </c>
    </row>
    <row r="20" spans="1:17" x14ac:dyDescent="0.35">
      <c r="A20" s="6" t="s">
        <v>12</v>
      </c>
      <c r="B20" s="6" t="s">
        <v>31</v>
      </c>
      <c r="C20" s="6">
        <v>-0.625805112491712</v>
      </c>
      <c r="D20" s="6">
        <v>2.6965614457276632</v>
      </c>
      <c r="E20" s="6">
        <v>2.418940002446881</v>
      </c>
      <c r="F20" s="6">
        <v>2.4316645826903738</v>
      </c>
      <c r="G20" s="6">
        <v>0.5409790254077842</v>
      </c>
      <c r="H20" s="6">
        <v>1.2215023123089479</v>
      </c>
      <c r="I20" s="6">
        <v>0.90737238928992603</v>
      </c>
      <c r="J20" s="6">
        <v>1.4730112273697538</v>
      </c>
      <c r="K20" s="6">
        <v>-1.0116233506621033</v>
      </c>
      <c r="L20" s="6">
        <v>-0.13602043540229192</v>
      </c>
      <c r="N20" s="8">
        <f>SQRT((C20-Sheet5!$C$525)^2+(D20-Sheet5!$D$525)^2+(E20-Sheet5!$E$525)^2+(F20-Sheet5!$F$525)^2+(G20-Sheet5!$G$525)^2+(H20-Sheet5!$H$525)^2+(I20-Sheet5!$I$525)^2+(J20-Sheet5!$J$525)^2+(K20-Sheet5!$K$525)^2+(L20-Sheet5!$L$525)^2)</f>
        <v>5.9981738203959436</v>
      </c>
      <c r="O20" s="8">
        <f>SQRT((C20-Sheet5!$C$526)^2+(D20-Sheet5!$D$526)^2+(E20-Sheet5!$E$526)^2+(F20-Sheet5!$F$526)^2+(G20-Sheet5!$G$526)^2+(H20-Sheet5!$H$526)^2+(I20-Sheet5!$I$526)^2+(J20-Sheet5!$J$526)^2+(K20-Sheet5!$K$526)^2+(L20-Sheet5!$L$526)^2)</f>
        <v>2.8957707472959808</v>
      </c>
      <c r="P20" s="12">
        <f t="shared" si="0"/>
        <v>1</v>
      </c>
      <c r="Q20" s="11">
        <f>IF(P20=Sheet1!$M20, 1, 0)</f>
        <v>0</v>
      </c>
    </row>
    <row r="21" spans="1:17" x14ac:dyDescent="0.35">
      <c r="A21" s="6" t="s">
        <v>12</v>
      </c>
      <c r="B21" s="6" t="s">
        <v>32</v>
      </c>
      <c r="C21" s="6">
        <v>0.40889366528333698</v>
      </c>
      <c r="D21" s="6">
        <v>1.6838284007707809</v>
      </c>
      <c r="E21" s="6">
        <v>0.38799489938753817</v>
      </c>
      <c r="F21" s="6">
        <v>0.95262761580347066</v>
      </c>
      <c r="G21" s="6">
        <v>0.2622421923349274</v>
      </c>
      <c r="H21" s="6">
        <v>0.81052426352879814</v>
      </c>
      <c r="I21" s="6">
        <v>0.70401121566088543</v>
      </c>
      <c r="J21" s="6">
        <v>-0.56919686018257654</v>
      </c>
      <c r="K21" s="6">
        <v>-0.90051536849363778</v>
      </c>
      <c r="L21" s="6">
        <v>-0.43485045455239779</v>
      </c>
      <c r="N21" s="8">
        <f>SQRT((C21-Sheet5!$C$525)^2+(D21-Sheet5!$D$525)^2+(E21-Sheet5!$E$525)^2+(F21-Sheet5!$F$525)^2+(G21-Sheet5!$G$525)^2+(H21-Sheet5!$H$525)^2+(I21-Sheet5!$I$525)^2+(J21-Sheet5!$J$525)^2+(K21-Sheet5!$K$525)^2+(L21-Sheet5!$L$525)^2)</f>
        <v>3.2670384216308501</v>
      </c>
      <c r="O21" s="8">
        <f>SQRT((C21-Sheet5!$C$526)^2+(D21-Sheet5!$D$526)^2+(E21-Sheet5!$E$526)^2+(F21-Sheet5!$F$526)^2+(G21-Sheet5!$G$526)^2+(H21-Sheet5!$H$526)^2+(I21-Sheet5!$I$526)^2+(J21-Sheet5!$J$526)^2+(K21-Sheet5!$K$526)^2+(L21-Sheet5!$L$526)^2)</f>
        <v>2.4632058928710818</v>
      </c>
      <c r="P21" s="12">
        <f t="shared" si="0"/>
        <v>1</v>
      </c>
      <c r="Q21" s="11">
        <f>IF(P21=Sheet1!$M21, 1, 0)</f>
        <v>0</v>
      </c>
    </row>
    <row r="22" spans="1:17" x14ac:dyDescent="0.35">
      <c r="A22" s="6" t="s">
        <v>12</v>
      </c>
      <c r="B22" s="6" t="s">
        <v>33</v>
      </c>
      <c r="C22" s="6">
        <v>-0.1762278225375726</v>
      </c>
      <c r="D22" s="6">
        <v>1.6470017445905305</v>
      </c>
      <c r="E22" s="6">
        <v>0.64181698826979594</v>
      </c>
      <c r="F22" s="6">
        <v>1.1575358622575935</v>
      </c>
      <c r="G22" s="6">
        <v>-6.5854288261248589E-2</v>
      </c>
      <c r="H22" s="6">
        <v>0.78682434983767557</v>
      </c>
      <c r="I22" s="6">
        <v>0.76521081650222644</v>
      </c>
      <c r="J22" s="6">
        <v>0.81631606166984105</v>
      </c>
      <c r="K22" s="6">
        <v>-0.37940328311196136</v>
      </c>
      <c r="L22" s="6">
        <v>-0.37589016680301823</v>
      </c>
      <c r="N22" s="8">
        <f>SQRT((C22-Sheet5!$C$525)^2+(D22-Sheet5!$D$525)^2+(E22-Sheet5!$E$525)^2+(F22-Sheet5!$F$525)^2+(G22-Sheet5!$G$525)^2+(H22-Sheet5!$H$525)^2+(I22-Sheet5!$I$525)^2+(J22-Sheet5!$J$525)^2+(K22-Sheet5!$K$525)^2+(L22-Sheet5!$L$525)^2)</f>
        <v>3.4780523813814477</v>
      </c>
      <c r="O22" s="8">
        <f>SQRT((C22-Sheet5!$C$526)^2+(D22-Sheet5!$D$526)^2+(E22-Sheet5!$E$526)^2+(F22-Sheet5!$F$526)^2+(G22-Sheet5!$G$526)^2+(H22-Sheet5!$H$526)^2+(I22-Sheet5!$I$526)^2+(J22-Sheet5!$J$526)^2+(K22-Sheet5!$K$526)^2+(L22-Sheet5!$L$526)^2)</f>
        <v>1.6595034189480513</v>
      </c>
      <c r="P22" s="12">
        <f t="shared" si="0"/>
        <v>1</v>
      </c>
      <c r="Q22" s="11">
        <f>IF(P22=Sheet1!$M22, 1, 0)</f>
        <v>0</v>
      </c>
    </row>
    <row r="23" spans="1:17" x14ac:dyDescent="0.35">
      <c r="A23" s="6" t="s">
        <v>12</v>
      </c>
      <c r="B23" s="6" t="s">
        <v>34</v>
      </c>
      <c r="C23" s="6">
        <v>-0.14938738731643006</v>
      </c>
      <c r="D23" s="6">
        <v>1.6408639685604889</v>
      </c>
      <c r="E23" s="6">
        <v>0.39241560340290405</v>
      </c>
      <c r="F23" s="6">
        <v>1.1775644878508531</v>
      </c>
      <c r="G23" s="6">
        <v>0.5758211295418928</v>
      </c>
      <c r="H23" s="6">
        <v>0.8563081877048303</v>
      </c>
      <c r="I23" s="6">
        <v>0.59308693913595356</v>
      </c>
      <c r="J23" s="6">
        <v>2.3157067579210877</v>
      </c>
      <c r="K23" s="6">
        <v>-0.86921734534759187</v>
      </c>
      <c r="L23" s="6">
        <v>-0.3073902167062158</v>
      </c>
      <c r="N23" s="8">
        <f>SQRT((C23-Sheet5!$C$525)^2+(D23-Sheet5!$D$525)^2+(E23-Sheet5!$E$525)^2+(F23-Sheet5!$F$525)^2+(G23-Sheet5!$G$525)^2+(H23-Sheet5!$H$525)^2+(I23-Sheet5!$I$525)^2+(J23-Sheet5!$J$525)^2+(K23-Sheet5!$K$525)^2+(L23-Sheet5!$L$525)^2)</f>
        <v>4.3562915851253718</v>
      </c>
      <c r="O23" s="8">
        <f>SQRT((C23-Sheet5!$C$526)^2+(D23-Sheet5!$D$526)^2+(E23-Sheet5!$E$526)^2+(F23-Sheet5!$F$526)^2+(G23-Sheet5!$G$526)^2+(H23-Sheet5!$H$526)^2+(I23-Sheet5!$I$526)^2+(J23-Sheet5!$J$526)^2+(K23-Sheet5!$K$526)^2+(L23-Sheet5!$L$526)^2)</f>
        <v>1.9838214848924491</v>
      </c>
      <c r="P23" s="12">
        <f t="shared" si="0"/>
        <v>1</v>
      </c>
      <c r="Q23" s="11">
        <f>IF(P23=Sheet1!$M23, 1, 0)</f>
        <v>0</v>
      </c>
    </row>
    <row r="24" spans="1:17" x14ac:dyDescent="0.35">
      <c r="A24" s="6" t="s">
        <v>12</v>
      </c>
      <c r="B24" s="6" t="s">
        <v>35</v>
      </c>
      <c r="C24" s="6">
        <v>0.72158473560964864</v>
      </c>
      <c r="D24" s="6">
        <v>-0.24957104869235763</v>
      </c>
      <c r="E24" s="6">
        <v>-1.0829943617254594</v>
      </c>
      <c r="F24" s="6">
        <v>-0.71745162597299217</v>
      </c>
      <c r="G24" s="6">
        <v>-1.6221349395847131</v>
      </c>
      <c r="H24" s="6">
        <v>-0.40355767873916848</v>
      </c>
      <c r="I24" s="6">
        <v>-1.5469866027847046</v>
      </c>
      <c r="J24" s="6">
        <v>0.45570310940688291</v>
      </c>
      <c r="K24" s="6">
        <v>-0.88956106039252147</v>
      </c>
      <c r="L24" s="6">
        <v>-0.42887193015612018</v>
      </c>
      <c r="N24" s="8">
        <f>SQRT((C24-Sheet5!$C$525)^2+(D24-Sheet5!$D$525)^2+(E24-Sheet5!$E$525)^2+(F24-Sheet5!$F$525)^2+(G24-Sheet5!$G$525)^2+(H24-Sheet5!$H$525)^2+(I24-Sheet5!$I$525)^2+(J24-Sheet5!$J$525)^2+(K24-Sheet5!$K$525)^2+(L24-Sheet5!$L$525)^2)</f>
        <v>2.4534534841881497</v>
      </c>
      <c r="O24" s="8">
        <f>SQRT((C24-Sheet5!$C$526)^2+(D24-Sheet5!$D$526)^2+(E24-Sheet5!$E$526)^2+(F24-Sheet5!$F$526)^2+(G24-Sheet5!$G$526)^2+(H24-Sheet5!$H$526)^2+(I24-Sheet5!$I$526)^2+(J24-Sheet5!$J$526)^2+(K24-Sheet5!$K$526)^2+(L24-Sheet5!$L$526)^2)</f>
        <v>4.9485719156226908</v>
      </c>
      <c r="P24" s="12">
        <f t="shared" si="0"/>
        <v>0</v>
      </c>
      <c r="Q24" s="11">
        <f>IF(P24=Sheet1!$M24, 1, 0)</f>
        <v>1</v>
      </c>
    </row>
    <row r="25" spans="1:17" x14ac:dyDescent="0.35">
      <c r="A25" s="6" t="s">
        <v>36</v>
      </c>
      <c r="B25" s="6" t="s">
        <v>37</v>
      </c>
      <c r="C25" s="6">
        <v>0.61019692944190684</v>
      </c>
      <c r="D25" s="6">
        <v>-1.7164995198723259</v>
      </c>
      <c r="E25" s="6">
        <v>-1.2266672422248506</v>
      </c>
      <c r="F25" s="6">
        <v>-1.1072394932879774</v>
      </c>
      <c r="G25" s="6">
        <v>3.5768515463229449E-2</v>
      </c>
      <c r="H25" s="6">
        <v>-3.0848797322484565</v>
      </c>
      <c r="I25" s="6">
        <v>-2.3808311642479811</v>
      </c>
      <c r="J25" s="6">
        <v>-0.73621759596752556</v>
      </c>
      <c r="K25" s="6">
        <v>1.928825923908974</v>
      </c>
      <c r="L25" s="6">
        <v>-0.40321581490400876</v>
      </c>
      <c r="N25" s="8">
        <f>SQRT((C25-Sheet5!$C$525)^2+(D25-Sheet5!$D$525)^2+(E25-Sheet5!$E$525)^2+(F25-Sheet5!$F$525)^2+(G25-Sheet5!$G$525)^2+(H25-Sheet5!$H$525)^2+(I25-Sheet5!$I$525)^2+(J25-Sheet5!$J$525)^2+(K25-Sheet5!$K$525)^2+(L25-Sheet5!$L$525)^2)</f>
        <v>4.3098454528574166</v>
      </c>
      <c r="O25" s="8">
        <f>SQRT((C25-Sheet5!$C$526)^2+(D25-Sheet5!$D$526)^2+(E25-Sheet5!$E$526)^2+(F25-Sheet5!$F$526)^2+(G25-Sheet5!$G$526)^2+(H25-Sheet5!$H$526)^2+(I25-Sheet5!$I$526)^2+(J25-Sheet5!$J$526)^2+(K25-Sheet5!$K$526)^2+(L25-Sheet5!$L$526)^2)</f>
        <v>7.2418276943887658</v>
      </c>
      <c r="P25" s="12">
        <f t="shared" si="0"/>
        <v>0</v>
      </c>
      <c r="Q25" s="11">
        <f>IF(P25=Sheet1!$M25, 1, 0)</f>
        <v>1</v>
      </c>
    </row>
    <row r="26" spans="1:17" x14ac:dyDescent="0.35">
      <c r="A26" s="6" t="s">
        <v>36</v>
      </c>
      <c r="B26" s="6" t="s">
        <v>38</v>
      </c>
      <c r="C26" s="6">
        <v>-0.37350502141297115</v>
      </c>
      <c r="D26" s="6">
        <v>0.11869551311014578</v>
      </c>
      <c r="E26" s="6">
        <v>-0.20401104667020964</v>
      </c>
      <c r="F26" s="6">
        <v>-0.42164423259561112</v>
      </c>
      <c r="G26" s="6">
        <v>-2.0344331718383146</v>
      </c>
      <c r="H26" s="6">
        <v>-2.2338373769763242</v>
      </c>
      <c r="I26" s="6">
        <v>-0.72397947063708157</v>
      </c>
      <c r="J26" s="6">
        <v>0.4025601480207629</v>
      </c>
      <c r="K26" s="6">
        <v>5.094453514617913E-2</v>
      </c>
      <c r="L26" s="6">
        <v>-0.25864226462504314</v>
      </c>
      <c r="N26" s="8">
        <f>SQRT((C26-Sheet5!$C$525)^2+(D26-Sheet5!$D$525)^2+(E26-Sheet5!$E$525)^2+(F26-Sheet5!$F$525)^2+(G26-Sheet5!$G$525)^2+(H26-Sheet5!$H$525)^2+(I26-Sheet5!$I$525)^2+(J26-Sheet5!$J$525)^2+(K26-Sheet5!$K$525)^2+(L26-Sheet5!$L$525)^2)</f>
        <v>2.8777737114278823</v>
      </c>
      <c r="O26" s="8">
        <f>SQRT((C26-Sheet5!$C$526)^2+(D26-Sheet5!$D$526)^2+(E26-Sheet5!$E$526)^2+(F26-Sheet5!$F$526)^2+(G26-Sheet5!$G$526)^2+(H26-Sheet5!$H$526)^2+(I26-Sheet5!$I$526)^2+(J26-Sheet5!$J$526)^2+(K26-Sheet5!$K$526)^2+(L26-Sheet5!$L$526)^2)</f>
        <v>4.9521964785068189</v>
      </c>
      <c r="P26" s="12">
        <f t="shared" si="0"/>
        <v>0</v>
      </c>
      <c r="Q26" s="11">
        <f>IF(P26=Sheet1!$M26, 1, 0)</f>
        <v>1</v>
      </c>
    </row>
    <row r="27" spans="1:17" x14ac:dyDescent="0.35">
      <c r="A27" s="6" t="s">
        <v>36</v>
      </c>
      <c r="B27" s="6" t="s">
        <v>39</v>
      </c>
      <c r="C27" s="6">
        <v>-0.4661045229259132</v>
      </c>
      <c r="D27" s="6">
        <v>0.52378873109289759</v>
      </c>
      <c r="E27" s="6">
        <v>0.36073389129278188</v>
      </c>
      <c r="F27" s="6">
        <v>6.212410865698046E-2</v>
      </c>
      <c r="G27" s="6">
        <v>-1.3608191585789065</v>
      </c>
      <c r="H27" s="6">
        <v>-1.6585758355645284</v>
      </c>
      <c r="I27" s="6">
        <v>-1.1313393137372605</v>
      </c>
      <c r="J27" s="6">
        <v>-0.40217612439762762</v>
      </c>
      <c r="K27" s="6">
        <v>0.7692341663479465</v>
      </c>
      <c r="L27" s="6">
        <v>-0.24922251878704715</v>
      </c>
      <c r="N27" s="8">
        <f>SQRT((C27-Sheet5!$C$525)^2+(D27-Sheet5!$D$525)^2+(E27-Sheet5!$E$525)^2+(F27-Sheet5!$F$525)^2+(G27-Sheet5!$G$525)^2+(H27-Sheet5!$H$525)^2+(I27-Sheet5!$I$525)^2+(J27-Sheet5!$J$525)^2+(K27-Sheet5!$K$525)^2+(L27-Sheet5!$L$525)^2)</f>
        <v>2.4845979033657715</v>
      </c>
      <c r="O27" s="8">
        <f>SQRT((C27-Sheet5!$C$526)^2+(D27-Sheet5!$D$526)^2+(E27-Sheet5!$E$526)^2+(F27-Sheet5!$F$526)^2+(G27-Sheet5!$G$526)^2+(H27-Sheet5!$H$526)^2+(I27-Sheet5!$I$526)^2+(J27-Sheet5!$J$526)^2+(K27-Sheet5!$K$526)^2+(L27-Sheet5!$L$526)^2)</f>
        <v>4.4236041855701922</v>
      </c>
      <c r="P27" s="12">
        <f t="shared" si="0"/>
        <v>0</v>
      </c>
      <c r="Q27" s="11">
        <f>IF(P27=Sheet1!$M27, 1, 0)</f>
        <v>1</v>
      </c>
    </row>
    <row r="28" spans="1:17" x14ac:dyDescent="0.35">
      <c r="A28" s="6" t="s">
        <v>36</v>
      </c>
      <c r="B28" s="6" t="s">
        <v>40</v>
      </c>
      <c r="C28" s="6">
        <v>5.3257898603196893E-2</v>
      </c>
      <c r="D28" s="6">
        <v>0.2475888097410211</v>
      </c>
      <c r="E28" s="6">
        <v>-6.8811182200269716E-2</v>
      </c>
      <c r="F28" s="6">
        <v>-4.8803663859537154E-2</v>
      </c>
      <c r="G28" s="6">
        <v>-0.70172268870871068</v>
      </c>
      <c r="H28" s="6">
        <v>-1.0579984772553965</v>
      </c>
      <c r="I28" s="6">
        <v>-1.0408149041594428</v>
      </c>
      <c r="J28" s="6">
        <v>0.827703839109724</v>
      </c>
      <c r="K28" s="6">
        <v>0.87408254388720275</v>
      </c>
      <c r="L28" s="6">
        <v>-0.30955535849168592</v>
      </c>
      <c r="N28" s="8">
        <f>SQRT((C28-Sheet5!$C$525)^2+(D28-Sheet5!$D$525)^2+(E28-Sheet5!$E$525)^2+(F28-Sheet5!$F$525)^2+(G28-Sheet5!$G$525)^2+(H28-Sheet5!$H$525)^2+(I28-Sheet5!$I$525)^2+(J28-Sheet5!$J$525)^2+(K28-Sheet5!$K$525)^2+(L28-Sheet5!$L$525)^2)</f>
        <v>1.9956279372787606</v>
      </c>
      <c r="O28" s="8">
        <f>SQRT((C28-Sheet5!$C$526)^2+(D28-Sheet5!$D$526)^2+(E28-Sheet5!$E$526)^2+(F28-Sheet5!$F$526)^2+(G28-Sheet5!$G$526)^2+(H28-Sheet5!$H$526)^2+(I28-Sheet5!$I$526)^2+(J28-Sheet5!$J$526)^2+(K28-Sheet5!$K$526)^2+(L28-Sheet5!$L$526)^2)</f>
        <v>3.813460407756017</v>
      </c>
      <c r="P28" s="12">
        <f t="shared" si="0"/>
        <v>0</v>
      </c>
      <c r="Q28" s="11">
        <f>IF(P28=Sheet1!$M28, 1, 0)</f>
        <v>1</v>
      </c>
    </row>
    <row r="29" spans="1:17" x14ac:dyDescent="0.35">
      <c r="A29" s="6" t="s">
        <v>36</v>
      </c>
      <c r="B29" s="6" t="s">
        <v>41</v>
      </c>
      <c r="C29" s="6">
        <v>-0.34263852090865704</v>
      </c>
      <c r="D29" s="6">
        <v>0.95343305319581784</v>
      </c>
      <c r="E29" s="6">
        <v>0.51030104381266095</v>
      </c>
      <c r="F29" s="6">
        <v>0.59057169161761491</v>
      </c>
      <c r="G29" s="6">
        <v>-0.26038936967668164</v>
      </c>
      <c r="H29" s="6">
        <v>0.35483955937675787</v>
      </c>
      <c r="I29" s="6">
        <v>0.25011417608760289</v>
      </c>
      <c r="J29" s="6">
        <v>-1.3359738744680241</v>
      </c>
      <c r="K29" s="6">
        <v>2.0602776211223679</v>
      </c>
      <c r="L29" s="6">
        <v>-0.33235046516734568</v>
      </c>
      <c r="N29" s="8">
        <f>SQRT((C29-Sheet5!$C$525)^2+(D29-Sheet5!$D$525)^2+(E29-Sheet5!$E$525)^2+(F29-Sheet5!$F$525)^2+(G29-Sheet5!$G$525)^2+(H29-Sheet5!$H$525)^2+(I29-Sheet5!$I$525)^2+(J29-Sheet5!$J$525)^2+(K29-Sheet5!$K$525)^2+(L29-Sheet5!$L$525)^2)</f>
        <v>2.9922418220862368</v>
      </c>
      <c r="O29" s="8">
        <f>SQRT((C29-Sheet5!$C$526)^2+(D29-Sheet5!$D$526)^2+(E29-Sheet5!$E$526)^2+(F29-Sheet5!$F$526)^2+(G29-Sheet5!$G$526)^2+(H29-Sheet5!$H$526)^2+(I29-Sheet5!$I$526)^2+(J29-Sheet5!$J$526)^2+(K29-Sheet5!$K$526)^2+(L29-Sheet5!$L$526)^2)</f>
        <v>3.898749728374348</v>
      </c>
      <c r="P29" s="12">
        <f t="shared" si="0"/>
        <v>0</v>
      </c>
      <c r="Q29" s="11">
        <f>IF(P29=Sheet1!$M29, 1, 0)</f>
        <v>1</v>
      </c>
    </row>
    <row r="30" spans="1:17" x14ac:dyDescent="0.35">
      <c r="A30" s="6" t="s">
        <v>36</v>
      </c>
      <c r="B30" s="6" t="s">
        <v>42</v>
      </c>
      <c r="C30" s="6">
        <v>-0.44060610946582773</v>
      </c>
      <c r="D30" s="6">
        <v>1.309424062938237</v>
      </c>
      <c r="E30" s="6">
        <v>0.69965453247083287</v>
      </c>
      <c r="F30" s="6">
        <v>0.84169984328695302</v>
      </c>
      <c r="G30" s="6">
        <v>0.18384745803318706</v>
      </c>
      <c r="H30" s="6">
        <v>0.66455434056756557</v>
      </c>
      <c r="I30" s="6">
        <v>0.63133668966179246</v>
      </c>
      <c r="J30" s="6">
        <v>-1.6054846072119191</v>
      </c>
      <c r="K30" s="6">
        <v>1.7081748607293439</v>
      </c>
      <c r="L30" s="6">
        <v>-0.3409016886790065</v>
      </c>
      <c r="N30" s="8">
        <f>SQRT((C30-Sheet5!$C$525)^2+(D30-Sheet5!$D$525)^2+(E30-Sheet5!$E$525)^2+(F30-Sheet5!$F$525)^2+(G30-Sheet5!$G$525)^2+(H30-Sheet5!$H$525)^2+(I30-Sheet5!$I$525)^2+(J30-Sheet5!$J$525)^2+(K30-Sheet5!$K$525)^2+(L30-Sheet5!$L$525)^2)</f>
        <v>3.4400497540068771</v>
      </c>
      <c r="O30" s="8">
        <f>SQRT((C30-Sheet5!$C$526)^2+(D30-Sheet5!$D$526)^2+(E30-Sheet5!$E$526)^2+(F30-Sheet5!$F$526)^2+(G30-Sheet5!$G$526)^2+(H30-Sheet5!$H$526)^2+(I30-Sheet5!$I$526)^2+(J30-Sheet5!$J$526)^2+(K30-Sheet5!$K$526)^2+(L30-Sheet5!$L$526)^2)</f>
        <v>3.6779369354931144</v>
      </c>
      <c r="P30" s="12">
        <f t="shared" si="0"/>
        <v>0</v>
      </c>
      <c r="Q30" s="11">
        <f>IF(P30=Sheet1!$M30, 1, 0)</f>
        <v>1</v>
      </c>
    </row>
    <row r="31" spans="1:17" x14ac:dyDescent="0.35">
      <c r="A31" s="6" t="s">
        <v>36</v>
      </c>
      <c r="B31" s="6" t="s">
        <v>43</v>
      </c>
      <c r="C31" s="6">
        <v>-0.47415665349225605</v>
      </c>
      <c r="D31" s="6">
        <v>0.49923762697273127</v>
      </c>
      <c r="E31" s="6">
        <v>0.32684182717497678</v>
      </c>
      <c r="F31" s="6">
        <v>0.33328088591958027</v>
      </c>
      <c r="G31" s="6">
        <v>8.5128162986548656E-2</v>
      </c>
      <c r="H31" s="6">
        <v>0.23149228130250543</v>
      </c>
      <c r="I31" s="6">
        <v>0.58671198071498076</v>
      </c>
      <c r="J31" s="6">
        <v>0.22794756060922539</v>
      </c>
      <c r="K31" s="6">
        <v>-1.1931518849091729</v>
      </c>
      <c r="L31" s="6">
        <v>4.5623906934026598E-2</v>
      </c>
      <c r="N31" s="8">
        <f>SQRT((C31-Sheet5!$C$525)^2+(D31-Sheet5!$D$525)^2+(E31-Sheet5!$E$525)^2+(F31-Sheet5!$F$525)^2+(G31-Sheet5!$G$525)^2+(H31-Sheet5!$H$525)^2+(I31-Sheet5!$I$525)^2+(J31-Sheet5!$J$525)^2+(K31-Sheet5!$K$525)^2+(L31-Sheet5!$L$525)^2)</f>
        <v>2.4756978388209507</v>
      </c>
      <c r="O31" s="8">
        <f>SQRT((C31-Sheet5!$C$526)^2+(D31-Sheet5!$D$526)^2+(E31-Sheet5!$E$526)^2+(F31-Sheet5!$F$526)^2+(G31-Sheet5!$G$526)^2+(H31-Sheet5!$H$526)^2+(I31-Sheet5!$I$526)^2+(J31-Sheet5!$J$526)^2+(K31-Sheet5!$K$526)^2+(L31-Sheet5!$L$526)^2)</f>
        <v>1.8148114622822196</v>
      </c>
      <c r="P31" s="12">
        <f t="shared" si="0"/>
        <v>1</v>
      </c>
      <c r="Q31" s="11">
        <f>IF(P31=Sheet1!$M31, 1, 0)</f>
        <v>0</v>
      </c>
    </row>
    <row r="32" spans="1:17" x14ac:dyDescent="0.35">
      <c r="A32" s="6" t="s">
        <v>36</v>
      </c>
      <c r="B32" s="6" t="s">
        <v>44</v>
      </c>
      <c r="C32" s="6">
        <v>-0.39229332606777106</v>
      </c>
      <c r="D32" s="6">
        <v>0.22303770562085479</v>
      </c>
      <c r="E32" s="6">
        <v>0.25979448294192758</v>
      </c>
      <c r="F32" s="6">
        <v>8.6774724771761666E-2</v>
      </c>
      <c r="G32" s="6">
        <v>-0.37362620811253061</v>
      </c>
      <c r="H32" s="6">
        <v>0.64031579247437176</v>
      </c>
      <c r="I32" s="6">
        <v>0.67851138197699279</v>
      </c>
      <c r="J32" s="6">
        <v>0.50505014497970868</v>
      </c>
      <c r="K32" s="6">
        <v>-1.0084935483474982</v>
      </c>
      <c r="L32" s="6">
        <v>0.11106764719439023</v>
      </c>
      <c r="N32" s="8">
        <f>SQRT((C32-Sheet5!$C$525)^2+(D32-Sheet5!$D$525)^2+(E32-Sheet5!$E$525)^2+(F32-Sheet5!$F$525)^2+(G32-Sheet5!$G$525)^2+(H32-Sheet5!$H$525)^2+(I32-Sheet5!$I$525)^2+(J32-Sheet5!$J$525)^2+(K32-Sheet5!$K$525)^2+(L32-Sheet5!$L$525)^2)</f>
        <v>2.3933314200402469</v>
      </c>
      <c r="O32" s="8">
        <f>SQRT((C32-Sheet5!$C$526)^2+(D32-Sheet5!$D$526)^2+(E32-Sheet5!$E$526)^2+(F32-Sheet5!$F$526)^2+(G32-Sheet5!$G$526)^2+(H32-Sheet5!$H$526)^2+(I32-Sheet5!$I$526)^2+(J32-Sheet5!$J$526)^2+(K32-Sheet5!$K$526)^2+(L32-Sheet5!$L$526)^2)</f>
        <v>2.0665293701757972</v>
      </c>
      <c r="P32" s="12">
        <f t="shared" si="0"/>
        <v>1</v>
      </c>
      <c r="Q32" s="11">
        <f>IF(P32=Sheet1!$M32, 1, 0)</f>
        <v>0</v>
      </c>
    </row>
    <row r="33" spans="1:17" x14ac:dyDescent="0.35">
      <c r="A33" s="6" t="s">
        <v>36</v>
      </c>
      <c r="B33" s="6" t="s">
        <v>45</v>
      </c>
      <c r="C33" s="6">
        <v>-0.46476250116485612</v>
      </c>
      <c r="D33" s="6">
        <v>0.72019756405423241</v>
      </c>
      <c r="E33" s="6">
        <v>0.38725811538497718</v>
      </c>
      <c r="F33" s="6">
        <v>0.53510780535935609</v>
      </c>
      <c r="G33" s="6">
        <v>0.49742639524015247</v>
      </c>
      <c r="H33" s="6">
        <v>0.78359254342524964</v>
      </c>
      <c r="I33" s="6">
        <v>0.93095973544752575</v>
      </c>
      <c r="J33" s="6">
        <v>-0.33764538557162466</v>
      </c>
      <c r="K33" s="6">
        <v>0.48285725456162054</v>
      </c>
      <c r="L33" s="6">
        <v>0.13967700163327057</v>
      </c>
      <c r="N33" s="8">
        <f>SQRT((C33-Sheet5!$C$525)^2+(D33-Sheet5!$D$525)^2+(E33-Sheet5!$E$525)^2+(F33-Sheet5!$F$525)^2+(G33-Sheet5!$G$525)^2+(H33-Sheet5!$H$525)^2+(I33-Sheet5!$I$525)^2+(J33-Sheet5!$J$525)^2+(K33-Sheet5!$K$525)^2+(L33-Sheet5!$L$525)^2)</f>
        <v>2.6094290053736797</v>
      </c>
      <c r="O33" s="8">
        <f>SQRT((C33-Sheet5!$C$526)^2+(D33-Sheet5!$D$526)^2+(E33-Sheet5!$E$526)^2+(F33-Sheet5!$F$526)^2+(G33-Sheet5!$G$526)^2+(H33-Sheet5!$H$526)^2+(I33-Sheet5!$I$526)^2+(J33-Sheet5!$J$526)^2+(K33-Sheet5!$K$526)^2+(L33-Sheet5!$L$526)^2)</f>
        <v>2.0029447135417628</v>
      </c>
      <c r="P33" s="12">
        <f t="shared" si="0"/>
        <v>1</v>
      </c>
      <c r="Q33" s="11">
        <f>IF(P33=Sheet1!$M33, 1, 0)</f>
        <v>0</v>
      </c>
    </row>
    <row r="34" spans="1:17" x14ac:dyDescent="0.35">
      <c r="A34" s="6" t="s">
        <v>36</v>
      </c>
      <c r="B34" s="6" t="s">
        <v>46</v>
      </c>
      <c r="C34" s="6">
        <v>-0.53186358921771271</v>
      </c>
      <c r="D34" s="6">
        <v>0.70792201199414928</v>
      </c>
      <c r="E34" s="6">
        <v>6.6020290268389709E-2</v>
      </c>
      <c r="F34" s="6">
        <v>0.29476429824023381</v>
      </c>
      <c r="G34" s="6">
        <v>-0.1355384965294659</v>
      </c>
      <c r="H34" s="6">
        <v>0.8159106075495075</v>
      </c>
      <c r="I34" s="6">
        <v>0.43116299524323815</v>
      </c>
      <c r="J34" s="6">
        <v>-1.3549535035344955</v>
      </c>
      <c r="K34" s="6">
        <v>2.5453969798860911</v>
      </c>
      <c r="L34" s="6">
        <v>-0.3201618995731787</v>
      </c>
      <c r="N34" s="8">
        <f>SQRT((C34-Sheet5!$C$525)^2+(D34-Sheet5!$D$525)^2+(E34-Sheet5!$E$525)^2+(F34-Sheet5!$F$525)^2+(G34-Sheet5!$G$525)^2+(H34-Sheet5!$H$525)^2+(I34-Sheet5!$I$525)^2+(J34-Sheet5!$J$525)^2+(K34-Sheet5!$K$525)^2+(L34-Sheet5!$L$525)^2)</f>
        <v>3.2514571474258354</v>
      </c>
      <c r="O34" s="8">
        <f>SQRT((C34-Sheet5!$C$526)^2+(D34-Sheet5!$D$526)^2+(E34-Sheet5!$E$526)^2+(F34-Sheet5!$F$526)^2+(G34-Sheet5!$G$526)^2+(H34-Sheet5!$H$526)^2+(I34-Sheet5!$I$526)^2+(J34-Sheet5!$J$526)^2+(K34-Sheet5!$K$526)^2+(L34-Sheet5!$L$526)^2)</f>
        <v>4.3111573846162328</v>
      </c>
      <c r="P34" s="12">
        <f t="shared" si="0"/>
        <v>0</v>
      </c>
      <c r="Q34" s="11">
        <f>IF(P34=Sheet1!$M34, 1, 0)</f>
        <v>1</v>
      </c>
    </row>
    <row r="35" spans="1:17" x14ac:dyDescent="0.35">
      <c r="A35" s="6" t="s">
        <v>36</v>
      </c>
      <c r="B35" s="6" t="s">
        <v>47</v>
      </c>
      <c r="C35" s="6">
        <v>-0.46744654468697056</v>
      </c>
      <c r="D35" s="6">
        <v>0.95957082922585946</v>
      </c>
      <c r="E35" s="6">
        <v>0.76891222871156506</v>
      </c>
      <c r="F35" s="6">
        <v>0.75542268688521663</v>
      </c>
      <c r="G35" s="6">
        <v>0.55840007747483844</v>
      </c>
      <c r="H35" s="6">
        <v>0.38392581708858986</v>
      </c>
      <c r="I35" s="6">
        <v>0.40120069066466485</v>
      </c>
      <c r="J35" s="6">
        <v>-1.1803409161229579</v>
      </c>
      <c r="K35" s="6">
        <v>2.3623035444817186</v>
      </c>
      <c r="L35" s="6">
        <v>-0.15424168527990051</v>
      </c>
      <c r="N35" s="8">
        <f>SQRT((C35-Sheet5!$C$525)^2+(D35-Sheet5!$D$525)^2+(E35-Sheet5!$E$525)^2+(F35-Sheet5!$F$525)^2+(G35-Sheet5!$G$525)^2+(H35-Sheet5!$H$525)^2+(I35-Sheet5!$I$525)^2+(J35-Sheet5!$J$525)^2+(K35-Sheet5!$K$525)^2+(L35-Sheet5!$L$525)^2)</f>
        <v>3.4667800623249092</v>
      </c>
      <c r="O35" s="8">
        <f>SQRT((C35-Sheet5!$C$526)^2+(D35-Sheet5!$D$526)^2+(E35-Sheet5!$E$526)^2+(F35-Sheet5!$F$526)^2+(G35-Sheet5!$G$526)^2+(H35-Sheet5!$H$526)^2+(I35-Sheet5!$I$526)^2+(J35-Sheet5!$J$526)^2+(K35-Sheet5!$K$526)^2+(L35-Sheet5!$L$526)^2)</f>
        <v>3.7684313012769959</v>
      </c>
      <c r="P35" s="12">
        <f t="shared" si="0"/>
        <v>0</v>
      </c>
      <c r="Q35" s="11">
        <f>IF(P35=Sheet1!$M35, 1, 0)</f>
        <v>1</v>
      </c>
    </row>
    <row r="36" spans="1:17" x14ac:dyDescent="0.35">
      <c r="A36" s="6" t="s">
        <v>36</v>
      </c>
      <c r="B36" s="6" t="s">
        <v>48</v>
      </c>
      <c r="C36" s="6">
        <v>-1.1089329464722797</v>
      </c>
      <c r="D36" s="6">
        <v>1.0209485895262764</v>
      </c>
      <c r="E36" s="6">
        <v>0.72433679655662575</v>
      </c>
      <c r="F36" s="6">
        <v>0.86326913238738712</v>
      </c>
      <c r="G36" s="6">
        <v>0.61356674235384112</v>
      </c>
      <c r="H36" s="6">
        <v>1.032441637182038</v>
      </c>
      <c r="I36" s="6">
        <v>0.83151038408034672</v>
      </c>
      <c r="J36" s="6">
        <v>1.5451338178223459</v>
      </c>
      <c r="K36" s="6">
        <v>-0.42009071320182273</v>
      </c>
      <c r="L36" s="6">
        <v>1.0491293672015534</v>
      </c>
      <c r="N36" s="8">
        <f>SQRT((C36-Sheet5!$C$525)^2+(D36-Sheet5!$D$525)^2+(E36-Sheet5!$E$525)^2+(F36-Sheet5!$F$525)^2+(G36-Sheet5!$G$525)^2+(H36-Sheet5!$H$525)^2+(I36-Sheet5!$I$525)^2+(J36-Sheet5!$J$525)^2+(K36-Sheet5!$K$525)^2+(L36-Sheet5!$L$525)^2)</f>
        <v>4.0665512634029639</v>
      </c>
      <c r="O36" s="8">
        <f>SQRT((C36-Sheet5!$C$526)^2+(D36-Sheet5!$D$526)^2+(E36-Sheet5!$E$526)^2+(F36-Sheet5!$F$526)^2+(G36-Sheet5!$G$526)^2+(H36-Sheet5!$H$526)^2+(I36-Sheet5!$I$526)^2+(J36-Sheet5!$J$526)^2+(K36-Sheet5!$K$526)^2+(L36-Sheet5!$L$526)^2)</f>
        <v>1.0664625782743928</v>
      </c>
      <c r="P36" s="12">
        <f t="shared" si="0"/>
        <v>1</v>
      </c>
      <c r="Q36" s="11">
        <f>IF(P36=Sheet1!$M36, 1, 0)</f>
        <v>0</v>
      </c>
    </row>
    <row r="37" spans="1:17" x14ac:dyDescent="0.35">
      <c r="A37" s="6" t="s">
        <v>36</v>
      </c>
      <c r="B37" s="6" t="s">
        <v>49</v>
      </c>
      <c r="C37" s="6">
        <v>-0.28895765046637195</v>
      </c>
      <c r="D37" s="6">
        <v>0.13710884120027053</v>
      </c>
      <c r="E37" s="6">
        <v>0.30105438708534249</v>
      </c>
      <c r="F37" s="6">
        <v>0.21927178638871339</v>
      </c>
      <c r="G37" s="6">
        <v>-0.19941568744199564</v>
      </c>
      <c r="H37" s="6">
        <v>0.19163333554925394</v>
      </c>
      <c r="I37" s="6">
        <v>0.47005024161117381</v>
      </c>
      <c r="J37" s="6">
        <v>2.296756669133344E-2</v>
      </c>
      <c r="K37" s="6">
        <v>-5.3903842393077189E-2</v>
      </c>
      <c r="L37" s="6">
        <v>0.17307994488155118</v>
      </c>
      <c r="N37" s="8">
        <f>SQRT((C37-Sheet5!$C$525)^2+(D37-Sheet5!$D$525)^2+(E37-Sheet5!$E$525)^2+(F37-Sheet5!$F$525)^2+(G37-Sheet5!$G$525)^2+(H37-Sheet5!$H$525)^2+(I37-Sheet5!$I$525)^2+(J37-Sheet5!$J$525)^2+(K37-Sheet5!$K$525)^2+(L37-Sheet5!$L$525)^2)</f>
        <v>1.6524308002511805</v>
      </c>
      <c r="O37" s="8">
        <f>SQRT((C37-Sheet5!$C$526)^2+(D37-Sheet5!$D$526)^2+(E37-Sheet5!$E$526)^2+(F37-Sheet5!$F$526)^2+(G37-Sheet5!$G$526)^2+(H37-Sheet5!$H$526)^2+(I37-Sheet5!$I$526)^2+(J37-Sheet5!$J$526)^2+(K37-Sheet5!$K$526)^2+(L37-Sheet5!$L$526)^2)</f>
        <v>2.1701844480011507</v>
      </c>
      <c r="P37" s="12">
        <f t="shared" si="0"/>
        <v>0</v>
      </c>
      <c r="Q37" s="11">
        <f>IF(P37=Sheet1!$M37, 1, 0)</f>
        <v>1</v>
      </c>
    </row>
    <row r="38" spans="1:17" x14ac:dyDescent="0.35">
      <c r="A38" s="6" t="s">
        <v>36</v>
      </c>
      <c r="B38" s="6" t="s">
        <v>50</v>
      </c>
      <c r="C38" s="6">
        <v>0.62361714705247839</v>
      </c>
      <c r="D38" s="6">
        <v>-1.4587129266105743</v>
      </c>
      <c r="E38" s="6">
        <v>-1.209721210165948</v>
      </c>
      <c r="F38" s="6">
        <v>-1.1673253700677579</v>
      </c>
      <c r="G38" s="6">
        <v>-0.23135428289826052</v>
      </c>
      <c r="H38" s="6">
        <v>-3.450612491254645</v>
      </c>
      <c r="I38" s="6">
        <v>-1.2065638231047431</v>
      </c>
      <c r="J38" s="6">
        <v>-0.4363394567172762</v>
      </c>
      <c r="K38" s="6">
        <v>0.43591021984255107</v>
      </c>
      <c r="L38" s="6">
        <v>-0.36840949954862978</v>
      </c>
      <c r="N38" s="8">
        <f>SQRT((C38-Sheet5!$C$525)^2+(D38-Sheet5!$D$525)^2+(E38-Sheet5!$E$525)^2+(F38-Sheet5!$F$525)^2+(G38-Sheet5!$G$525)^2+(H38-Sheet5!$H$525)^2+(I38-Sheet5!$I$525)^2+(J38-Sheet5!$J$525)^2+(K38-Sheet5!$K$525)^2+(L38-Sheet5!$L$525)^2)</f>
        <v>3.6803850196937877</v>
      </c>
      <c r="O38" s="8">
        <f>SQRT((C38-Sheet5!$C$526)^2+(D38-Sheet5!$D$526)^2+(E38-Sheet5!$E$526)^2+(F38-Sheet5!$F$526)^2+(G38-Sheet5!$G$526)^2+(H38-Sheet5!$H$526)^2+(I38-Sheet5!$I$526)^2+(J38-Sheet5!$J$526)^2+(K38-Sheet5!$K$526)^2+(L38-Sheet5!$L$526)^2)</f>
        <v>6.537349118578466</v>
      </c>
      <c r="P38" s="12">
        <f t="shared" si="0"/>
        <v>0</v>
      </c>
      <c r="Q38" s="11">
        <f>IF(P38=Sheet1!$M38, 1, 0)</f>
        <v>1</v>
      </c>
    </row>
    <row r="39" spans="1:17" x14ac:dyDescent="0.35">
      <c r="A39" s="6" t="s">
        <v>36</v>
      </c>
      <c r="B39" s="6" t="s">
        <v>51</v>
      </c>
      <c r="C39" s="6">
        <v>-0.35203267323605703</v>
      </c>
      <c r="D39" s="6">
        <v>0.78157532435465038</v>
      </c>
      <c r="E39" s="6">
        <v>-0.85053900891747003</v>
      </c>
      <c r="F39" s="6">
        <v>-7.9616934003014755E-2</v>
      </c>
      <c r="G39" s="6">
        <v>-4.2626218838510872E-2</v>
      </c>
      <c r="H39" s="6">
        <v>0.77820619940454028</v>
      </c>
      <c r="I39" s="6">
        <v>0.43435047445372454</v>
      </c>
      <c r="J39" s="6">
        <v>-1.1841368419362523</v>
      </c>
      <c r="K39" s="6">
        <v>2.3012723993469275</v>
      </c>
      <c r="L39" s="6">
        <v>-0.37078083337365808</v>
      </c>
      <c r="N39" s="8">
        <f>SQRT((C39-Sheet5!$C$525)^2+(D39-Sheet5!$D$525)^2+(E39-Sheet5!$E$525)^2+(F39-Sheet5!$F$525)^2+(G39-Sheet5!$G$525)^2+(H39-Sheet5!$H$525)^2+(I39-Sheet5!$I$525)^2+(J39-Sheet5!$J$525)^2+(K39-Sheet5!$K$525)^2+(L39-Sheet5!$L$525)^2)</f>
        <v>2.9401008810118276</v>
      </c>
      <c r="O39" s="8">
        <f>SQRT((C39-Sheet5!$C$526)^2+(D39-Sheet5!$D$526)^2+(E39-Sheet5!$E$526)^2+(F39-Sheet5!$F$526)^2+(G39-Sheet5!$G$526)^2+(H39-Sheet5!$H$526)^2+(I39-Sheet5!$I$526)^2+(J39-Sheet5!$J$526)^2+(K39-Sheet5!$K$526)^2+(L39-Sheet5!$L$526)^2)</f>
        <v>4.4304835210723015</v>
      </c>
      <c r="P39" s="12">
        <f t="shared" si="0"/>
        <v>0</v>
      </c>
      <c r="Q39" s="11">
        <f>IF(P39=Sheet1!$M39, 1, 0)</f>
        <v>1</v>
      </c>
    </row>
    <row r="40" spans="1:17" x14ac:dyDescent="0.35">
      <c r="A40" s="6" t="s">
        <v>36</v>
      </c>
      <c r="B40" s="6" t="s">
        <v>52</v>
      </c>
      <c r="C40" s="6">
        <v>-0.39229332606777106</v>
      </c>
      <c r="D40" s="6">
        <v>0.43172209064227285</v>
      </c>
      <c r="E40" s="6">
        <v>-0.76286171261271329</v>
      </c>
      <c r="F40" s="6">
        <v>-0.30609446955757175</v>
      </c>
      <c r="G40" s="6">
        <v>-1.0733717994725225</v>
      </c>
      <c r="H40" s="6">
        <v>0.69687240469182354</v>
      </c>
      <c r="I40" s="6">
        <v>-0.92096568584514948</v>
      </c>
      <c r="J40" s="6">
        <v>-1.4043005391073213</v>
      </c>
      <c r="K40" s="6">
        <v>2.8536825078746499</v>
      </c>
      <c r="L40" s="6">
        <v>-0.44071092209586799</v>
      </c>
      <c r="N40" s="8">
        <f>SQRT((C40-Sheet5!$C$525)^2+(D40-Sheet5!$D$525)^2+(E40-Sheet5!$E$525)^2+(F40-Sheet5!$F$525)^2+(G40-Sheet5!$G$525)^2+(H40-Sheet5!$H$525)^2+(I40-Sheet5!$I$525)^2+(J40-Sheet5!$J$525)^2+(K40-Sheet5!$K$525)^2+(L40-Sheet5!$L$525)^2)</f>
        <v>3.3187009302154955</v>
      </c>
      <c r="O40" s="8">
        <f>SQRT((C40-Sheet5!$C$526)^2+(D40-Sheet5!$D$526)^2+(E40-Sheet5!$E$526)^2+(F40-Sheet5!$F$526)^2+(G40-Sheet5!$G$526)^2+(H40-Sheet5!$H$526)^2+(I40-Sheet5!$I$526)^2+(J40-Sheet5!$J$526)^2+(K40-Sheet5!$K$526)^2+(L40-Sheet5!$L$526)^2)</f>
        <v>5.4855680121978772</v>
      </c>
      <c r="P40" s="12">
        <f t="shared" si="0"/>
        <v>0</v>
      </c>
      <c r="Q40" s="11">
        <f>IF(P40=Sheet1!$M40, 1, 0)</f>
        <v>1</v>
      </c>
    </row>
    <row r="41" spans="1:17" x14ac:dyDescent="0.35">
      <c r="A41" s="6" t="s">
        <v>36</v>
      </c>
      <c r="B41" s="6" t="s">
        <v>53</v>
      </c>
      <c r="C41" s="6">
        <v>5.4599920364253991E-2</v>
      </c>
      <c r="D41" s="6">
        <v>0.61585537154352343</v>
      </c>
      <c r="E41" s="6">
        <v>-0.6707637122925908</v>
      </c>
      <c r="F41" s="6">
        <v>0.13915728401567337</v>
      </c>
      <c r="G41" s="6">
        <v>0.50904042995151932</v>
      </c>
      <c r="H41" s="6">
        <v>0.74804267288856585</v>
      </c>
      <c r="I41" s="6">
        <v>-1.2429010861042891</v>
      </c>
      <c r="J41" s="6">
        <v>-1.6548316427847449</v>
      </c>
      <c r="K41" s="6">
        <v>2.3341353236502758</v>
      </c>
      <c r="L41" s="6">
        <v>-0.39286764072250963</v>
      </c>
      <c r="N41" s="8">
        <f>SQRT((C41-Sheet5!$C$525)^2+(D41-Sheet5!$D$525)^2+(E41-Sheet5!$E$525)^2+(F41-Sheet5!$F$525)^2+(G41-Sheet5!$G$525)^2+(H41-Sheet5!$H$525)^2+(I41-Sheet5!$I$525)^2+(J41-Sheet5!$J$525)^2+(K41-Sheet5!$K$525)^2+(L41-Sheet5!$L$525)^2)</f>
        <v>3.1843385576440921</v>
      </c>
      <c r="O41" s="8">
        <f>SQRT((C41-Sheet5!$C$526)^2+(D41-Sheet5!$D$526)^2+(E41-Sheet5!$E$526)^2+(F41-Sheet5!$F$526)^2+(G41-Sheet5!$G$526)^2+(H41-Sheet5!$H$526)^2+(I41-Sheet5!$I$526)^2+(J41-Sheet5!$J$526)^2+(K41-Sheet5!$K$526)^2+(L41-Sheet5!$L$526)^2)</f>
        <v>4.9447721298514153</v>
      </c>
      <c r="P41" s="12">
        <f t="shared" si="0"/>
        <v>0</v>
      </c>
      <c r="Q41" s="11">
        <f>IF(P41=Sheet1!$M41, 1, 0)</f>
        <v>1</v>
      </c>
    </row>
    <row r="42" spans="1:17" x14ac:dyDescent="0.35">
      <c r="A42" s="6" t="s">
        <v>36</v>
      </c>
      <c r="B42" s="6" t="s">
        <v>54</v>
      </c>
      <c r="C42" s="6">
        <v>-0.53320561097876984</v>
      </c>
      <c r="D42" s="6">
        <v>0.15552216929039525</v>
      </c>
      <c r="E42" s="6">
        <v>0.25500538692528119</v>
      </c>
      <c r="F42" s="6">
        <v>9.7559369321979811E-2</v>
      </c>
      <c r="G42" s="6">
        <v>-0.24296831760963145</v>
      </c>
      <c r="H42" s="6">
        <v>0.8611558973234692</v>
      </c>
      <c r="I42" s="6">
        <v>0.82896040071195709</v>
      </c>
      <c r="J42" s="6">
        <v>-0.4287476050906876</v>
      </c>
      <c r="K42" s="6">
        <v>-0.42478541667372988</v>
      </c>
      <c r="L42" s="6">
        <v>-4.3896974738430898E-2</v>
      </c>
      <c r="N42" s="8">
        <f>SQRT((C42-Sheet5!$C$525)^2+(D42-Sheet5!$D$525)^2+(E42-Sheet5!$E$525)^2+(F42-Sheet5!$F$525)^2+(G42-Sheet5!$G$525)^2+(H42-Sheet5!$H$525)^2+(I42-Sheet5!$I$525)^2+(J42-Sheet5!$J$525)^2+(K42-Sheet5!$K$525)^2+(L42-Sheet5!$L$525)^2)</f>
        <v>2.14841712503635</v>
      </c>
      <c r="O42" s="8">
        <f>SQRT((C42-Sheet5!$C$526)^2+(D42-Sheet5!$D$526)^2+(E42-Sheet5!$E$526)^2+(F42-Sheet5!$F$526)^2+(G42-Sheet5!$G$526)^2+(H42-Sheet5!$H$526)^2+(I42-Sheet5!$I$526)^2+(J42-Sheet5!$J$526)^2+(K42-Sheet5!$K$526)^2+(L42-Sheet5!$L$526)^2)</f>
        <v>2.4157901214699211</v>
      </c>
      <c r="P42" s="12">
        <f t="shared" si="0"/>
        <v>0</v>
      </c>
      <c r="Q42" s="11">
        <f>IF(P42=Sheet1!$M42, 1, 0)</f>
        <v>1</v>
      </c>
    </row>
    <row r="43" spans="1:17" x14ac:dyDescent="0.35">
      <c r="A43" s="6" t="s">
        <v>36</v>
      </c>
      <c r="B43" s="6" t="s">
        <v>55</v>
      </c>
      <c r="C43" s="6">
        <v>1.4339267532540168E-2</v>
      </c>
      <c r="D43" s="6">
        <v>-0.22501994457219024</v>
      </c>
      <c r="E43" s="6">
        <v>7.8914010313206856E-2</v>
      </c>
      <c r="F43" s="6">
        <v>-0.20749200509844473</v>
      </c>
      <c r="G43" s="6">
        <v>-0.73366128416497556</v>
      </c>
      <c r="H43" s="6">
        <v>0.58375918025692008</v>
      </c>
      <c r="I43" s="6">
        <v>0.80919802960694043</v>
      </c>
      <c r="J43" s="6">
        <v>0.59235643868547772</v>
      </c>
      <c r="K43" s="6">
        <v>8.3807459449527055E-2</v>
      </c>
      <c r="L43" s="6">
        <v>5.2696787013301813E-2</v>
      </c>
      <c r="N43" s="8">
        <f>SQRT((C43-Sheet5!$C$525)^2+(D43-Sheet5!$D$525)^2+(E43-Sheet5!$E$525)^2+(F43-Sheet5!$F$525)^2+(G43-Sheet5!$G$525)^2+(H43-Sheet5!$H$525)^2+(I43-Sheet5!$I$525)^2+(J43-Sheet5!$J$525)^2+(K43-Sheet5!$K$525)^2+(L43-Sheet5!$L$525)^2)</f>
        <v>1.8803212690152009</v>
      </c>
      <c r="O43" s="8">
        <f>SQRT((C43-Sheet5!$C$526)^2+(D43-Sheet5!$D$526)^2+(E43-Sheet5!$E$526)^2+(F43-Sheet5!$F$526)^2+(G43-Sheet5!$G$526)^2+(H43-Sheet5!$H$526)^2+(I43-Sheet5!$I$526)^2+(J43-Sheet5!$J$526)^2+(K43-Sheet5!$K$526)^2+(L43-Sheet5!$L$526)^2)</f>
        <v>2.7650904943443324</v>
      </c>
      <c r="P43" s="12">
        <f t="shared" si="0"/>
        <v>0</v>
      </c>
      <c r="Q43" s="11">
        <f>IF(P43=Sheet1!$M43, 1, 0)</f>
        <v>1</v>
      </c>
    </row>
    <row r="44" spans="1:17" x14ac:dyDescent="0.35">
      <c r="A44" s="6" t="s">
        <v>36</v>
      </c>
      <c r="B44" s="6" t="s">
        <v>56</v>
      </c>
      <c r="C44" s="6">
        <v>-0.3157980856875145</v>
      </c>
      <c r="D44" s="6">
        <v>0.57902871536327394</v>
      </c>
      <c r="E44" s="6">
        <v>-9.938771830655041E-2</v>
      </c>
      <c r="F44" s="6">
        <v>2.8229511499155757E-2</v>
      </c>
      <c r="G44" s="6">
        <v>-0.70752970606439414</v>
      </c>
      <c r="H44" s="6">
        <v>-0.54037081686519439</v>
      </c>
      <c r="I44" s="6">
        <v>-0.48173105064010524</v>
      </c>
      <c r="J44" s="6">
        <v>-0.70964611527446553</v>
      </c>
      <c r="K44" s="6">
        <v>1.1510700487297145</v>
      </c>
      <c r="L44" s="6">
        <v>-0.27937555538021203</v>
      </c>
      <c r="N44" s="8">
        <f>SQRT((C44-Sheet5!$C$525)^2+(D44-Sheet5!$D$525)^2+(E44-Sheet5!$E$525)^2+(F44-Sheet5!$F$525)^2+(G44-Sheet5!$G$525)^2+(H44-Sheet5!$H$525)^2+(I44-Sheet5!$I$525)^2+(J44-Sheet5!$J$525)^2+(K44-Sheet5!$K$525)^2+(L44-Sheet5!$L$525)^2)</f>
        <v>1.6586781341797368</v>
      </c>
      <c r="O44" s="8">
        <f>SQRT((C44-Sheet5!$C$526)^2+(D44-Sheet5!$D$526)^2+(E44-Sheet5!$E$526)^2+(F44-Sheet5!$F$526)^2+(G44-Sheet5!$G$526)^2+(H44-Sheet5!$H$526)^2+(I44-Sheet5!$I$526)^2+(J44-Sheet5!$J$526)^2+(K44-Sheet5!$K$526)^2+(L44-Sheet5!$L$526)^2)</f>
        <v>3.7862560933298508</v>
      </c>
      <c r="P44" s="12">
        <f t="shared" si="0"/>
        <v>0</v>
      </c>
      <c r="Q44" s="11">
        <f>IF(P44=Sheet1!$M44, 1, 0)</f>
        <v>1</v>
      </c>
    </row>
    <row r="45" spans="1:17" x14ac:dyDescent="0.35">
      <c r="A45" s="6" t="s">
        <v>36</v>
      </c>
      <c r="B45" s="6" t="s">
        <v>57</v>
      </c>
      <c r="C45" s="6">
        <v>-0.48086676229754183</v>
      </c>
      <c r="D45" s="6">
        <v>0.35806877828177169</v>
      </c>
      <c r="E45" s="6">
        <v>-0.51714424775862633</v>
      </c>
      <c r="F45" s="6">
        <v>-0.19824802405540123</v>
      </c>
      <c r="G45" s="6">
        <v>-0.73366128416497556</v>
      </c>
      <c r="H45" s="6">
        <v>-0.94703979042877695</v>
      </c>
      <c r="I45" s="6">
        <v>-0.46515615874557492</v>
      </c>
      <c r="J45" s="6">
        <v>-0.37560464370456742</v>
      </c>
      <c r="K45" s="6">
        <v>0.90225076471864574</v>
      </c>
      <c r="L45" s="6">
        <v>-0.28421283567266015</v>
      </c>
      <c r="N45" s="8">
        <f>SQRT((C45-Sheet5!$C$525)^2+(D45-Sheet5!$D$525)^2+(E45-Sheet5!$E$525)^2+(F45-Sheet5!$F$525)^2+(G45-Sheet5!$G$525)^2+(H45-Sheet5!$H$525)^2+(I45-Sheet5!$I$525)^2+(J45-Sheet5!$J$525)^2+(K45-Sheet5!$K$525)^2+(L45-Sheet5!$L$525)^2)</f>
        <v>1.5013485804556184</v>
      </c>
      <c r="O45" s="8">
        <f>SQRT((C45-Sheet5!$C$526)^2+(D45-Sheet5!$D$526)^2+(E45-Sheet5!$E$526)^2+(F45-Sheet5!$F$526)^2+(G45-Sheet5!$G$526)^2+(H45-Sheet5!$H$526)^2+(I45-Sheet5!$I$526)^2+(J45-Sheet5!$J$526)^2+(K45-Sheet5!$K$526)^2+(L45-Sheet5!$L$526)^2)</f>
        <v>3.9335874940106272</v>
      </c>
      <c r="P45" s="12">
        <f t="shared" si="0"/>
        <v>0</v>
      </c>
      <c r="Q45" s="11">
        <f>IF(P45=Sheet1!$M45, 1, 0)</f>
        <v>1</v>
      </c>
    </row>
    <row r="46" spans="1:17" x14ac:dyDescent="0.35">
      <c r="A46" s="6" t="s">
        <v>36</v>
      </c>
      <c r="B46" s="6" t="s">
        <v>58</v>
      </c>
      <c r="C46" s="6">
        <v>-0.50233911047445601</v>
      </c>
      <c r="D46" s="6">
        <v>0.28441546592127165</v>
      </c>
      <c r="E46" s="6">
        <v>0.45577902762314837</v>
      </c>
      <c r="F46" s="6">
        <v>0.27165434563262508</v>
      </c>
      <c r="G46" s="6">
        <v>-0.24587182628747109</v>
      </c>
      <c r="H46" s="6">
        <v>0.41193480599628007</v>
      </c>
      <c r="I46" s="6">
        <v>-3.0383994435212329E-2</v>
      </c>
      <c r="J46" s="6">
        <v>-0.1326653916537327</v>
      </c>
      <c r="K46" s="6">
        <v>-0.48268675949391676</v>
      </c>
      <c r="L46" s="6">
        <v>-4.8971016482057997E-2</v>
      </c>
      <c r="N46" s="8">
        <f>SQRT((C46-Sheet5!$C$525)^2+(D46-Sheet5!$D$525)^2+(E46-Sheet5!$E$525)^2+(F46-Sheet5!$F$525)^2+(G46-Sheet5!$G$525)^2+(H46-Sheet5!$H$525)^2+(I46-Sheet5!$I$525)^2+(J46-Sheet5!$J$525)^2+(K46-Sheet5!$K$525)^2+(L46-Sheet5!$L$525)^2)</f>
        <v>1.8502402767140298</v>
      </c>
      <c r="O46" s="8">
        <f>SQRT((C46-Sheet5!$C$526)^2+(D46-Sheet5!$D$526)^2+(E46-Sheet5!$E$526)^2+(F46-Sheet5!$F$526)^2+(G46-Sheet5!$G$526)^2+(H46-Sheet5!$H$526)^2+(I46-Sheet5!$I$526)^2+(J46-Sheet5!$J$526)^2+(K46-Sheet5!$K$526)^2+(L46-Sheet5!$L$526)^2)</f>
        <v>2.1978022067589875</v>
      </c>
      <c r="P46" s="12">
        <f t="shared" si="0"/>
        <v>0</v>
      </c>
      <c r="Q46" s="11">
        <f>IF(P46=Sheet1!$M46, 1, 0)</f>
        <v>1</v>
      </c>
    </row>
    <row r="47" spans="1:17" x14ac:dyDescent="0.35">
      <c r="A47" s="6" t="s">
        <v>36</v>
      </c>
      <c r="B47" s="6" t="s">
        <v>59</v>
      </c>
      <c r="C47" s="6">
        <v>-0.30237786807694322</v>
      </c>
      <c r="D47" s="6">
        <v>-1.6335559550772212E-2</v>
      </c>
      <c r="E47" s="6">
        <v>0.55819200397912461</v>
      </c>
      <c r="F47" s="6">
        <v>0.2993862887617556</v>
      </c>
      <c r="G47" s="6">
        <v>-2.8108675449300315E-2</v>
      </c>
      <c r="H47" s="6">
        <v>0.1372312609400857</v>
      </c>
      <c r="I47" s="6">
        <v>0.10285263656312495</v>
      </c>
      <c r="J47" s="6">
        <v>0.25831496711557977</v>
      </c>
      <c r="K47" s="6">
        <v>-0.58440533471856682</v>
      </c>
      <c r="L47" s="6">
        <v>-8.3471846671411373E-2</v>
      </c>
      <c r="N47" s="8">
        <f>SQRT((C47-Sheet5!$C$525)^2+(D47-Sheet5!$D$525)^2+(E47-Sheet5!$E$525)^2+(F47-Sheet5!$F$525)^2+(G47-Sheet5!$G$525)^2+(H47-Sheet5!$H$525)^2+(I47-Sheet5!$I$525)^2+(J47-Sheet5!$J$525)^2+(K47-Sheet5!$K$525)^2+(L47-Sheet5!$L$525)^2)</f>
        <v>1.8630367773672514</v>
      </c>
      <c r="O47" s="8">
        <f>SQRT((C47-Sheet5!$C$526)^2+(D47-Sheet5!$D$526)^2+(E47-Sheet5!$E$526)^2+(F47-Sheet5!$F$526)^2+(G47-Sheet5!$G$526)^2+(H47-Sheet5!$H$526)^2+(I47-Sheet5!$I$526)^2+(J47-Sheet5!$J$526)^2+(K47-Sheet5!$K$526)^2+(L47-Sheet5!$L$526)^2)</f>
        <v>2.0396858388714545</v>
      </c>
      <c r="P47" s="12">
        <f t="shared" si="0"/>
        <v>0</v>
      </c>
      <c r="Q47" s="11">
        <f>IF(P47=Sheet1!$M47, 1, 0)</f>
        <v>1</v>
      </c>
    </row>
    <row r="48" spans="1:17" x14ac:dyDescent="0.35">
      <c r="A48" s="6" t="s">
        <v>36</v>
      </c>
      <c r="B48" s="6" t="s">
        <v>60</v>
      </c>
      <c r="C48" s="6">
        <v>1.7965441662164117</v>
      </c>
      <c r="D48" s="6">
        <v>-1.0229308284776129</v>
      </c>
      <c r="E48" s="6">
        <v>-1.5361165233004623</v>
      </c>
      <c r="F48" s="6">
        <v>-1.0949141852305868</v>
      </c>
      <c r="G48" s="6">
        <v>-3.1012184127144078E-2</v>
      </c>
      <c r="H48" s="6">
        <v>-1.675812136430799</v>
      </c>
      <c r="I48" s="6">
        <v>-1.7191104801509769</v>
      </c>
      <c r="J48" s="6">
        <v>-0.78176870572705714</v>
      </c>
      <c r="K48" s="6">
        <v>0.75202025361762093</v>
      </c>
      <c r="L48" s="6">
        <v>-0.40843244425180542</v>
      </c>
      <c r="N48" s="8">
        <f>SQRT((C48-Sheet5!$C$525)^2+(D48-Sheet5!$D$525)^2+(E48-Sheet5!$E$525)^2+(F48-Sheet5!$F$525)^2+(G48-Sheet5!$G$525)^2+(H48-Sheet5!$H$525)^2+(I48-Sheet5!$I$525)^2+(J48-Sheet5!$J$525)^2+(K48-Sheet5!$K$525)^2+(L48-Sheet5!$L$525)^2)</f>
        <v>3.013419628024502</v>
      </c>
      <c r="O48" s="8">
        <f>SQRT((C48-Sheet5!$C$526)^2+(D48-Sheet5!$D$526)^2+(E48-Sheet5!$E$526)^2+(F48-Sheet5!$F$526)^2+(G48-Sheet5!$G$526)^2+(H48-Sheet5!$H$526)^2+(I48-Sheet5!$I$526)^2+(J48-Sheet5!$J$526)^2+(K48-Sheet5!$K$526)^2+(L48-Sheet5!$L$526)^2)</f>
        <v>6.2226497357808217</v>
      </c>
      <c r="P48" s="12">
        <f t="shared" si="0"/>
        <v>0</v>
      </c>
      <c r="Q48" s="11">
        <f>IF(P48=Sheet1!$M48, 1, 0)</f>
        <v>0</v>
      </c>
    </row>
    <row r="49" spans="1:17" x14ac:dyDescent="0.35">
      <c r="A49" s="6" t="s">
        <v>36</v>
      </c>
      <c r="B49" s="6" t="s">
        <v>61</v>
      </c>
      <c r="C49" s="6">
        <v>1.898537820056754</v>
      </c>
      <c r="D49" s="6">
        <v>-1.072033036717946</v>
      </c>
      <c r="E49" s="6">
        <v>-1.6212150755962556</v>
      </c>
      <c r="F49" s="6">
        <v>-1.2227892563260168</v>
      </c>
      <c r="G49" s="6">
        <v>-0.16747709198573077</v>
      </c>
      <c r="H49" s="6">
        <v>-2.1104900989020718</v>
      </c>
      <c r="I49" s="6">
        <v>-0.86805353095107307</v>
      </c>
      <c r="J49" s="6">
        <v>-1.6396479395315677</v>
      </c>
      <c r="K49" s="6">
        <v>1.9742080574707404</v>
      </c>
      <c r="L49" s="6">
        <v>-0.43207582598116834</v>
      </c>
      <c r="N49" s="8">
        <f>SQRT((C49-Sheet5!$C$525)^2+(D49-Sheet5!$D$525)^2+(E49-Sheet5!$E$525)^2+(F49-Sheet5!$F$525)^2+(G49-Sheet5!$G$525)^2+(H49-Sheet5!$H$525)^2+(I49-Sheet5!$I$525)^2+(J49-Sheet5!$J$525)^2+(K49-Sheet5!$K$525)^2+(L49-Sheet5!$L$525)^2)</f>
        <v>3.6931803162953152</v>
      </c>
      <c r="O49" s="8">
        <f>SQRT((C49-Sheet5!$C$526)^2+(D49-Sheet5!$D$526)^2+(E49-Sheet5!$E$526)^2+(F49-Sheet5!$F$526)^2+(G49-Sheet5!$G$526)^2+(H49-Sheet5!$H$526)^2+(I49-Sheet5!$I$526)^2+(J49-Sheet5!$J$526)^2+(K49-Sheet5!$K$526)^2+(L49-Sheet5!$L$526)^2)</f>
        <v>6.932670066102359</v>
      </c>
      <c r="P49" s="12">
        <f t="shared" si="0"/>
        <v>0</v>
      </c>
      <c r="Q49" s="11">
        <f>IF(P49=Sheet1!$M49, 1, 0)</f>
        <v>0</v>
      </c>
    </row>
    <row r="50" spans="1:17" x14ac:dyDescent="0.35">
      <c r="A50" s="6" t="s">
        <v>36</v>
      </c>
      <c r="B50" s="6" t="s">
        <v>62</v>
      </c>
      <c r="C50" s="6">
        <v>7.6291587272544108E-3</v>
      </c>
      <c r="D50" s="6">
        <v>1.2112196464575697</v>
      </c>
      <c r="E50" s="6">
        <v>0.44767440359497757</v>
      </c>
      <c r="F50" s="6">
        <v>0.61830363474674321</v>
      </c>
      <c r="G50" s="6">
        <v>-0.11811744446241156</v>
      </c>
      <c r="H50" s="6">
        <v>-2.4169730736804538</v>
      </c>
      <c r="I50" s="6">
        <v>0.46303778734810347</v>
      </c>
      <c r="J50" s="6">
        <v>1.3895008594772797</v>
      </c>
      <c r="K50" s="6">
        <v>0.27003069716850386</v>
      </c>
      <c r="L50" s="6">
        <v>-0.38380749814766685</v>
      </c>
      <c r="N50" s="8">
        <f>SQRT((C50-Sheet5!$C$525)^2+(D50-Sheet5!$D$525)^2+(E50-Sheet5!$E$525)^2+(F50-Sheet5!$F$525)^2+(G50-Sheet5!$G$525)^2+(H50-Sheet5!$H$525)^2+(I50-Sheet5!$I$525)^2+(J50-Sheet5!$J$525)^2+(K50-Sheet5!$K$525)^2+(L50-Sheet5!$L$525)^2)</f>
        <v>3.5942927090863472</v>
      </c>
      <c r="O50" s="8">
        <f>SQRT((C50-Sheet5!$C$526)^2+(D50-Sheet5!$D$526)^2+(E50-Sheet5!$E$526)^2+(F50-Sheet5!$F$526)^2+(G50-Sheet5!$G$526)^2+(H50-Sheet5!$H$526)^2+(I50-Sheet5!$I$526)^2+(J50-Sheet5!$J$526)^2+(K50-Sheet5!$K$526)^2+(L50-Sheet5!$L$526)^2)</f>
        <v>3.6345478127604696</v>
      </c>
      <c r="P50" s="12">
        <f t="shared" si="0"/>
        <v>0</v>
      </c>
      <c r="Q50" s="11">
        <f>IF(P50=Sheet1!$M50, 1, 0)</f>
        <v>1</v>
      </c>
    </row>
    <row r="51" spans="1:17" x14ac:dyDescent="0.35">
      <c r="A51" s="6" t="s">
        <v>36</v>
      </c>
      <c r="B51" s="6" t="s">
        <v>63</v>
      </c>
      <c r="C51" s="6">
        <v>0.1512254871603676</v>
      </c>
      <c r="D51" s="6">
        <v>0.62199314757356505</v>
      </c>
      <c r="E51" s="6">
        <v>0.33163092319162318</v>
      </c>
      <c r="F51" s="6">
        <v>-0.15202811884018591</v>
      </c>
      <c r="G51" s="6">
        <v>-1.8050559862887752</v>
      </c>
      <c r="H51" s="6">
        <v>0.63923852367022937</v>
      </c>
      <c r="I51" s="6">
        <v>0.13153994945750391</v>
      </c>
      <c r="J51" s="6">
        <v>0.58096866124559465</v>
      </c>
      <c r="K51" s="6">
        <v>-0.45295363750517287</v>
      </c>
      <c r="L51" s="6">
        <v>-0.33568409816037281</v>
      </c>
      <c r="N51" s="8">
        <f>SQRT((C51-Sheet5!$C$525)^2+(D51-Sheet5!$D$525)^2+(E51-Sheet5!$E$525)^2+(F51-Sheet5!$F$525)^2+(G51-Sheet5!$G$525)^2+(H51-Sheet5!$H$525)^2+(I51-Sheet5!$I$525)^2+(J51-Sheet5!$J$525)^2+(K51-Sheet5!$K$525)^2+(L51-Sheet5!$L$525)^2)</f>
        <v>2.4908935692714911</v>
      </c>
      <c r="O51" s="8">
        <f>SQRT((C51-Sheet5!$C$526)^2+(D51-Sheet5!$D$526)^2+(E51-Sheet5!$E$526)^2+(F51-Sheet5!$F$526)^2+(G51-Sheet5!$G$526)^2+(H51-Sheet5!$H$526)^2+(I51-Sheet5!$I$526)^2+(J51-Sheet5!$J$526)^2+(K51-Sheet5!$K$526)^2+(L51-Sheet5!$L$526)^2)</f>
        <v>3.3270701185186455</v>
      </c>
      <c r="P51" s="12">
        <f t="shared" si="0"/>
        <v>0</v>
      </c>
      <c r="Q51" s="11">
        <f>IF(P51=Sheet1!$M51, 1, 0)</f>
        <v>1</v>
      </c>
    </row>
    <row r="52" spans="1:17" x14ac:dyDescent="0.35">
      <c r="A52" s="6" t="s">
        <v>36</v>
      </c>
      <c r="B52" s="6" t="s">
        <v>64</v>
      </c>
      <c r="C52" s="6">
        <v>-0.50368113223551303</v>
      </c>
      <c r="D52" s="6">
        <v>1.7513439371012394</v>
      </c>
      <c r="E52" s="6">
        <v>0.77775363674229681</v>
      </c>
      <c r="F52" s="6">
        <v>1.4240706489986716</v>
      </c>
      <c r="G52" s="6">
        <v>1.1942684779222965</v>
      </c>
      <c r="H52" s="6">
        <v>0.60799772835011312</v>
      </c>
      <c r="I52" s="6">
        <v>0.93350971881591538</v>
      </c>
      <c r="J52" s="6">
        <v>2.2549719449083789</v>
      </c>
      <c r="K52" s="6">
        <v>-0.10398067942675288</v>
      </c>
      <c r="L52" s="6">
        <v>-0.25944047521514879</v>
      </c>
      <c r="N52" s="8">
        <f>SQRT((C52-Sheet5!$C$525)^2+(D52-Sheet5!$D$525)^2+(E52-Sheet5!$E$525)^2+(F52-Sheet5!$F$525)^2+(G52-Sheet5!$G$525)^2+(H52-Sheet5!$H$525)^2+(I52-Sheet5!$I$525)^2+(J52-Sheet5!$J$525)^2+(K52-Sheet5!$K$525)^2+(L52-Sheet5!$L$525)^2)</f>
        <v>4.6689755650503804</v>
      </c>
      <c r="O52" s="8">
        <f>SQRT((C52-Sheet5!$C$526)^2+(D52-Sheet5!$D$526)^2+(E52-Sheet5!$E$526)^2+(F52-Sheet5!$F$526)^2+(G52-Sheet5!$G$526)^2+(H52-Sheet5!$H$526)^2+(I52-Sheet5!$I$526)^2+(J52-Sheet5!$J$526)^2+(K52-Sheet5!$K$526)^2+(L52-Sheet5!$L$526)^2)</f>
        <v>1.8909437043907829</v>
      </c>
      <c r="P52" s="12">
        <f t="shared" si="0"/>
        <v>1</v>
      </c>
      <c r="Q52" s="11">
        <f>IF(P52=Sheet1!$M52, 1, 0)</f>
        <v>0</v>
      </c>
    </row>
    <row r="53" spans="1:17" x14ac:dyDescent="0.35">
      <c r="A53" s="6" t="s">
        <v>36</v>
      </c>
      <c r="B53" s="6" t="s">
        <v>65</v>
      </c>
      <c r="C53" s="6">
        <v>-0.26480125876734334</v>
      </c>
      <c r="D53" s="6">
        <v>1.2296329745476944</v>
      </c>
      <c r="E53" s="6">
        <v>0.96305481338638343</v>
      </c>
      <c r="F53" s="6">
        <v>0.84632183380847481</v>
      </c>
      <c r="G53" s="6">
        <v>0.37547903077077632</v>
      </c>
      <c r="H53" s="6">
        <v>1.0060485514805599</v>
      </c>
      <c r="I53" s="6">
        <v>0.90609739760573083</v>
      </c>
      <c r="J53" s="6">
        <v>1.256643456011979</v>
      </c>
      <c r="K53" s="6">
        <v>-0.35592976575242774</v>
      </c>
      <c r="L53" s="6">
        <v>-0.37484201000525202</v>
      </c>
      <c r="N53" s="8">
        <f>SQRT((C53-Sheet5!$C$525)^2+(D53-Sheet5!$D$525)^2+(E53-Sheet5!$E$525)^2+(F53-Sheet5!$F$525)^2+(G53-Sheet5!$G$525)^2+(H53-Sheet5!$H$525)^2+(I53-Sheet5!$I$525)^2+(J53-Sheet5!$J$525)^2+(K53-Sheet5!$K$525)^2+(L53-Sheet5!$L$525)^2)</f>
        <v>3.616069932730845</v>
      </c>
      <c r="O53" s="8">
        <f>SQRT((C53-Sheet5!$C$526)^2+(D53-Sheet5!$D$526)^2+(E53-Sheet5!$E$526)^2+(F53-Sheet5!$F$526)^2+(G53-Sheet5!$G$526)^2+(H53-Sheet5!$H$526)^2+(I53-Sheet5!$I$526)^2+(J53-Sheet5!$J$526)^2+(K53-Sheet5!$K$526)^2+(L53-Sheet5!$L$526)^2)</f>
        <v>1.3044857199184581</v>
      </c>
      <c r="P53" s="12">
        <f t="shared" si="0"/>
        <v>1</v>
      </c>
      <c r="Q53" s="11">
        <f>IF(P53=Sheet1!$M53, 1, 0)</f>
        <v>0</v>
      </c>
    </row>
    <row r="54" spans="1:17" x14ac:dyDescent="0.35">
      <c r="A54" s="6" t="s">
        <v>36</v>
      </c>
      <c r="B54" s="6" t="s">
        <v>66</v>
      </c>
      <c r="C54" s="6">
        <v>-0.52783752393454142</v>
      </c>
      <c r="D54" s="6">
        <v>1.8679616816720328</v>
      </c>
      <c r="E54" s="6">
        <v>1.7219423360241932</v>
      </c>
      <c r="F54" s="6">
        <v>1.7383660044621374</v>
      </c>
      <c r="G54" s="6">
        <v>1.0374790093188158</v>
      </c>
      <c r="H54" s="6">
        <v>0.83530144602406242</v>
      </c>
      <c r="I54" s="6">
        <v>0.87103512629037916</v>
      </c>
      <c r="J54" s="6">
        <v>2.1828493544557874</v>
      </c>
      <c r="K54" s="6">
        <v>-1.1430750478754994</v>
      </c>
      <c r="L54" s="6">
        <v>2.8359786330232621</v>
      </c>
      <c r="N54" s="8">
        <f>SQRT((C54-Sheet5!$C$525)^2+(D54-Sheet5!$D$525)^2+(E54-Sheet5!$E$525)^2+(F54-Sheet5!$F$525)^2+(G54-Sheet5!$G$525)^2+(H54-Sheet5!$H$525)^2+(I54-Sheet5!$I$525)^2+(J54-Sheet5!$J$525)^2+(K54-Sheet5!$K$525)^2+(L54-Sheet5!$L$525)^2)</f>
        <v>6.1187358878854017</v>
      </c>
      <c r="O54" s="8">
        <f>SQRT((C54-Sheet5!$C$526)^2+(D54-Sheet5!$D$526)^2+(E54-Sheet5!$E$526)^2+(F54-Sheet5!$F$526)^2+(G54-Sheet5!$G$526)^2+(H54-Sheet5!$H$526)^2+(I54-Sheet5!$I$526)^2+(J54-Sheet5!$J$526)^2+(K54-Sheet5!$K$526)^2+(L54-Sheet5!$L$526)^2)</f>
        <v>2.9649399574693458</v>
      </c>
      <c r="P54" s="12">
        <f t="shared" si="0"/>
        <v>1</v>
      </c>
      <c r="Q54" s="11">
        <f>IF(P54=Sheet1!$M54, 1, 0)</f>
        <v>0</v>
      </c>
    </row>
    <row r="55" spans="1:17" x14ac:dyDescent="0.35">
      <c r="A55" s="6" t="s">
        <v>36</v>
      </c>
      <c r="B55" s="6" t="s">
        <v>67</v>
      </c>
      <c r="C55" s="6">
        <v>-0.8673690294819959</v>
      </c>
      <c r="D55" s="6">
        <v>1.5365217760497798</v>
      </c>
      <c r="E55" s="6">
        <v>0.27195141898418373</v>
      </c>
      <c r="F55" s="6">
        <v>0.93722098073173299</v>
      </c>
      <c r="G55" s="6">
        <v>0.81100533244711792</v>
      </c>
      <c r="H55" s="6">
        <v>0.9699600465418049</v>
      </c>
      <c r="I55" s="6">
        <v>0.93223472713172106</v>
      </c>
      <c r="J55" s="6">
        <v>1.0630512395339704</v>
      </c>
      <c r="K55" s="6">
        <v>-1.0476160772800565</v>
      </c>
      <c r="L55" s="6">
        <v>-0.28837844560519771</v>
      </c>
      <c r="N55" s="8">
        <f>SQRT((C55-Sheet5!$C$525)^2+(D55-Sheet5!$D$525)^2+(E55-Sheet5!$E$525)^2+(F55-Sheet5!$F$525)^2+(G55-Sheet5!$G$525)^2+(H55-Sheet5!$H$525)^2+(I55-Sheet5!$I$525)^2+(J55-Sheet5!$J$525)^2+(K55-Sheet5!$K$525)^2+(L55-Sheet5!$L$525)^2)</f>
        <v>3.9250403667942679</v>
      </c>
      <c r="O55" s="8">
        <f>SQRT((C55-Sheet5!$C$526)^2+(D55-Sheet5!$D$526)^2+(E55-Sheet5!$E$526)^2+(F55-Sheet5!$F$526)^2+(G55-Sheet5!$G$526)^2+(H55-Sheet5!$H$526)^2+(I55-Sheet5!$I$526)^2+(J55-Sheet5!$J$526)^2+(K55-Sheet5!$K$526)^2+(L55-Sheet5!$L$526)^2)</f>
        <v>1.4815902563922398</v>
      </c>
      <c r="P55" s="12">
        <f t="shared" si="0"/>
        <v>1</v>
      </c>
      <c r="Q55" s="11">
        <f>IF(P55=Sheet1!$M55, 1, 0)</f>
        <v>0</v>
      </c>
    </row>
    <row r="56" spans="1:17" x14ac:dyDescent="0.35">
      <c r="A56" s="6" t="s">
        <v>36</v>
      </c>
      <c r="B56" s="6" t="s">
        <v>68</v>
      </c>
      <c r="C56" s="6">
        <v>-0.63654128658016906</v>
      </c>
      <c r="D56" s="6">
        <v>1.6285884165004056</v>
      </c>
      <c r="E56" s="6">
        <v>0.2358490028586957</v>
      </c>
      <c r="F56" s="6">
        <v>0.85556581485151828</v>
      </c>
      <c r="G56" s="6">
        <v>-4.5529727516354639E-2</v>
      </c>
      <c r="H56" s="6">
        <v>-1.3935677097456109</v>
      </c>
      <c r="I56" s="6">
        <v>-1.9766588003582888</v>
      </c>
      <c r="J56" s="6">
        <v>0.80492828422995799</v>
      </c>
      <c r="K56" s="6">
        <v>-0.12119459215707841</v>
      </c>
      <c r="L56" s="6">
        <v>-0.36811381414613809</v>
      </c>
      <c r="N56" s="8">
        <f>SQRT((C56-Sheet5!$C$525)^2+(D56-Sheet5!$D$525)^2+(E56-Sheet5!$E$525)^2+(F56-Sheet5!$F$525)^2+(G56-Sheet5!$G$525)^2+(H56-Sheet5!$H$525)^2+(I56-Sheet5!$I$525)^2+(J56-Sheet5!$J$525)^2+(K56-Sheet5!$K$525)^2+(L56-Sheet5!$L$525)^2)</f>
        <v>3.5725147181754346</v>
      </c>
      <c r="O56" s="8">
        <f>SQRT((C56-Sheet5!$C$526)^2+(D56-Sheet5!$D$526)^2+(E56-Sheet5!$E$526)^2+(F56-Sheet5!$F$526)^2+(G56-Sheet5!$G$526)^2+(H56-Sheet5!$H$526)^2+(I56-Sheet5!$I$526)^2+(J56-Sheet5!$J$526)^2+(K56-Sheet5!$K$526)^2+(L56-Sheet5!$L$526)^2)</f>
        <v>3.789944857448047</v>
      </c>
      <c r="P56" s="12">
        <f t="shared" si="0"/>
        <v>0</v>
      </c>
      <c r="Q56" s="11">
        <f>IF(P56=Sheet1!$M56, 1, 0)</f>
        <v>1</v>
      </c>
    </row>
    <row r="57" spans="1:17" x14ac:dyDescent="0.35">
      <c r="A57" s="6" t="s">
        <v>36</v>
      </c>
      <c r="B57" s="6" t="s">
        <v>69</v>
      </c>
      <c r="C57" s="6">
        <v>0.56054212428279282</v>
      </c>
      <c r="D57" s="6">
        <v>0.11255773708010311</v>
      </c>
      <c r="E57" s="6">
        <v>-0.80706875276637213</v>
      </c>
      <c r="F57" s="6">
        <v>-4.8803663859537154E-2</v>
      </c>
      <c r="G57" s="6">
        <v>0.48290885185093779</v>
      </c>
      <c r="H57" s="6">
        <v>-1.7275210390296121</v>
      </c>
      <c r="I57" s="6">
        <v>-0.70294210784787048</v>
      </c>
      <c r="J57" s="6">
        <v>-9.8502059334084097E-2</v>
      </c>
      <c r="K57" s="6">
        <v>-1.0194478564486145</v>
      </c>
      <c r="L57" s="6">
        <v>-0.38540755506104418</v>
      </c>
      <c r="N57" s="8">
        <f>SQRT((C57-Sheet5!$C$525)^2+(D57-Sheet5!$D$525)^2+(E57-Sheet5!$E$525)^2+(F57-Sheet5!$F$525)^2+(G57-Sheet5!$G$525)^2+(H57-Sheet5!$H$525)^2+(I57-Sheet5!$I$525)^2+(J57-Sheet5!$J$525)^2+(K57-Sheet5!$K$525)^2+(L57-Sheet5!$L$525)^2)</f>
        <v>2.3027390263220391</v>
      </c>
      <c r="O57" s="8">
        <f>SQRT((C57-Sheet5!$C$526)^2+(D57-Sheet5!$D$526)^2+(E57-Sheet5!$E$526)^2+(F57-Sheet5!$F$526)^2+(G57-Sheet5!$G$526)^2+(H57-Sheet5!$H$526)^2+(I57-Sheet5!$I$526)^2+(J57-Sheet5!$J$526)^2+(K57-Sheet5!$K$526)^2+(L57-Sheet5!$L$526)^2)</f>
        <v>4.0931809632843841</v>
      </c>
      <c r="P57" s="12">
        <f t="shared" si="0"/>
        <v>0</v>
      </c>
      <c r="Q57" s="11">
        <f>IF(P57=Sheet1!$M57, 1, 0)</f>
        <v>1</v>
      </c>
    </row>
    <row r="58" spans="1:17" x14ac:dyDescent="0.35">
      <c r="A58" s="6" t="s">
        <v>70</v>
      </c>
      <c r="B58" s="6" t="s">
        <v>71</v>
      </c>
      <c r="C58" s="6">
        <v>0.34447662075259461</v>
      </c>
      <c r="D58" s="6">
        <v>-0.75900645918581899</v>
      </c>
      <c r="E58" s="6">
        <v>-1.4749634510879008</v>
      </c>
      <c r="F58" s="6">
        <v>-1.3213917207851438</v>
      </c>
      <c r="G58" s="6">
        <v>-1.4305033668471197</v>
      </c>
      <c r="H58" s="6">
        <v>-0.33138066886165829</v>
      </c>
      <c r="I58" s="6">
        <v>-1.891871853359347</v>
      </c>
      <c r="J58" s="6">
        <v>-0.86148314780623725</v>
      </c>
      <c r="K58" s="6">
        <v>2.0508882141785536</v>
      </c>
      <c r="L58" s="6">
        <v>-0.39538657695607449</v>
      </c>
      <c r="N58" s="8">
        <f>SQRT((C58-Sheet5!$C$525)^2+(D58-Sheet5!$D$525)^2+(E58-Sheet5!$E$525)^2+(F58-Sheet5!$F$525)^2+(G58-Sheet5!$G$525)^2+(H58-Sheet5!$H$525)^2+(I58-Sheet5!$I$525)^2+(J58-Sheet5!$J$525)^2+(K58-Sheet5!$K$525)^2+(L58-Sheet5!$L$525)^2)</f>
        <v>3.0649042709354788</v>
      </c>
      <c r="O58" s="8">
        <f>SQRT((C58-Sheet5!$C$526)^2+(D58-Sheet5!$D$526)^2+(E58-Sheet5!$E$526)^2+(F58-Sheet5!$F$526)^2+(G58-Sheet5!$G$526)^2+(H58-Sheet5!$H$526)^2+(I58-Sheet5!$I$526)^2+(J58-Sheet5!$J$526)^2+(K58-Sheet5!$K$526)^2+(L58-Sheet5!$L$526)^2)</f>
        <v>6.303470743716713</v>
      </c>
      <c r="P58" s="12">
        <f t="shared" si="0"/>
        <v>0</v>
      </c>
      <c r="Q58" s="11">
        <f>IF(P58=Sheet1!$M58, 1, 0)</f>
        <v>1</v>
      </c>
    </row>
    <row r="59" spans="1:17" x14ac:dyDescent="0.35">
      <c r="A59" s="6" t="s">
        <v>70</v>
      </c>
      <c r="B59" s="6" t="s">
        <v>72</v>
      </c>
      <c r="C59" s="6">
        <v>-0.584202437898941</v>
      </c>
      <c r="D59" s="6">
        <v>-0.10226442397135649</v>
      </c>
      <c r="E59" s="6">
        <v>-0.38857543931173522</v>
      </c>
      <c r="F59" s="6">
        <v>1.5904203441765154E-2</v>
      </c>
      <c r="G59" s="6">
        <v>0.378382539448616</v>
      </c>
      <c r="H59" s="6">
        <v>-0.3125284647891739</v>
      </c>
      <c r="I59" s="6">
        <v>-0.56779298932324129</v>
      </c>
      <c r="J59" s="6">
        <v>0.34562126082134836</v>
      </c>
      <c r="K59" s="6">
        <v>-0.44982383519056662</v>
      </c>
      <c r="L59" s="6">
        <v>-0.25437004830966958</v>
      </c>
      <c r="N59" s="8">
        <f>SQRT((C59-Sheet5!$C$525)^2+(D59-Sheet5!$D$525)^2+(E59-Sheet5!$E$525)^2+(F59-Sheet5!$F$525)^2+(G59-Sheet5!$G$525)^2+(H59-Sheet5!$H$525)^2+(I59-Sheet5!$I$525)^2+(J59-Sheet5!$J$525)^2+(K59-Sheet5!$K$525)^2+(L59-Sheet5!$L$525)^2)</f>
        <v>1.6197723561882718</v>
      </c>
      <c r="O59" s="8">
        <f>SQRT((C59-Sheet5!$C$526)^2+(D59-Sheet5!$D$526)^2+(E59-Sheet5!$E$526)^2+(F59-Sheet5!$F$526)^2+(G59-Sheet5!$G$526)^2+(H59-Sheet5!$H$526)^2+(I59-Sheet5!$I$526)^2+(J59-Sheet5!$J$526)^2+(K59-Sheet5!$K$526)^2+(L59-Sheet5!$L$526)^2)</f>
        <v>2.8302425564540545</v>
      </c>
      <c r="P59" s="12">
        <f t="shared" si="0"/>
        <v>0</v>
      </c>
      <c r="Q59" s="11">
        <f>IF(P59=Sheet1!$M59, 1, 0)</f>
        <v>1</v>
      </c>
    </row>
    <row r="60" spans="1:17" x14ac:dyDescent="0.35">
      <c r="A60" s="6" t="s">
        <v>70</v>
      </c>
      <c r="B60" s="6" t="s">
        <v>73</v>
      </c>
      <c r="C60" s="6">
        <v>-0.5721242420494268</v>
      </c>
      <c r="D60" s="6">
        <v>-0.34777546517302454</v>
      </c>
      <c r="E60" s="6">
        <v>-4.0444998101671972E-2</v>
      </c>
      <c r="F60" s="6">
        <v>-0.1058082136249706</v>
      </c>
      <c r="G60" s="6">
        <v>-0.25167884364315446</v>
      </c>
      <c r="H60" s="6">
        <v>-1.5928624385118697</v>
      </c>
      <c r="I60" s="6">
        <v>-0.44921876269314226</v>
      </c>
      <c r="J60" s="6">
        <v>-0.14784909490690989</v>
      </c>
      <c r="K60" s="6">
        <v>0.27316049948310789</v>
      </c>
      <c r="L60" s="6">
        <v>-0.2474859338247771</v>
      </c>
      <c r="N60" s="8">
        <f>SQRT((C60-Sheet5!$C$525)^2+(D60-Sheet5!$D$525)^2+(E60-Sheet5!$E$525)^2+(F60-Sheet5!$F$525)^2+(G60-Sheet5!$G$525)^2+(H60-Sheet5!$H$525)^2+(I60-Sheet5!$I$525)^2+(J60-Sheet5!$J$525)^2+(K60-Sheet5!$K$525)^2+(L60-Sheet5!$L$525)^2)</f>
        <v>1.6755801313864065</v>
      </c>
      <c r="O60" s="8">
        <f>SQRT((C60-Sheet5!$C$526)^2+(D60-Sheet5!$D$526)^2+(E60-Sheet5!$E$526)^2+(F60-Sheet5!$F$526)^2+(G60-Sheet5!$G$526)^2+(H60-Sheet5!$H$526)^2+(I60-Sheet5!$I$526)^2+(J60-Sheet5!$J$526)^2+(K60-Sheet5!$K$526)^2+(L60-Sheet5!$L$526)^2)</f>
        <v>3.7881734897632051</v>
      </c>
      <c r="P60" s="12">
        <f t="shared" si="0"/>
        <v>0</v>
      </c>
      <c r="Q60" s="11">
        <f>IF(P60=Sheet1!$M60, 1, 0)</f>
        <v>1</v>
      </c>
    </row>
    <row r="61" spans="1:17" x14ac:dyDescent="0.35">
      <c r="A61" s="6" t="s">
        <v>70</v>
      </c>
      <c r="B61" s="6" t="s">
        <v>74</v>
      </c>
      <c r="C61" s="6">
        <v>-0.73450887513733976</v>
      </c>
      <c r="D61" s="6">
        <v>-0.19433106442198234</v>
      </c>
      <c r="E61" s="6">
        <v>2.3655210121133328E-2</v>
      </c>
      <c r="F61" s="6">
        <v>-0.31841977761496232</v>
      </c>
      <c r="G61" s="6">
        <v>-0.95723145235882978</v>
      </c>
      <c r="H61" s="6">
        <v>-0.24627643333444516</v>
      </c>
      <c r="I61" s="6">
        <v>-1.3398004541030795</v>
      </c>
      <c r="J61" s="6">
        <v>-0.5654009343692824</v>
      </c>
      <c r="K61" s="6">
        <v>9.319686639334139E-2</v>
      </c>
      <c r="L61" s="6">
        <v>-0.31490596669615539</v>
      </c>
      <c r="N61" s="8">
        <f>SQRT((C61-Sheet5!$C$525)^2+(D61-Sheet5!$D$525)^2+(E61-Sheet5!$E$525)^2+(F61-Sheet5!$F$525)^2+(G61-Sheet5!$G$525)^2+(H61-Sheet5!$H$525)^2+(I61-Sheet5!$I$525)^2+(J61-Sheet5!$J$525)^2+(K61-Sheet5!$K$525)^2+(L61-Sheet5!$L$525)^2)</f>
        <v>1.6655422634009107</v>
      </c>
      <c r="O61" s="8">
        <f>SQRT((C61-Sheet5!$C$526)^2+(D61-Sheet5!$D$526)^2+(E61-Sheet5!$E$526)^2+(F61-Sheet5!$F$526)^2+(G61-Sheet5!$G$526)^2+(H61-Sheet5!$H$526)^2+(I61-Sheet5!$I$526)^2+(J61-Sheet5!$J$526)^2+(K61-Sheet5!$K$526)^2+(L61-Sheet5!$L$526)^2)</f>
        <v>4.0013623619707896</v>
      </c>
      <c r="P61" s="12">
        <f t="shared" si="0"/>
        <v>0</v>
      </c>
      <c r="Q61" s="11">
        <f>IF(P61=Sheet1!$M61, 1, 0)</f>
        <v>1</v>
      </c>
    </row>
    <row r="62" spans="1:17" x14ac:dyDescent="0.35">
      <c r="A62" s="6" t="s">
        <v>70</v>
      </c>
      <c r="B62" s="6" t="s">
        <v>75</v>
      </c>
      <c r="C62" s="6">
        <v>-1.0378057931362517</v>
      </c>
      <c r="D62" s="6">
        <v>0.11255773708010311</v>
      </c>
      <c r="E62" s="6">
        <v>0.10728019441180461</v>
      </c>
      <c r="F62" s="6">
        <v>0.39028543568501156</v>
      </c>
      <c r="G62" s="6">
        <v>0.13448781050986786</v>
      </c>
      <c r="H62" s="6">
        <v>-1.2642954532485782</v>
      </c>
      <c r="I62" s="6">
        <v>8.6915240510692285E-2</v>
      </c>
      <c r="J62" s="6">
        <v>-0.16303279816008709</v>
      </c>
      <c r="K62" s="6">
        <v>-0.40444170162880033</v>
      </c>
      <c r="L62" s="6">
        <v>-0.25226675577805963</v>
      </c>
      <c r="N62" s="8">
        <f>SQRT((C62-Sheet5!$C$525)^2+(D62-Sheet5!$D$525)^2+(E62-Sheet5!$E$525)^2+(F62-Sheet5!$F$525)^2+(G62-Sheet5!$G$525)^2+(H62-Sheet5!$H$525)^2+(I62-Sheet5!$I$525)^2+(J62-Sheet5!$J$525)^2+(K62-Sheet5!$K$525)^2+(L62-Sheet5!$L$525)^2)</f>
        <v>2.165917932260776</v>
      </c>
      <c r="O62" s="8">
        <f>SQRT((C62-Sheet5!$C$526)^2+(D62-Sheet5!$D$526)^2+(E62-Sheet5!$E$526)^2+(F62-Sheet5!$F$526)^2+(G62-Sheet5!$G$526)^2+(H62-Sheet5!$H$526)^2+(I62-Sheet5!$I$526)^2+(J62-Sheet5!$J$526)^2+(K62-Sheet5!$K$526)^2+(L62-Sheet5!$L$526)^2)</f>
        <v>2.9557411884632692</v>
      </c>
      <c r="P62" s="12">
        <f t="shared" si="0"/>
        <v>0</v>
      </c>
      <c r="Q62" s="11">
        <f>IF(P62=Sheet1!$M62, 1, 0)</f>
        <v>1</v>
      </c>
    </row>
    <row r="63" spans="1:17" x14ac:dyDescent="0.35">
      <c r="A63" s="6" t="s">
        <v>70</v>
      </c>
      <c r="B63" s="6" t="s">
        <v>76</v>
      </c>
      <c r="C63" s="6">
        <v>-0.67814396117294018</v>
      </c>
      <c r="D63" s="6">
        <v>-0.34163768914298293</v>
      </c>
      <c r="E63" s="6">
        <v>0.26716232296753739</v>
      </c>
      <c r="F63" s="6">
        <v>0.12837263946545741</v>
      </c>
      <c r="G63" s="6">
        <v>-0.19941568744199564</v>
      </c>
      <c r="H63" s="6">
        <v>-1.1495663256074615</v>
      </c>
      <c r="I63" s="6">
        <v>6.0777910984702935E-2</v>
      </c>
      <c r="J63" s="6">
        <v>1.2718271592651564</v>
      </c>
      <c r="K63" s="6">
        <v>-0.75497956086452123</v>
      </c>
      <c r="L63" s="6">
        <v>-0.20402375270661169</v>
      </c>
      <c r="N63" s="8">
        <f>SQRT((C63-Sheet5!$C$525)^2+(D63-Sheet5!$D$525)^2+(E63-Sheet5!$E$525)^2+(F63-Sheet5!$F$525)^2+(G63-Sheet5!$G$525)^2+(H63-Sheet5!$H$525)^2+(I63-Sheet5!$I$525)^2+(J63-Sheet5!$J$525)^2+(K63-Sheet5!$K$525)^2+(L63-Sheet5!$L$525)^2)</f>
        <v>2.5219547946760139</v>
      </c>
      <c r="O63" s="8">
        <f>SQRT((C63-Sheet5!$C$526)^2+(D63-Sheet5!$D$526)^2+(E63-Sheet5!$E$526)^2+(F63-Sheet5!$F$526)^2+(G63-Sheet5!$G$526)^2+(H63-Sheet5!$H$526)^2+(I63-Sheet5!$I$526)^2+(J63-Sheet5!$J$526)^2+(K63-Sheet5!$K$526)^2+(L63-Sheet5!$L$526)^2)</f>
        <v>2.92166164819412</v>
      </c>
      <c r="P63" s="12">
        <f t="shared" si="0"/>
        <v>0</v>
      </c>
      <c r="Q63" s="11">
        <f>IF(P63=Sheet1!$M63, 1, 0)</f>
        <v>1</v>
      </c>
    </row>
    <row r="64" spans="1:17" x14ac:dyDescent="0.35">
      <c r="A64" s="6" t="s">
        <v>70</v>
      </c>
      <c r="B64" s="6" t="s">
        <v>77</v>
      </c>
      <c r="C64" s="6">
        <v>-0.72779876633205409</v>
      </c>
      <c r="D64" s="6">
        <v>0.32737989813156382</v>
      </c>
      <c r="E64" s="6">
        <v>-0.24416577480978308</v>
      </c>
      <c r="F64" s="6">
        <v>0.40723273426392392</v>
      </c>
      <c r="G64" s="6">
        <v>0.83423340186985562</v>
      </c>
      <c r="H64" s="6">
        <v>2.5726604223432121E-3</v>
      </c>
      <c r="I64" s="6">
        <v>0.14811484135203332</v>
      </c>
      <c r="J64" s="6">
        <v>1.9201181156748245E-4</v>
      </c>
      <c r="K64" s="6">
        <v>-0.46547284676359124</v>
      </c>
      <c r="L64" s="6">
        <v>-0.1467784862607239</v>
      </c>
      <c r="N64" s="8">
        <f>SQRT((C64-Sheet5!$C$525)^2+(D64-Sheet5!$D$525)^2+(E64-Sheet5!$E$525)^2+(F64-Sheet5!$F$525)^2+(G64-Sheet5!$G$525)^2+(H64-Sheet5!$H$525)^2+(I64-Sheet5!$I$525)^2+(J64-Sheet5!$J$525)^2+(K64-Sheet5!$K$525)^2+(L64-Sheet5!$L$525)^2)</f>
        <v>2.1233689433251617</v>
      </c>
      <c r="O64" s="8">
        <f>SQRT((C64-Sheet5!$C$526)^2+(D64-Sheet5!$D$526)^2+(E64-Sheet5!$E$526)^2+(F64-Sheet5!$F$526)^2+(G64-Sheet5!$G$526)^2+(H64-Sheet5!$H$526)^2+(I64-Sheet5!$I$526)^2+(J64-Sheet5!$J$526)^2+(K64-Sheet5!$K$526)^2+(L64-Sheet5!$L$526)^2)</f>
        <v>2.1573343417760298</v>
      </c>
      <c r="P64" s="12">
        <f t="shared" si="0"/>
        <v>0</v>
      </c>
      <c r="Q64" s="11">
        <f>IF(P64=Sheet1!$M64, 1, 0)</f>
        <v>1</v>
      </c>
    </row>
    <row r="65" spans="1:17" x14ac:dyDescent="0.35">
      <c r="A65" s="6" t="s">
        <v>70</v>
      </c>
      <c r="B65" s="6" t="s">
        <v>78</v>
      </c>
      <c r="C65" s="6">
        <v>-0.66874980884554025</v>
      </c>
      <c r="D65" s="6">
        <v>-0.22501994457219024</v>
      </c>
      <c r="E65" s="6">
        <v>-0.24195542280210014</v>
      </c>
      <c r="F65" s="6">
        <v>-3.8019019309319002E-2</v>
      </c>
      <c r="G65" s="6">
        <v>5.3189567530283768E-2</v>
      </c>
      <c r="H65" s="6">
        <v>-1.1587231104426681</v>
      </c>
      <c r="I65" s="6">
        <v>-1.0331649540542749</v>
      </c>
      <c r="J65" s="6">
        <v>-1.0664631417241293</v>
      </c>
      <c r="K65" s="6">
        <v>0.29193931337073653</v>
      </c>
      <c r="L65" s="6">
        <v>-0.22009829020479904</v>
      </c>
      <c r="N65" s="8">
        <f>SQRT((C65-Sheet5!$C$525)^2+(D65-Sheet5!$D$525)^2+(E65-Sheet5!$E$525)^2+(F65-Sheet5!$F$525)^2+(G65-Sheet5!$G$525)^2+(H65-Sheet5!$H$525)^2+(I65-Sheet5!$I$525)^2+(J65-Sheet5!$J$525)^2+(K65-Sheet5!$K$525)^2+(L65-Sheet5!$L$525)^2)</f>
        <v>1.7426752942140991</v>
      </c>
      <c r="O65" s="8">
        <f>SQRT((C65-Sheet5!$C$526)^2+(D65-Sheet5!$D$526)^2+(E65-Sheet5!$E$526)^2+(F65-Sheet5!$F$526)^2+(G65-Sheet5!$G$526)^2+(H65-Sheet5!$H$526)^2+(I65-Sheet5!$I$526)^2+(J65-Sheet5!$J$526)^2+(K65-Sheet5!$K$526)^2+(L65-Sheet5!$L$526)^2)</f>
        <v>4.076660468941685</v>
      </c>
      <c r="P65" s="12">
        <f t="shared" si="0"/>
        <v>0</v>
      </c>
      <c r="Q65" s="11">
        <f>IF(P65=Sheet1!$M65, 1, 0)</f>
        <v>1</v>
      </c>
    </row>
    <row r="66" spans="1:17" x14ac:dyDescent="0.35">
      <c r="A66" s="6" t="s">
        <v>70</v>
      </c>
      <c r="B66" s="6" t="s">
        <v>79</v>
      </c>
      <c r="C66" s="6">
        <v>-0.64325139538545473</v>
      </c>
      <c r="D66" s="6">
        <v>-0.20660661648206549</v>
      </c>
      <c r="E66" s="6">
        <v>-0.69434080037454216</v>
      </c>
      <c r="F66" s="6">
        <v>-0.48635209989691341</v>
      </c>
      <c r="G66" s="6">
        <v>-0.6000998849842285</v>
      </c>
      <c r="H66" s="6">
        <v>-1.7205187918026899</v>
      </c>
      <c r="I66" s="6">
        <v>-0.1636206254335496</v>
      </c>
      <c r="J66" s="6">
        <v>-5.2950949574552521E-2</v>
      </c>
      <c r="K66" s="6">
        <v>-1.7911115775125219E-2</v>
      </c>
      <c r="L66" s="6">
        <v>-0.3266729335081815</v>
      </c>
      <c r="N66" s="8">
        <f>SQRT((C66-Sheet5!$C$525)^2+(D66-Sheet5!$D$525)^2+(E66-Sheet5!$E$525)^2+(F66-Sheet5!$F$525)^2+(G66-Sheet5!$G$525)^2+(H66-Sheet5!$H$525)^2+(I66-Sheet5!$I$525)^2+(J66-Sheet5!$J$525)^2+(K66-Sheet5!$K$525)^2+(L66-Sheet5!$L$525)^2)</f>
        <v>1.8165035901262963</v>
      </c>
      <c r="O66" s="8">
        <f>SQRT((C66-Sheet5!$C$526)^2+(D66-Sheet5!$D$526)^2+(E66-Sheet5!$E$526)^2+(F66-Sheet5!$F$526)^2+(G66-Sheet5!$G$526)^2+(H66-Sheet5!$H$526)^2+(I66-Sheet5!$I$526)^2+(J66-Sheet5!$J$526)^2+(K66-Sheet5!$K$526)^2+(L66-Sheet5!$L$526)^2)</f>
        <v>4.1619388782588365</v>
      </c>
      <c r="P66" s="12">
        <f t="shared" si="0"/>
        <v>0</v>
      </c>
      <c r="Q66" s="11">
        <f>IF(P66=Sheet1!$M66, 1, 0)</f>
        <v>1</v>
      </c>
    </row>
    <row r="67" spans="1:17" x14ac:dyDescent="0.35">
      <c r="A67" s="6" t="s">
        <v>70</v>
      </c>
      <c r="B67" s="6" t="s">
        <v>80</v>
      </c>
      <c r="C67" s="6">
        <v>-0.63788330834122631</v>
      </c>
      <c r="D67" s="6">
        <v>-7.1575543821147503E-2</v>
      </c>
      <c r="E67" s="6">
        <v>1.5550586092962542E-2</v>
      </c>
      <c r="F67" s="6">
        <v>-0.10734887713214306</v>
      </c>
      <c r="G67" s="6">
        <v>-0.47815252051485241</v>
      </c>
      <c r="H67" s="6">
        <v>-1.0035964026462287</v>
      </c>
      <c r="I67" s="6">
        <v>-0.26306997680072869</v>
      </c>
      <c r="J67" s="6">
        <v>-8.3318356080906902E-2</v>
      </c>
      <c r="K67" s="6">
        <v>0.41400160364031841</v>
      </c>
      <c r="L67" s="6">
        <v>-0.37411615886315913</v>
      </c>
      <c r="N67" s="8">
        <f>SQRT((C67-Sheet5!$C$525)^2+(D67-Sheet5!$D$525)^2+(E67-Sheet5!$E$525)^2+(F67-Sheet5!$F$525)^2+(G67-Sheet5!$G$525)^2+(H67-Sheet5!$H$525)^2+(I67-Sheet5!$I$525)^2+(J67-Sheet5!$J$525)^2+(K67-Sheet5!$K$525)^2+(L67-Sheet5!$L$525)^2)</f>
        <v>1.3818828150919833</v>
      </c>
      <c r="O67" s="8">
        <f>SQRT((C67-Sheet5!$C$526)^2+(D67-Sheet5!$D$526)^2+(E67-Sheet5!$E$526)^2+(F67-Sheet5!$F$526)^2+(G67-Sheet5!$G$526)^2+(H67-Sheet5!$H$526)^2+(I67-Sheet5!$I$526)^2+(J67-Sheet5!$J$526)^2+(K67-Sheet5!$K$526)^2+(L67-Sheet5!$L$526)^2)</f>
        <v>3.436561745857841</v>
      </c>
      <c r="P67" s="12">
        <f t="shared" ref="P67:P130" si="1">IF(N67&lt;=O67, 0, 1)</f>
        <v>0</v>
      </c>
      <c r="Q67" s="11">
        <f>IF(P67=Sheet1!$M67, 1, 0)</f>
        <v>1</v>
      </c>
    </row>
    <row r="68" spans="1:17" x14ac:dyDescent="0.35">
      <c r="A68" s="6" t="s">
        <v>70</v>
      </c>
      <c r="B68" s="6" t="s">
        <v>81</v>
      </c>
      <c r="C68" s="6">
        <v>-0.75195515803108248</v>
      </c>
      <c r="D68" s="6">
        <v>6.9593304869812064E-2</v>
      </c>
      <c r="E68" s="6">
        <v>0.36810173131839169</v>
      </c>
      <c r="F68" s="6">
        <v>0.28243899018284324</v>
      </c>
      <c r="G68" s="6">
        <v>0.54388253408562792</v>
      </c>
      <c r="H68" s="6">
        <v>0.29666704395309246</v>
      </c>
      <c r="I68" s="6">
        <v>-0.94774051121323644</v>
      </c>
      <c r="J68" s="6">
        <v>-2.2583543068198139E-2</v>
      </c>
      <c r="K68" s="6">
        <v>0.55953741126943612</v>
      </c>
      <c r="L68" s="6">
        <v>-0.2978454768693713</v>
      </c>
      <c r="N68" s="8">
        <f>SQRT((C68-Sheet5!$C$525)^2+(D68-Sheet5!$D$525)^2+(E68-Sheet5!$E$525)^2+(F68-Sheet5!$F$525)^2+(G68-Sheet5!$G$525)^2+(H68-Sheet5!$H$525)^2+(I68-Sheet5!$I$525)^2+(J68-Sheet5!$J$525)^2+(K68-Sheet5!$K$525)^2+(L68-Sheet5!$L$525)^2)</f>
        <v>2.0444755136426114</v>
      </c>
      <c r="O68" s="8">
        <f>SQRT((C68-Sheet5!$C$526)^2+(D68-Sheet5!$D$526)^2+(E68-Sheet5!$E$526)^2+(F68-Sheet5!$F$526)^2+(G68-Sheet5!$G$526)^2+(H68-Sheet5!$H$526)^2+(I68-Sheet5!$I$526)^2+(J68-Sheet5!$J$526)^2+(K68-Sheet5!$K$526)^2+(L68-Sheet5!$L$526)^2)</f>
        <v>2.7761319202496533</v>
      </c>
      <c r="P68" s="12">
        <f t="shared" si="1"/>
        <v>0</v>
      </c>
      <c r="Q68" s="11">
        <f>IF(P68=Sheet1!$M68, 1, 0)</f>
        <v>1</v>
      </c>
    </row>
    <row r="69" spans="1:17" x14ac:dyDescent="0.35">
      <c r="A69" s="6" t="s">
        <v>70</v>
      </c>
      <c r="B69" s="6" t="s">
        <v>82</v>
      </c>
      <c r="C69" s="6">
        <v>-0.63922533010228344</v>
      </c>
      <c r="D69" s="6">
        <v>-0.10226442397135649</v>
      </c>
      <c r="E69" s="6">
        <v>-0.455254391543504</v>
      </c>
      <c r="F69" s="6">
        <v>-0.17976006196931421</v>
      </c>
      <c r="G69" s="6">
        <v>-0.49847708125975049</v>
      </c>
      <c r="H69" s="6">
        <v>-0.37285551782112281</v>
      </c>
      <c r="I69" s="6">
        <v>-0.23374516806425297</v>
      </c>
      <c r="J69" s="6">
        <v>-1.499169144160971E-2</v>
      </c>
      <c r="K69" s="6">
        <v>-0.39661719584228688</v>
      </c>
      <c r="L69" s="6">
        <v>-0.21483930665511911</v>
      </c>
      <c r="N69" s="8">
        <f>SQRT((C69-Sheet5!$C$525)^2+(D69-Sheet5!$D$525)^2+(E69-Sheet5!$E$525)^2+(F69-Sheet5!$F$525)^2+(G69-Sheet5!$G$525)^2+(H69-Sheet5!$H$525)^2+(I69-Sheet5!$I$525)^2+(J69-Sheet5!$J$525)^2+(K69-Sheet5!$K$525)^2+(L69-Sheet5!$L$525)^2)</f>
        <v>1.2324475210825783</v>
      </c>
      <c r="O69" s="8">
        <f>SQRT((C69-Sheet5!$C$526)^2+(D69-Sheet5!$D$526)^2+(E69-Sheet5!$E$526)^2+(F69-Sheet5!$F$526)^2+(G69-Sheet5!$G$526)^2+(H69-Sheet5!$H$526)^2+(I69-Sheet5!$I$526)^2+(J69-Sheet5!$J$526)^2+(K69-Sheet5!$K$526)^2+(L69-Sheet5!$L$526)^2)</f>
        <v>3.194530307981656</v>
      </c>
      <c r="P69" s="12">
        <f t="shared" si="1"/>
        <v>0</v>
      </c>
      <c r="Q69" s="11">
        <f>IF(P69=Sheet1!$M69, 1, 0)</f>
        <v>1</v>
      </c>
    </row>
    <row r="70" spans="1:17" x14ac:dyDescent="0.35">
      <c r="A70" s="6" t="s">
        <v>70</v>
      </c>
      <c r="B70" s="6" t="s">
        <v>83</v>
      </c>
      <c r="C70" s="6">
        <v>-0.98412492269396634</v>
      </c>
      <c r="D70" s="6">
        <v>1.9354772180024911</v>
      </c>
      <c r="E70" s="6">
        <v>1.5528504074364482</v>
      </c>
      <c r="F70" s="6">
        <v>1.9987381371745214</v>
      </c>
      <c r="G70" s="6">
        <v>1.1710404084995587</v>
      </c>
      <c r="H70" s="6">
        <v>0.1576993682187823</v>
      </c>
      <c r="I70" s="6">
        <v>0.66193649008246247</v>
      </c>
      <c r="J70" s="6">
        <v>3.1546063626591261</v>
      </c>
      <c r="K70" s="6">
        <v>-0.88956106039252147</v>
      </c>
      <c r="L70" s="6">
        <v>0.48609918582805522</v>
      </c>
      <c r="N70" s="8">
        <f>SQRT((C70-Sheet5!$C$525)^2+(D70-Sheet5!$D$525)^2+(E70-Sheet5!$E$525)^2+(F70-Sheet5!$F$525)^2+(G70-Sheet5!$G$525)^2+(H70-Sheet5!$H$525)^2+(I70-Sheet5!$I$525)^2+(J70-Sheet5!$J$525)^2+(K70-Sheet5!$K$525)^2+(L70-Sheet5!$L$525)^2)</f>
        <v>5.8750429466877732</v>
      </c>
      <c r="O70" s="8">
        <f>SQRT((C70-Sheet5!$C$526)^2+(D70-Sheet5!$D$526)^2+(E70-Sheet5!$E$526)^2+(F70-Sheet5!$F$526)^2+(G70-Sheet5!$G$526)^2+(H70-Sheet5!$H$526)^2+(I70-Sheet5!$I$526)^2+(J70-Sheet5!$J$526)^2+(K70-Sheet5!$K$526)^2+(L70-Sheet5!$L$526)^2)</f>
        <v>2.7273818138408004</v>
      </c>
      <c r="P70" s="12">
        <f t="shared" si="1"/>
        <v>1</v>
      </c>
      <c r="Q70" s="11">
        <f>IF(P70=Sheet1!$M70, 1, 0)</f>
        <v>0</v>
      </c>
    </row>
    <row r="71" spans="1:17" x14ac:dyDescent="0.35">
      <c r="A71" s="6" t="s">
        <v>70</v>
      </c>
      <c r="B71" s="6" t="s">
        <v>84</v>
      </c>
      <c r="C71" s="6">
        <v>-1.2283728832063643</v>
      </c>
      <c r="D71" s="6">
        <v>1.5978995363501967</v>
      </c>
      <c r="E71" s="6">
        <v>0.6790245803991255</v>
      </c>
      <c r="F71" s="6">
        <v>1.3069802224534577</v>
      </c>
      <c r="G71" s="6">
        <v>1.1826544432109296</v>
      </c>
      <c r="H71" s="6">
        <v>0.76474033935276597</v>
      </c>
      <c r="I71" s="6">
        <v>0.72759856181848515</v>
      </c>
      <c r="J71" s="6">
        <v>3.4355344131216416E-2</v>
      </c>
      <c r="K71" s="6">
        <v>-0.462343044448985</v>
      </c>
      <c r="L71" s="6">
        <v>-0.39757472415657846</v>
      </c>
      <c r="N71" s="8">
        <f>SQRT((C71-Sheet5!$C$525)^2+(D71-Sheet5!$D$525)^2+(E71-Sheet5!$E$525)^2+(F71-Sheet5!$F$525)^2+(G71-Sheet5!$G$525)^2+(H71-Sheet5!$H$525)^2+(I71-Sheet5!$I$525)^2+(J71-Sheet5!$J$525)^2+(K71-Sheet5!$K$525)^2+(L71-Sheet5!$L$525)^2)</f>
        <v>3.9317453282705448</v>
      </c>
      <c r="O71" s="8">
        <f>SQRT((C71-Sheet5!$C$526)^2+(D71-Sheet5!$D$526)^2+(E71-Sheet5!$E$526)^2+(F71-Sheet5!$F$526)^2+(G71-Sheet5!$G$526)^2+(H71-Sheet5!$H$526)^2+(I71-Sheet5!$I$526)^2+(J71-Sheet5!$J$526)^2+(K71-Sheet5!$K$526)^2+(L71-Sheet5!$L$526)^2)</f>
        <v>1.7347430464501907</v>
      </c>
      <c r="P71" s="12">
        <f t="shared" si="1"/>
        <v>1</v>
      </c>
      <c r="Q71" s="11">
        <f>IF(P71=Sheet1!$M71, 1, 0)</f>
        <v>0</v>
      </c>
    </row>
    <row r="72" spans="1:17" x14ac:dyDescent="0.35">
      <c r="A72" s="6" t="s">
        <v>70</v>
      </c>
      <c r="B72" s="6" t="s">
        <v>85</v>
      </c>
      <c r="C72" s="6">
        <v>-1.3276824935245923</v>
      </c>
      <c r="D72" s="6">
        <v>1.1559796621871943</v>
      </c>
      <c r="E72" s="6">
        <v>-4.7812838127281779E-2</v>
      </c>
      <c r="F72" s="6">
        <v>0.45499330298631385</v>
      </c>
      <c r="G72" s="6">
        <v>0.12868079315418032</v>
      </c>
      <c r="H72" s="6">
        <v>0.4981163103276357</v>
      </c>
      <c r="I72" s="6">
        <v>0.19975200456191528</v>
      </c>
      <c r="J72" s="6">
        <v>0.50125421916641455</v>
      </c>
      <c r="K72" s="6">
        <v>-0.22134826622442755</v>
      </c>
      <c r="L72" s="6">
        <v>-0.39981546411788171</v>
      </c>
      <c r="N72" s="8">
        <f>SQRT((C72-Sheet5!$C$525)^2+(D72-Sheet5!$D$525)^2+(E72-Sheet5!$E$525)^2+(F72-Sheet5!$F$525)^2+(G72-Sheet5!$G$525)^2+(H72-Sheet5!$H$525)^2+(I72-Sheet5!$I$525)^2+(J72-Sheet5!$J$525)^2+(K72-Sheet5!$K$525)^2+(L72-Sheet5!$L$525)^2)</f>
        <v>2.807214945892222</v>
      </c>
      <c r="O72" s="8">
        <f>SQRT((C72-Sheet5!$C$526)^2+(D72-Sheet5!$D$526)^2+(E72-Sheet5!$E$526)^2+(F72-Sheet5!$F$526)^2+(G72-Sheet5!$G$526)^2+(H72-Sheet5!$H$526)^2+(I72-Sheet5!$I$526)^2+(J72-Sheet5!$J$526)^2+(K72-Sheet5!$K$526)^2+(L72-Sheet5!$L$526)^2)</f>
        <v>2.0425486817815695</v>
      </c>
      <c r="P72" s="12">
        <f t="shared" si="1"/>
        <v>1</v>
      </c>
      <c r="Q72" s="11">
        <f>IF(P72=Sheet1!$M72, 1, 0)</f>
        <v>0</v>
      </c>
    </row>
    <row r="73" spans="1:17" x14ac:dyDescent="0.35">
      <c r="A73" s="6" t="s">
        <v>70</v>
      </c>
      <c r="B73" s="6" t="s">
        <v>86</v>
      </c>
      <c r="C73" s="6">
        <v>-0.85260679011036744</v>
      </c>
      <c r="D73" s="6">
        <v>1.9600283221226587</v>
      </c>
      <c r="E73" s="6">
        <v>0.15811829058851226</v>
      </c>
      <c r="F73" s="6">
        <v>1.2391910281378082</v>
      </c>
      <c r="G73" s="6">
        <v>0.91843515352727934</v>
      </c>
      <c r="H73" s="6">
        <v>-0.22419242284953481</v>
      </c>
      <c r="I73" s="6">
        <v>0.84872277181697375</v>
      </c>
      <c r="J73" s="6">
        <v>-6.0542801201140951E-2</v>
      </c>
      <c r="K73" s="6">
        <v>-0.5515424104152189</v>
      </c>
      <c r="L73" s="6">
        <v>-0.40395418216200102</v>
      </c>
      <c r="N73" s="8">
        <f>SQRT((C73-Sheet5!$C$525)^2+(D73-Sheet5!$D$525)^2+(E73-Sheet5!$E$525)^2+(F73-Sheet5!$F$525)^2+(G73-Sheet5!$G$525)^2+(H73-Sheet5!$H$525)^2+(I73-Sheet5!$I$525)^2+(J73-Sheet5!$J$525)^2+(K73-Sheet5!$K$525)^2+(L73-Sheet5!$L$525)^2)</f>
        <v>3.6676782762132669</v>
      </c>
      <c r="O73" s="8">
        <f>SQRT((C73-Sheet5!$C$526)^2+(D73-Sheet5!$D$526)^2+(E73-Sheet5!$E$526)^2+(F73-Sheet5!$F$526)^2+(G73-Sheet5!$G$526)^2+(H73-Sheet5!$H$526)^2+(I73-Sheet5!$I$526)^2+(J73-Sheet5!$J$526)^2+(K73-Sheet5!$K$526)^2+(L73-Sheet5!$L$526)^2)</f>
        <v>2.1932440682276084</v>
      </c>
      <c r="P73" s="12">
        <f t="shared" si="1"/>
        <v>1</v>
      </c>
      <c r="Q73" s="11">
        <f>IF(P73=Sheet1!$M73, 1, 0)</f>
        <v>0</v>
      </c>
    </row>
    <row r="74" spans="1:17" x14ac:dyDescent="0.35">
      <c r="A74" s="6" t="s">
        <v>70</v>
      </c>
      <c r="B74" s="6" t="s">
        <v>87</v>
      </c>
      <c r="C74" s="6">
        <v>-0.9572844874728238</v>
      </c>
      <c r="D74" s="6">
        <v>1.7820328172514484</v>
      </c>
      <c r="E74" s="6">
        <v>1.1074644778883356</v>
      </c>
      <c r="F74" s="6">
        <v>1.6597921655962722</v>
      </c>
      <c r="G74" s="6">
        <v>1.4062246114047838</v>
      </c>
      <c r="H74" s="6">
        <v>0.68556108224833345</v>
      </c>
      <c r="I74" s="6">
        <v>0.75947335392335047</v>
      </c>
      <c r="J74" s="6">
        <v>0.39117237058087995</v>
      </c>
      <c r="K74" s="6">
        <v>-0.31993703913447358</v>
      </c>
      <c r="L74" s="6">
        <v>-0.32807158334116754</v>
      </c>
      <c r="N74" s="8">
        <f>SQRT((C74-Sheet5!$C$525)^2+(D74-Sheet5!$D$525)^2+(E74-Sheet5!$E$525)^2+(F74-Sheet5!$F$525)^2+(G74-Sheet5!$G$525)^2+(H74-Sheet5!$H$525)^2+(I74-Sheet5!$I$525)^2+(J74-Sheet5!$J$525)^2+(K74-Sheet5!$K$525)^2+(L74-Sheet5!$L$525)^2)</f>
        <v>4.3425072435434933</v>
      </c>
      <c r="O74" s="8">
        <f>SQRT((C74-Sheet5!$C$526)^2+(D74-Sheet5!$D$526)^2+(E74-Sheet5!$E$526)^2+(F74-Sheet5!$F$526)^2+(G74-Sheet5!$G$526)^2+(H74-Sheet5!$H$526)^2+(I74-Sheet5!$I$526)^2+(J74-Sheet5!$J$526)^2+(K74-Sheet5!$K$526)^2+(L74-Sheet5!$L$526)^2)</f>
        <v>1.6635029893564062</v>
      </c>
      <c r="P74" s="12">
        <f t="shared" si="1"/>
        <v>1</v>
      </c>
      <c r="Q74" s="11">
        <f>IF(P74=Sheet1!$M74, 1, 0)</f>
        <v>0</v>
      </c>
    </row>
    <row r="75" spans="1:17" x14ac:dyDescent="0.35">
      <c r="A75" s="6" t="s">
        <v>70</v>
      </c>
      <c r="B75" s="6" t="s">
        <v>88</v>
      </c>
      <c r="C75" s="6">
        <v>-0.82039826784499625</v>
      </c>
      <c r="D75" s="6">
        <v>1.4567306876592383</v>
      </c>
      <c r="E75" s="6">
        <v>1.1023069898704088</v>
      </c>
      <c r="F75" s="6">
        <v>1.4102046774341064</v>
      </c>
      <c r="G75" s="6">
        <v>1.2145930386671946</v>
      </c>
      <c r="H75" s="6">
        <v>0.66186116855721011</v>
      </c>
      <c r="I75" s="6">
        <v>0.91119736434251009</v>
      </c>
      <c r="J75" s="6">
        <v>0.53541755148606307</v>
      </c>
      <c r="K75" s="6">
        <v>0.35453535966283062</v>
      </c>
      <c r="L75" s="6">
        <v>-0.36340930079930733</v>
      </c>
      <c r="N75" s="8">
        <f>SQRT((C75-Sheet5!$C$525)^2+(D75-Sheet5!$D$525)^2+(E75-Sheet5!$E$525)^2+(F75-Sheet5!$F$525)^2+(G75-Sheet5!$G$525)^2+(H75-Sheet5!$H$525)^2+(I75-Sheet5!$I$525)^2+(J75-Sheet5!$J$525)^2+(K75-Sheet5!$K$525)^2+(L75-Sheet5!$L$525)^2)</f>
        <v>3.9852209994553189</v>
      </c>
      <c r="O75" s="8">
        <f>SQRT((C75-Sheet5!$C$526)^2+(D75-Sheet5!$D$526)^2+(E75-Sheet5!$E$526)^2+(F75-Sheet5!$F$526)^2+(G75-Sheet5!$G$526)^2+(H75-Sheet5!$H$526)^2+(I75-Sheet5!$I$526)^2+(J75-Sheet5!$J$526)^2+(K75-Sheet5!$K$526)^2+(L75-Sheet5!$L$526)^2)</f>
        <v>1.5990740026743919</v>
      </c>
      <c r="P75" s="12">
        <f t="shared" si="1"/>
        <v>1</v>
      </c>
      <c r="Q75" s="11">
        <f>IF(P75=Sheet1!$M75, 1, 0)</f>
        <v>0</v>
      </c>
    </row>
    <row r="76" spans="1:17" x14ac:dyDescent="0.35">
      <c r="A76" s="6" t="s">
        <v>70</v>
      </c>
      <c r="B76" s="6" t="s">
        <v>89</v>
      </c>
      <c r="C76" s="6">
        <v>-1.0592781413131658</v>
      </c>
      <c r="D76" s="6">
        <v>1.3708018232386538</v>
      </c>
      <c r="E76" s="6">
        <v>0.91847938123144413</v>
      </c>
      <c r="F76" s="6">
        <v>1.1005313124921601</v>
      </c>
      <c r="G76" s="6">
        <v>0.20997903613376442</v>
      </c>
      <c r="H76" s="6">
        <v>0.12699720730073738</v>
      </c>
      <c r="I76" s="6">
        <v>0.80027308781757811</v>
      </c>
      <c r="J76" s="6">
        <v>0.39117237058087995</v>
      </c>
      <c r="K76" s="6">
        <v>-1.0585703853811728</v>
      </c>
      <c r="L76" s="6">
        <v>-0.38226283392752713</v>
      </c>
      <c r="N76" s="8">
        <f>SQRT((C76-Sheet5!$C$525)^2+(D76-Sheet5!$D$525)^2+(E76-Sheet5!$E$525)^2+(F76-Sheet5!$F$525)^2+(G76-Sheet5!$G$525)^2+(H76-Sheet5!$H$525)^2+(I76-Sheet5!$I$525)^2+(J76-Sheet5!$J$525)^2+(K76-Sheet5!$K$525)^2+(L76-Sheet5!$L$525)^2)</f>
        <v>3.5872970170869882</v>
      </c>
      <c r="O76" s="8">
        <f>SQRT((C76-Sheet5!$C$526)^2+(D76-Sheet5!$D$526)^2+(E76-Sheet5!$E$526)^2+(F76-Sheet5!$F$526)^2+(G76-Sheet5!$G$526)^2+(H76-Sheet5!$H$526)^2+(I76-Sheet5!$I$526)^2+(J76-Sheet5!$J$526)^2+(K76-Sheet5!$K$526)^2+(L76-Sheet5!$L$526)^2)</f>
        <v>1.6302754703234634</v>
      </c>
      <c r="P76" s="12">
        <f t="shared" si="1"/>
        <v>1</v>
      </c>
      <c r="Q76" s="11">
        <f>IF(P76=Sheet1!$M76, 1, 0)</f>
        <v>0</v>
      </c>
    </row>
    <row r="77" spans="1:17" x14ac:dyDescent="0.35">
      <c r="A77" s="6" t="s">
        <v>90</v>
      </c>
      <c r="B77" s="6" t="s">
        <v>91</v>
      </c>
      <c r="C77" s="6">
        <v>-0.44329015298794194</v>
      </c>
      <c r="D77" s="6">
        <v>0.19234882547064583</v>
      </c>
      <c r="E77" s="6">
        <v>-5.8161499813058903E-3</v>
      </c>
      <c r="F77" s="6">
        <v>0.10372202335067403</v>
      </c>
      <c r="G77" s="6">
        <v>-0.30684550852216119</v>
      </c>
      <c r="H77" s="6">
        <v>0.58052737384449415</v>
      </c>
      <c r="I77" s="6">
        <v>4.1015539879686293E-2</v>
      </c>
      <c r="J77" s="6">
        <v>-1.1385857321767208</v>
      </c>
      <c r="K77" s="6">
        <v>-0.38253308542656761</v>
      </c>
      <c r="L77" s="6">
        <v>5.694794115033381E-2</v>
      </c>
      <c r="N77" s="8">
        <f>SQRT((C77-Sheet5!$C$525)^2+(D77-Sheet5!$D$525)^2+(E77-Sheet5!$E$525)^2+(F77-Sheet5!$F$525)^2+(G77-Sheet5!$G$525)^2+(H77-Sheet5!$H$525)^2+(I77-Sheet5!$I$525)^2+(J77-Sheet5!$J$525)^2+(K77-Sheet5!$K$525)^2+(L77-Sheet5!$L$525)^2)</f>
        <v>1.7569970565394355</v>
      </c>
      <c r="O77" s="8">
        <f>SQRT((C77-Sheet5!$C$526)^2+(D77-Sheet5!$D$526)^2+(E77-Sheet5!$E$526)^2+(F77-Sheet5!$F$526)^2+(G77-Sheet5!$G$526)^2+(H77-Sheet5!$H$526)^2+(I77-Sheet5!$I$526)^2+(J77-Sheet5!$J$526)^2+(K77-Sheet5!$K$526)^2+(L77-Sheet5!$L$526)^2)</f>
        <v>3.0311213723377941</v>
      </c>
      <c r="P77" s="12">
        <f t="shared" si="1"/>
        <v>0</v>
      </c>
      <c r="Q77" s="11">
        <f>IF(P77=Sheet1!$M77, 1, 0)</f>
        <v>1</v>
      </c>
    </row>
    <row r="78" spans="1:17" x14ac:dyDescent="0.35">
      <c r="A78" s="6" t="s">
        <v>90</v>
      </c>
      <c r="B78" s="6" t="s">
        <v>92</v>
      </c>
      <c r="C78" s="6">
        <v>-0.81771422432288199</v>
      </c>
      <c r="D78" s="6">
        <v>-2.8611111610855368E-2</v>
      </c>
      <c r="E78" s="6">
        <v>-2.3867358044049911E-2</v>
      </c>
      <c r="F78" s="6">
        <v>1.2822876427418053E-2</v>
      </c>
      <c r="G78" s="6">
        <v>0.17513693199965991</v>
      </c>
      <c r="H78" s="6">
        <v>0.30259202237587313</v>
      </c>
      <c r="I78" s="6">
        <v>-1.2939007534720735</v>
      </c>
      <c r="J78" s="6">
        <v>-0.6602990797016397</v>
      </c>
      <c r="K78" s="6">
        <v>-0.15875221993233349</v>
      </c>
      <c r="L78" s="6">
        <v>0.19249453014335188</v>
      </c>
      <c r="N78" s="8">
        <f>SQRT((C78-Sheet5!$C$525)^2+(D78-Sheet5!$D$525)^2+(E78-Sheet5!$E$525)^2+(F78-Sheet5!$F$525)^2+(G78-Sheet5!$G$525)^2+(H78-Sheet5!$H$525)^2+(I78-Sheet5!$I$525)^2+(J78-Sheet5!$J$525)^2+(K78-Sheet5!$K$525)^2+(L78-Sheet5!$L$525)^2)</f>
        <v>1.9136214266282323</v>
      </c>
      <c r="O78" s="8">
        <f>SQRT((C78-Sheet5!$C$526)^2+(D78-Sheet5!$D$526)^2+(E78-Sheet5!$E$526)^2+(F78-Sheet5!$F$526)^2+(G78-Sheet5!$G$526)^2+(H78-Sheet5!$H$526)^2+(I78-Sheet5!$I$526)^2+(J78-Sheet5!$J$526)^2+(K78-Sheet5!$K$526)^2+(L78-Sheet5!$L$526)^2)</f>
        <v>3.2685187464510168</v>
      </c>
      <c r="P78" s="12">
        <f t="shared" si="1"/>
        <v>0</v>
      </c>
      <c r="Q78" s="11">
        <f>IF(P78=Sheet1!$M78, 1, 0)</f>
        <v>1</v>
      </c>
    </row>
    <row r="79" spans="1:17" x14ac:dyDescent="0.35">
      <c r="A79" s="6" t="s">
        <v>90</v>
      </c>
      <c r="B79" s="6" t="s">
        <v>93</v>
      </c>
      <c r="C79" s="6">
        <v>-0.81771422432288199</v>
      </c>
      <c r="D79" s="6">
        <v>-0.73445535506565218</v>
      </c>
      <c r="E79" s="6">
        <v>-0.13991083844740435</v>
      </c>
      <c r="F79" s="6">
        <v>-0.50792138899734751</v>
      </c>
      <c r="G79" s="6">
        <v>-0.48686304654837959</v>
      </c>
      <c r="H79" s="6">
        <v>-1.4845969236956047</v>
      </c>
      <c r="I79" s="6">
        <v>0.28453895156085696</v>
      </c>
      <c r="J79" s="6">
        <v>-0.91083018337906307</v>
      </c>
      <c r="K79" s="6">
        <v>-0.14153830720200797</v>
      </c>
      <c r="L79" s="6">
        <v>0.52148086640447944</v>
      </c>
      <c r="N79" s="8">
        <f>SQRT((C79-Sheet5!$C$525)^2+(D79-Sheet5!$D$525)^2+(E79-Sheet5!$E$525)^2+(F79-Sheet5!$F$525)^2+(G79-Sheet5!$G$525)^2+(H79-Sheet5!$H$525)^2+(I79-Sheet5!$I$525)^2+(J79-Sheet5!$J$525)^2+(K79-Sheet5!$K$525)^2+(L79-Sheet5!$L$525)^2)</f>
        <v>2.037931807104866</v>
      </c>
      <c r="O79" s="8">
        <f>SQRT((C79-Sheet5!$C$526)^2+(D79-Sheet5!$D$526)^2+(E79-Sheet5!$E$526)^2+(F79-Sheet5!$F$526)^2+(G79-Sheet5!$G$526)^2+(H79-Sheet5!$H$526)^2+(I79-Sheet5!$I$526)^2+(J79-Sheet5!$J$526)^2+(K79-Sheet5!$K$526)^2+(L79-Sheet5!$L$526)^2)</f>
        <v>4.1165852206371438</v>
      </c>
      <c r="P79" s="12">
        <f t="shared" si="1"/>
        <v>0</v>
      </c>
      <c r="Q79" s="11">
        <f>IF(P79=Sheet1!$M79, 1, 0)</f>
        <v>1</v>
      </c>
    </row>
    <row r="80" spans="1:17" x14ac:dyDescent="0.35">
      <c r="A80" s="6" t="s">
        <v>90</v>
      </c>
      <c r="B80" s="6" t="s">
        <v>94</v>
      </c>
      <c r="C80" s="6">
        <v>-0.35471671675817124</v>
      </c>
      <c r="D80" s="6">
        <v>0.16165994532043684</v>
      </c>
      <c r="E80" s="6">
        <v>0.49630214776400228</v>
      </c>
      <c r="F80" s="6">
        <v>0.33174022241240564</v>
      </c>
      <c r="G80" s="6">
        <v>0.45968078242820004</v>
      </c>
      <c r="H80" s="6">
        <v>0.2115628084258793</v>
      </c>
      <c r="I80" s="6">
        <v>-9.7321057855429327E-2</v>
      </c>
      <c r="J80" s="6">
        <v>-1.0322998094044806</v>
      </c>
      <c r="K80" s="6">
        <v>-4.4514435449262854E-2</v>
      </c>
      <c r="L80" s="6">
        <v>0.30453932205030315</v>
      </c>
      <c r="N80" s="8">
        <f>SQRT((C80-Sheet5!$C$525)^2+(D80-Sheet5!$D$525)^2+(E80-Sheet5!$E$525)^2+(F80-Sheet5!$F$525)^2+(G80-Sheet5!$G$525)^2+(H80-Sheet5!$H$525)^2+(I80-Sheet5!$I$525)^2+(J80-Sheet5!$J$525)^2+(K80-Sheet5!$K$525)^2+(L80-Sheet5!$L$525)^2)</f>
        <v>1.9405349578210851</v>
      </c>
      <c r="O80" s="8">
        <f>SQRT((C80-Sheet5!$C$526)^2+(D80-Sheet5!$D$526)^2+(E80-Sheet5!$E$526)^2+(F80-Sheet5!$F$526)^2+(G80-Sheet5!$G$526)^2+(H80-Sheet5!$H$526)^2+(I80-Sheet5!$I$526)^2+(J80-Sheet5!$J$526)^2+(K80-Sheet5!$K$526)^2+(L80-Sheet5!$L$526)^2)</f>
        <v>2.621781398910525</v>
      </c>
      <c r="P80" s="12">
        <f t="shared" si="1"/>
        <v>0</v>
      </c>
      <c r="Q80" s="11">
        <f>IF(P80=Sheet1!$M80, 1, 0)</f>
        <v>1</v>
      </c>
    </row>
    <row r="81" spans="1:17" x14ac:dyDescent="0.35">
      <c r="A81" s="6" t="s">
        <v>90</v>
      </c>
      <c r="B81" s="6" t="s">
        <v>95</v>
      </c>
      <c r="C81" s="6">
        <v>-0.95191640042859527</v>
      </c>
      <c r="D81" s="6">
        <v>0.87364196480527523</v>
      </c>
      <c r="E81" s="6">
        <v>0.54603506793686851</v>
      </c>
      <c r="F81" s="6">
        <v>0.62446628877543953</v>
      </c>
      <c r="G81" s="6">
        <v>0.42774218697193517</v>
      </c>
      <c r="H81" s="6">
        <v>0.98073273458322441</v>
      </c>
      <c r="I81" s="6">
        <v>0.50957498382120625</v>
      </c>
      <c r="J81" s="6">
        <v>-0.27311464674562164</v>
      </c>
      <c r="K81" s="6">
        <v>-0.74715505507801006</v>
      </c>
      <c r="L81" s="6">
        <v>0.68074315478483682</v>
      </c>
      <c r="N81" s="8">
        <f>SQRT((C81-Sheet5!$C$525)^2+(D81-Sheet5!$D$525)^2+(E81-Sheet5!$E$525)^2+(F81-Sheet5!$F$525)^2+(G81-Sheet5!$G$525)^2+(H81-Sheet5!$H$525)^2+(I81-Sheet5!$I$525)^2+(J81-Sheet5!$J$525)^2+(K81-Sheet5!$K$525)^2+(L81-Sheet5!$L$525)^2)</f>
        <v>3.1089664462393563</v>
      </c>
      <c r="O81" s="8">
        <f>SQRT((C81-Sheet5!$C$526)^2+(D81-Sheet5!$D$526)^2+(E81-Sheet5!$E$526)^2+(F81-Sheet5!$F$526)^2+(G81-Sheet5!$G$526)^2+(H81-Sheet5!$H$526)^2+(I81-Sheet5!$I$526)^2+(J81-Sheet5!$J$526)^2+(K81-Sheet5!$K$526)^2+(L81-Sheet5!$L$526)^2)</f>
        <v>1.5835091406967596</v>
      </c>
      <c r="P81" s="12">
        <f t="shared" si="1"/>
        <v>1</v>
      </c>
      <c r="Q81" s="11">
        <f>IF(P81=Sheet1!$M81, 1, 0)</f>
        <v>0</v>
      </c>
    </row>
    <row r="82" spans="1:17" x14ac:dyDescent="0.35">
      <c r="A82" s="6" t="s">
        <v>90</v>
      </c>
      <c r="B82" s="6" t="s">
        <v>96</v>
      </c>
      <c r="C82" s="6">
        <v>-0.59762265550951221</v>
      </c>
      <c r="D82" s="6">
        <v>0.51151317903281446</v>
      </c>
      <c r="E82" s="6">
        <v>0.19643105872168323</v>
      </c>
      <c r="F82" s="6">
        <v>0.47656259208674795</v>
      </c>
      <c r="G82" s="6">
        <v>0.34063692663666773</v>
      </c>
      <c r="H82" s="6">
        <v>0.66886341578413333</v>
      </c>
      <c r="I82" s="6">
        <v>0.33617611477073894</v>
      </c>
      <c r="J82" s="6">
        <v>-0.29968612743868184</v>
      </c>
      <c r="K82" s="6">
        <v>-1.002233943718289</v>
      </c>
      <c r="L82" s="6">
        <v>0.6525994249314363</v>
      </c>
      <c r="N82" s="8">
        <f>SQRT((C82-Sheet5!$C$525)^2+(D82-Sheet5!$D$525)^2+(E82-Sheet5!$E$525)^2+(F82-Sheet5!$F$525)^2+(G82-Sheet5!$G$525)^2+(H82-Sheet5!$H$525)^2+(I82-Sheet5!$I$525)^2+(J82-Sheet5!$J$525)^2+(K82-Sheet5!$K$525)^2+(L82-Sheet5!$L$525)^2)</f>
        <v>2.6011598097391722</v>
      </c>
      <c r="O82" s="8">
        <f>SQRT((C82-Sheet5!$C$526)^2+(D82-Sheet5!$D$526)^2+(E82-Sheet5!$E$526)^2+(F82-Sheet5!$F$526)^2+(G82-Sheet5!$G$526)^2+(H82-Sheet5!$H$526)^2+(I82-Sheet5!$I$526)^2+(J82-Sheet5!$J$526)^2+(K82-Sheet5!$K$526)^2+(L82-Sheet5!$L$526)^2)</f>
        <v>1.8655187034747036</v>
      </c>
      <c r="P82" s="12">
        <f t="shared" si="1"/>
        <v>1</v>
      </c>
      <c r="Q82" s="11">
        <f>IF(P82=Sheet1!$M82, 1, 0)</f>
        <v>0</v>
      </c>
    </row>
    <row r="83" spans="1:17" x14ac:dyDescent="0.35">
      <c r="A83" s="6" t="s">
        <v>90</v>
      </c>
      <c r="B83" s="6" t="s">
        <v>97</v>
      </c>
      <c r="C83" s="6">
        <v>-0.25138104115677207</v>
      </c>
      <c r="D83" s="6">
        <v>6.3455528839769404E-2</v>
      </c>
      <c r="E83" s="6">
        <v>-0.33847412713758857</v>
      </c>
      <c r="F83" s="6">
        <v>-3.9559682816493649E-2</v>
      </c>
      <c r="G83" s="6">
        <v>0.15190886257692218</v>
      </c>
      <c r="H83" s="6">
        <v>0.62738856682466804</v>
      </c>
      <c r="I83" s="6">
        <v>0.44837538297986518</v>
      </c>
      <c r="J83" s="6">
        <v>-1.0664631417241293</v>
      </c>
      <c r="K83" s="6">
        <v>-0.46390794560628812</v>
      </c>
      <c r="L83" s="6">
        <v>0.10005350699294799</v>
      </c>
      <c r="N83" s="8">
        <f>SQRT((C83-Sheet5!$C$525)^2+(D83-Sheet5!$D$525)^2+(E83-Sheet5!$E$525)^2+(F83-Sheet5!$F$525)^2+(G83-Sheet5!$G$525)^2+(H83-Sheet5!$H$525)^2+(I83-Sheet5!$I$525)^2+(J83-Sheet5!$J$525)^2+(K83-Sheet5!$K$525)^2+(L83-Sheet5!$L$525)^2)</f>
        <v>1.7934563312415097</v>
      </c>
      <c r="O83" s="8">
        <f>SQRT((C83-Sheet5!$C$526)^2+(D83-Sheet5!$D$526)^2+(E83-Sheet5!$E$526)^2+(F83-Sheet5!$F$526)^2+(G83-Sheet5!$G$526)^2+(H83-Sheet5!$H$526)^2+(I83-Sheet5!$I$526)^2+(J83-Sheet5!$J$526)^2+(K83-Sheet5!$K$526)^2+(L83-Sheet5!$L$526)^2)</f>
        <v>3.0017459837012503</v>
      </c>
      <c r="P83" s="12">
        <f t="shared" si="1"/>
        <v>0</v>
      </c>
      <c r="Q83" s="11">
        <f>IF(P83=Sheet1!$M83, 1, 0)</f>
        <v>1</v>
      </c>
    </row>
    <row r="84" spans="1:17" x14ac:dyDescent="0.35">
      <c r="A84" s="6" t="s">
        <v>90</v>
      </c>
      <c r="B84" s="6" t="s">
        <v>98</v>
      </c>
      <c r="C84" s="6">
        <v>-0.75598122331425388</v>
      </c>
      <c r="D84" s="6">
        <v>0.77543754832460776</v>
      </c>
      <c r="E84" s="6">
        <v>0.40162540343491632</v>
      </c>
      <c r="F84" s="6">
        <v>0.56283974848848439</v>
      </c>
      <c r="G84" s="6">
        <v>0.45968078242820004</v>
      </c>
      <c r="H84" s="6">
        <v>0.70764509273324305</v>
      </c>
      <c r="I84" s="6">
        <v>0.51786242976847185</v>
      </c>
      <c r="J84" s="6">
        <v>0.59615236449877185</v>
      </c>
      <c r="K84" s="6">
        <v>-0.42322051551642675</v>
      </c>
      <c r="L84" s="6">
        <v>1.0920919066446158</v>
      </c>
      <c r="N84" s="8">
        <f>SQRT((C84-Sheet5!$C$525)^2+(D84-Sheet5!$D$525)^2+(E84-Sheet5!$E$525)^2+(F84-Sheet5!$F$525)^2+(G84-Sheet5!$G$525)^2+(H84-Sheet5!$H$525)^2+(I84-Sheet5!$I$525)^2+(J84-Sheet5!$J$525)^2+(K84-Sheet5!$K$525)^2+(L84-Sheet5!$L$525)^2)</f>
        <v>3.0744111084681887</v>
      </c>
      <c r="O84" s="8">
        <f>SQRT((C84-Sheet5!$C$526)^2+(D84-Sheet5!$D$526)^2+(E84-Sheet5!$E$526)^2+(F84-Sheet5!$F$526)^2+(G84-Sheet5!$G$526)^2+(H84-Sheet5!$H$526)^2+(I84-Sheet5!$I$526)^2+(J84-Sheet5!$J$526)^2+(K84-Sheet5!$K$526)^2+(L84-Sheet5!$L$526)^2)</f>
        <v>1.143010340633724</v>
      </c>
      <c r="P84" s="12">
        <f t="shared" si="1"/>
        <v>1</v>
      </c>
      <c r="Q84" s="11">
        <f>IF(P84=Sheet1!$M84, 1, 0)</f>
        <v>0</v>
      </c>
    </row>
    <row r="85" spans="1:17" x14ac:dyDescent="0.35">
      <c r="A85" s="6" t="s">
        <v>90</v>
      </c>
      <c r="B85" s="6" t="s">
        <v>99</v>
      </c>
      <c r="C85" s="6">
        <v>-0.68351204821716871</v>
      </c>
      <c r="D85" s="6">
        <v>-0.10840220000139807</v>
      </c>
      <c r="E85" s="6">
        <v>-0.33442181512350316</v>
      </c>
      <c r="F85" s="6">
        <v>-9.0401578553230708E-2</v>
      </c>
      <c r="G85" s="6">
        <v>0.21288254481160818</v>
      </c>
      <c r="H85" s="6">
        <v>-0.17571532666314796</v>
      </c>
      <c r="I85" s="6">
        <v>0.15193981640461729</v>
      </c>
      <c r="J85" s="6">
        <v>-0.68687056039469974</v>
      </c>
      <c r="K85" s="6">
        <v>-1.3652910122124293</v>
      </c>
      <c r="L85" s="6">
        <v>0.51813799781340963</v>
      </c>
      <c r="N85" s="8">
        <f>SQRT((C85-Sheet5!$C$525)^2+(D85-Sheet5!$D$525)^2+(E85-Sheet5!$E$525)^2+(F85-Sheet5!$F$525)^2+(G85-Sheet5!$G$525)^2+(H85-Sheet5!$H$525)^2+(I85-Sheet5!$I$525)^2+(J85-Sheet5!$J$525)^2+(K85-Sheet5!$K$525)^2+(L85-Sheet5!$L$525)^2)</f>
        <v>2.1844501385922843</v>
      </c>
      <c r="O85" s="8">
        <f>SQRT((C85-Sheet5!$C$526)^2+(D85-Sheet5!$D$526)^2+(E85-Sheet5!$E$526)^2+(F85-Sheet5!$F$526)^2+(G85-Sheet5!$G$526)^2+(H85-Sheet5!$H$526)^2+(I85-Sheet5!$I$526)^2+(J85-Sheet5!$J$526)^2+(K85-Sheet5!$K$526)^2+(L85-Sheet5!$L$526)^2)</f>
        <v>3.0214426915025379</v>
      </c>
      <c r="P85" s="12">
        <f t="shared" si="1"/>
        <v>0</v>
      </c>
      <c r="Q85" s="11">
        <f>IF(P85=Sheet1!$M85, 1, 0)</f>
        <v>1</v>
      </c>
    </row>
    <row r="86" spans="1:17" x14ac:dyDescent="0.35">
      <c r="A86" s="6" t="s">
        <v>90</v>
      </c>
      <c r="B86" s="6" t="s">
        <v>100</v>
      </c>
      <c r="C86" s="6">
        <v>1.7992282097385259</v>
      </c>
      <c r="D86" s="6">
        <v>-0.36618879326314979</v>
      </c>
      <c r="E86" s="6">
        <v>-0.93747952121966571</v>
      </c>
      <c r="F86" s="6">
        <v>-0.65120309516451513</v>
      </c>
      <c r="G86" s="6">
        <v>-0.54493322010522594</v>
      </c>
      <c r="H86" s="6">
        <v>-1.1431027127826101</v>
      </c>
      <c r="I86" s="6">
        <v>0.22652682993000228</v>
      </c>
      <c r="J86" s="6">
        <v>-0.23895131442597306</v>
      </c>
      <c r="K86" s="6">
        <v>-0.60474904976349864</v>
      </c>
      <c r="L86" s="6">
        <v>-0.18712051878677075</v>
      </c>
      <c r="N86" s="8">
        <f>SQRT((C86-Sheet5!$C$525)^2+(D86-Sheet5!$D$525)^2+(E86-Sheet5!$E$525)^2+(F86-Sheet5!$F$525)^2+(G86-Sheet5!$G$525)^2+(H86-Sheet5!$H$525)^2+(I86-Sheet5!$I$525)^2+(J86-Sheet5!$J$525)^2+(K86-Sheet5!$K$525)^2+(L86-Sheet5!$L$525)^2)</f>
        <v>2.1147367736923899</v>
      </c>
      <c r="O86" s="8">
        <f>SQRT((C86-Sheet5!$C$526)^2+(D86-Sheet5!$D$526)^2+(E86-Sheet5!$E$526)^2+(F86-Sheet5!$F$526)^2+(G86-Sheet5!$G$526)^2+(H86-Sheet5!$H$526)^2+(I86-Sheet5!$I$526)^2+(J86-Sheet5!$J$526)^2+(K86-Sheet5!$K$526)^2+(L86-Sheet5!$L$526)^2)</f>
        <v>4.6780069030330509</v>
      </c>
      <c r="P86" s="12">
        <f t="shared" si="1"/>
        <v>0</v>
      </c>
      <c r="Q86" s="11">
        <f>IF(P86=Sheet1!$M86, 1, 0)</f>
        <v>0</v>
      </c>
    </row>
    <row r="87" spans="1:17" x14ac:dyDescent="0.35">
      <c r="A87" s="6" t="s">
        <v>90</v>
      </c>
      <c r="B87" s="6" t="s">
        <v>101</v>
      </c>
      <c r="C87" s="6">
        <v>-1.2672915142770214</v>
      </c>
      <c r="D87" s="6">
        <v>2.1380238269938676</v>
      </c>
      <c r="E87" s="6">
        <v>1.4865398472059601</v>
      </c>
      <c r="F87" s="6">
        <v>1.7953705542275709</v>
      </c>
      <c r="G87" s="6">
        <v>0.79939129773574702</v>
      </c>
      <c r="H87" s="6">
        <v>1.0275939275633992</v>
      </c>
      <c r="I87" s="6">
        <v>0.86848514292199042</v>
      </c>
      <c r="J87" s="6">
        <v>1.2262760495056246</v>
      </c>
      <c r="K87" s="6">
        <v>-1.2291446115271272</v>
      </c>
      <c r="L87" s="6">
        <v>1.0584372620071461</v>
      </c>
      <c r="N87" s="8">
        <f>SQRT((C87-Sheet5!$C$525)^2+(D87-Sheet5!$D$525)^2+(E87-Sheet5!$E$525)^2+(F87-Sheet5!$F$525)^2+(G87-Sheet5!$G$525)^2+(H87-Sheet5!$H$525)^2+(I87-Sheet5!$I$525)^2+(J87-Sheet5!$J$525)^2+(K87-Sheet5!$K$525)^2+(L87-Sheet5!$L$525)^2)</f>
        <v>5.2933477502917405</v>
      </c>
      <c r="O87" s="8">
        <f>SQRT((C87-Sheet5!$C$526)^2+(D87-Sheet5!$D$526)^2+(E87-Sheet5!$E$526)^2+(F87-Sheet5!$F$526)^2+(G87-Sheet5!$G$526)^2+(H87-Sheet5!$H$526)^2+(I87-Sheet5!$I$526)^2+(J87-Sheet5!$J$526)^2+(K87-Sheet5!$K$526)^2+(L87-Sheet5!$L$526)^2)</f>
        <v>1.8847012208092482</v>
      </c>
      <c r="P87" s="12">
        <f t="shared" si="1"/>
        <v>1</v>
      </c>
      <c r="Q87" s="11">
        <f>IF(P87=Sheet1!$M87, 1, 0)</f>
        <v>0</v>
      </c>
    </row>
    <row r="88" spans="1:17" x14ac:dyDescent="0.35">
      <c r="A88" s="6" t="s">
        <v>90</v>
      </c>
      <c r="B88" s="6" t="s">
        <v>102</v>
      </c>
      <c r="C88" s="6">
        <v>-1.1881122303746505</v>
      </c>
      <c r="D88" s="6">
        <v>1.0454996936464438</v>
      </c>
      <c r="E88" s="6">
        <v>0.55008737995095391</v>
      </c>
      <c r="F88" s="6">
        <v>0.74309737882782601</v>
      </c>
      <c r="G88" s="6">
        <v>0.3841895568043035</v>
      </c>
      <c r="H88" s="6">
        <v>1.0679915077187219</v>
      </c>
      <c r="I88" s="6">
        <v>0.49236259608457922</v>
      </c>
      <c r="J88" s="6">
        <v>0.46709088684676592</v>
      </c>
      <c r="K88" s="6">
        <v>-0.71272722961735901</v>
      </c>
      <c r="L88" s="6">
        <v>8.5763612998881494E-2</v>
      </c>
      <c r="N88" s="8">
        <f>SQRT((C88-Sheet5!$C$525)^2+(D88-Sheet5!$D$525)^2+(E88-Sheet5!$E$525)^2+(F88-Sheet5!$F$525)^2+(G88-Sheet5!$G$525)^2+(H88-Sheet5!$H$525)^2+(I88-Sheet5!$I$525)^2+(J88-Sheet5!$J$525)^2+(K88-Sheet5!$K$525)^2+(L88-Sheet5!$L$525)^2)</f>
        <v>3.3314043506346565</v>
      </c>
      <c r="O88" s="8">
        <f>SQRT((C88-Sheet5!$C$526)^2+(D88-Sheet5!$D$526)^2+(E88-Sheet5!$E$526)^2+(F88-Sheet5!$F$526)^2+(G88-Sheet5!$G$526)^2+(H88-Sheet5!$H$526)^2+(I88-Sheet5!$I$526)^2+(J88-Sheet5!$J$526)^2+(K88-Sheet5!$K$526)^2+(L88-Sheet5!$L$526)^2)</f>
        <v>1.2800365571001202</v>
      </c>
      <c r="P88" s="12">
        <f t="shared" si="1"/>
        <v>1</v>
      </c>
      <c r="Q88" s="11">
        <f>IF(P88=Sheet1!$M88, 1, 0)</f>
        <v>0</v>
      </c>
    </row>
    <row r="89" spans="1:17" x14ac:dyDescent="0.35">
      <c r="A89" s="6" t="s">
        <v>103</v>
      </c>
      <c r="B89" s="6" t="s">
        <v>104</v>
      </c>
      <c r="C89" s="6">
        <v>-0.61238489488114067</v>
      </c>
      <c r="D89" s="6">
        <v>7.5731080899853642E-2</v>
      </c>
      <c r="E89" s="6">
        <v>-5.1865150141367167E-2</v>
      </c>
      <c r="F89" s="6">
        <v>0.23467842146045328</v>
      </c>
      <c r="G89" s="6">
        <v>9.9645706375759216E-2</v>
      </c>
      <c r="H89" s="6">
        <v>-0.58615474104122733</v>
      </c>
      <c r="I89" s="6">
        <v>-0.67234230742719958</v>
      </c>
      <c r="J89" s="6">
        <v>-1.0398916610310691</v>
      </c>
      <c r="K89" s="6">
        <v>0.22464856360673757</v>
      </c>
      <c r="L89" s="6">
        <v>-0.31592932110732297</v>
      </c>
      <c r="N89" s="8">
        <f>SQRT((C89-Sheet5!$C$525)^2+(D89-Sheet5!$D$525)^2+(E89-Sheet5!$E$525)^2+(F89-Sheet5!$F$525)^2+(G89-Sheet5!$G$525)^2+(H89-Sheet5!$H$525)^2+(I89-Sheet5!$I$525)^2+(J89-Sheet5!$J$525)^2+(K89-Sheet5!$K$525)^2+(L89-Sheet5!$L$525)^2)</f>
        <v>1.5519047396064698</v>
      </c>
      <c r="O89" s="8">
        <f>SQRT((C89-Sheet5!$C$526)^2+(D89-Sheet5!$D$526)^2+(E89-Sheet5!$E$526)^2+(F89-Sheet5!$F$526)^2+(G89-Sheet5!$G$526)^2+(H89-Sheet5!$H$526)^2+(I89-Sheet5!$I$526)^2+(J89-Sheet5!$J$526)^2+(K89-Sheet5!$K$526)^2+(L89-Sheet5!$L$526)^2)</f>
        <v>3.4736923618921884</v>
      </c>
      <c r="P89" s="12">
        <f t="shared" si="1"/>
        <v>0</v>
      </c>
      <c r="Q89" s="11">
        <f>IF(P89=Sheet1!$M89, 1, 0)</f>
        <v>1</v>
      </c>
    </row>
    <row r="90" spans="1:17" x14ac:dyDescent="0.35">
      <c r="A90" s="6" t="s">
        <v>103</v>
      </c>
      <c r="B90" s="6" t="s">
        <v>105</v>
      </c>
      <c r="C90" s="6">
        <v>-0.42450184833314225</v>
      </c>
      <c r="D90" s="6">
        <v>-0.32936213708289924</v>
      </c>
      <c r="E90" s="6">
        <v>2.0339682109608917E-2</v>
      </c>
      <c r="F90" s="6">
        <v>-6.1128971916927753E-2</v>
      </c>
      <c r="G90" s="6">
        <v>0.47419832581741478</v>
      </c>
      <c r="H90" s="6">
        <v>-0.33030340005751657</v>
      </c>
      <c r="I90" s="6">
        <v>-1.0344399457384701</v>
      </c>
      <c r="J90" s="6">
        <v>-8.7114281894201118E-2</v>
      </c>
      <c r="K90" s="6">
        <v>6.0333942089991231E-2</v>
      </c>
      <c r="L90" s="6">
        <v>-0.24222339812200383</v>
      </c>
      <c r="N90" s="8">
        <f>SQRT((C90-Sheet5!$C$525)^2+(D90-Sheet5!$D$525)^2+(E90-Sheet5!$E$525)^2+(F90-Sheet5!$F$525)^2+(G90-Sheet5!$G$525)^2+(H90-Sheet5!$H$525)^2+(I90-Sheet5!$I$525)^2+(J90-Sheet5!$J$525)^2+(K90-Sheet5!$K$525)^2+(L90-Sheet5!$L$525)^2)</f>
        <v>1.4785664518832695</v>
      </c>
      <c r="O90" s="8">
        <f>SQRT((C90-Sheet5!$C$526)^2+(D90-Sheet5!$D$526)^2+(E90-Sheet5!$E$526)^2+(F90-Sheet5!$F$526)^2+(G90-Sheet5!$G$526)^2+(H90-Sheet5!$H$526)^2+(I90-Sheet5!$I$526)^2+(J90-Sheet5!$J$526)^2+(K90-Sheet5!$K$526)^2+(L90-Sheet5!$L$526)^2)</f>
        <v>3.1883097492577481</v>
      </c>
      <c r="P90" s="12">
        <f t="shared" si="1"/>
        <v>0</v>
      </c>
      <c r="Q90" s="11">
        <f>IF(P90=Sheet1!$M90, 1, 0)</f>
        <v>1</v>
      </c>
    </row>
    <row r="91" spans="1:17" x14ac:dyDescent="0.35">
      <c r="A91" s="6" t="s">
        <v>103</v>
      </c>
      <c r="B91" s="6" t="s">
        <v>106</v>
      </c>
      <c r="C91" s="6">
        <v>-0.45671037059851349</v>
      </c>
      <c r="D91" s="6">
        <v>-0.24343327266231607</v>
      </c>
      <c r="E91" s="6">
        <v>0.54050918791766112</v>
      </c>
      <c r="F91" s="6">
        <v>4.9798800599589861E-2</v>
      </c>
      <c r="G91" s="6">
        <v>-0.12973147917378247</v>
      </c>
      <c r="H91" s="6">
        <v>-6.3140736630315067E-2</v>
      </c>
      <c r="I91" s="6">
        <v>-0.9675028823182531</v>
      </c>
      <c r="J91" s="6">
        <v>0.17480459922310504</v>
      </c>
      <c r="K91" s="6">
        <v>-0.72055173540387019</v>
      </c>
      <c r="L91" s="6">
        <v>-0.22078396022690097</v>
      </c>
      <c r="N91" s="8">
        <f>SQRT((C91-Sheet5!$C$525)^2+(D91-Sheet5!$D$525)^2+(E91-Sheet5!$E$525)^2+(F91-Sheet5!$F$525)^2+(G91-Sheet5!$G$525)^2+(H91-Sheet5!$H$525)^2+(I91-Sheet5!$I$525)^2+(J91-Sheet5!$J$525)^2+(K91-Sheet5!$K$525)^2+(L91-Sheet5!$L$525)^2)</f>
        <v>1.8668853785135551</v>
      </c>
      <c r="O91" s="8">
        <f>SQRT((C91-Sheet5!$C$526)^2+(D91-Sheet5!$D$526)^2+(E91-Sheet5!$E$526)^2+(F91-Sheet5!$F$526)^2+(G91-Sheet5!$G$526)^2+(H91-Sheet5!$H$526)^2+(I91-Sheet5!$I$526)^2+(J91-Sheet5!$J$526)^2+(K91-Sheet5!$K$526)^2+(L91-Sheet5!$L$526)^2)</f>
        <v>2.862531372673732</v>
      </c>
      <c r="P91" s="12">
        <f t="shared" si="1"/>
        <v>0</v>
      </c>
      <c r="Q91" s="11">
        <f>IF(P91=Sheet1!$M91, 1, 0)</f>
        <v>1</v>
      </c>
    </row>
    <row r="92" spans="1:17" x14ac:dyDescent="0.35">
      <c r="A92" s="6" t="s">
        <v>103</v>
      </c>
      <c r="B92" s="6" t="s">
        <v>107</v>
      </c>
      <c r="C92" s="6">
        <v>-0.29835180279377166</v>
      </c>
      <c r="D92" s="6">
        <v>-0.19433106442198234</v>
      </c>
      <c r="E92" s="6">
        <v>-0.10786073433600168</v>
      </c>
      <c r="F92" s="6">
        <v>2.8229511499155757E-2</v>
      </c>
      <c r="G92" s="6">
        <v>0.2854702617576651</v>
      </c>
      <c r="H92" s="6">
        <v>0.13346082012558927</v>
      </c>
      <c r="I92" s="6">
        <v>-0.76860417958389315</v>
      </c>
      <c r="J92" s="6">
        <v>-0.30348205325197602</v>
      </c>
      <c r="K92" s="6">
        <v>-0.10241577826944974</v>
      </c>
      <c r="L92" s="6">
        <v>-0.20357774854321795</v>
      </c>
      <c r="N92" s="8">
        <f>SQRT((C92-Sheet5!$C$525)^2+(D92-Sheet5!$D$525)^2+(E92-Sheet5!$E$525)^2+(F92-Sheet5!$F$525)^2+(G92-Sheet5!$G$525)^2+(H92-Sheet5!$H$525)^2+(I92-Sheet5!$I$525)^2+(J92-Sheet5!$J$525)^2+(K92-Sheet5!$K$525)^2+(L92-Sheet5!$L$525)^2)</f>
        <v>1.2553360226550212</v>
      </c>
      <c r="O92" s="8">
        <f>SQRT((C92-Sheet5!$C$526)^2+(D92-Sheet5!$D$526)^2+(E92-Sheet5!$E$526)^2+(F92-Sheet5!$F$526)^2+(G92-Sheet5!$G$526)^2+(H92-Sheet5!$H$526)^2+(I92-Sheet5!$I$526)^2+(J92-Sheet5!$J$526)^2+(K92-Sheet5!$K$526)^2+(L92-Sheet5!$L$526)^2)</f>
        <v>2.9871635633410505</v>
      </c>
      <c r="P92" s="12">
        <f t="shared" si="1"/>
        <v>0</v>
      </c>
      <c r="Q92" s="11">
        <f>IF(P92=Sheet1!$M92, 1, 0)</f>
        <v>1</v>
      </c>
    </row>
    <row r="93" spans="1:17" x14ac:dyDescent="0.35">
      <c r="A93" s="6" t="s">
        <v>103</v>
      </c>
      <c r="B93" s="6" t="s">
        <v>108</v>
      </c>
      <c r="C93" s="6">
        <v>-1.0391478148973088</v>
      </c>
      <c r="D93" s="6">
        <v>8.8006632959936798E-2</v>
      </c>
      <c r="E93" s="6">
        <v>-0.55250987988155342</v>
      </c>
      <c r="F93" s="6">
        <v>-5.8047644902580652E-2</v>
      </c>
      <c r="G93" s="6">
        <v>0.48290885185093779</v>
      </c>
      <c r="H93" s="6">
        <v>0.64462486769093952</v>
      </c>
      <c r="I93" s="6">
        <v>-0.28538233127413493</v>
      </c>
      <c r="J93" s="6">
        <v>0.20137607991616521</v>
      </c>
      <c r="K93" s="6">
        <v>-1.0460511761227544</v>
      </c>
      <c r="L93" s="6">
        <v>-0.10692115547176984</v>
      </c>
      <c r="N93" s="8">
        <f>SQRT((C93-Sheet5!$C$525)^2+(D93-Sheet5!$D$525)^2+(E93-Sheet5!$E$525)^2+(F93-Sheet5!$F$525)^2+(G93-Sheet5!$G$525)^2+(H93-Sheet5!$H$525)^2+(I93-Sheet5!$I$525)^2+(J93-Sheet5!$J$525)^2+(K93-Sheet5!$K$525)^2+(L93-Sheet5!$L$525)^2)</f>
        <v>2.3626442664554328</v>
      </c>
      <c r="O93" s="8">
        <f>SQRT((C93-Sheet5!$C$526)^2+(D93-Sheet5!$D$526)^2+(E93-Sheet5!$E$526)^2+(F93-Sheet5!$F$526)^2+(G93-Sheet5!$G$526)^2+(H93-Sheet5!$H$526)^2+(I93-Sheet5!$I$526)^2+(J93-Sheet5!$J$526)^2+(K93-Sheet5!$K$526)^2+(L93-Sheet5!$L$526)^2)</f>
        <v>2.6535020353319574</v>
      </c>
      <c r="P93" s="12">
        <f t="shared" si="1"/>
        <v>0</v>
      </c>
      <c r="Q93" s="11">
        <f>IF(P93=Sheet1!$M93, 1, 0)</f>
        <v>1</v>
      </c>
    </row>
    <row r="94" spans="1:17" x14ac:dyDescent="0.35">
      <c r="A94" s="6" t="s">
        <v>103</v>
      </c>
      <c r="B94" s="6" t="s">
        <v>109</v>
      </c>
      <c r="C94" s="6">
        <v>-0.11852088681211596</v>
      </c>
      <c r="D94" s="6">
        <v>-0.93086418802698701</v>
      </c>
      <c r="E94" s="6">
        <v>-0.42799338344874771</v>
      </c>
      <c r="F94" s="6">
        <v>-0.77291551223125099</v>
      </c>
      <c r="G94" s="6">
        <v>-0.96303846971451312</v>
      </c>
      <c r="H94" s="6">
        <v>-0.37339415222319405</v>
      </c>
      <c r="I94" s="6">
        <v>4.9302985826950987E-2</v>
      </c>
      <c r="J94" s="6">
        <v>-1.3283820228414356</v>
      </c>
      <c r="K94" s="6">
        <v>0.27472540064041101</v>
      </c>
      <c r="L94" s="6">
        <v>-9.7770955368502291E-2</v>
      </c>
      <c r="N94" s="8">
        <f>SQRT((C94-Sheet5!$C$525)^2+(D94-Sheet5!$D$525)^2+(E94-Sheet5!$E$525)^2+(F94-Sheet5!$F$525)^2+(G94-Sheet5!$G$525)^2+(H94-Sheet5!$H$525)^2+(I94-Sheet5!$I$525)^2+(J94-Sheet5!$J$525)^2+(K94-Sheet5!$K$525)^2+(L94-Sheet5!$L$525)^2)</f>
        <v>1.3894570294898847</v>
      </c>
      <c r="O94" s="8">
        <f>SQRT((C94-Sheet5!$C$526)^2+(D94-Sheet5!$D$526)^2+(E94-Sheet5!$E$526)^2+(F94-Sheet5!$F$526)^2+(G94-Sheet5!$G$526)^2+(H94-Sheet5!$H$526)^2+(I94-Sheet5!$I$526)^2+(J94-Sheet5!$J$526)^2+(K94-Sheet5!$K$526)^2+(L94-Sheet5!$L$526)^2)</f>
        <v>4.5272848422216478</v>
      </c>
      <c r="P94" s="12">
        <f t="shared" si="1"/>
        <v>0</v>
      </c>
      <c r="Q94" s="11">
        <f>IF(P94=Sheet1!$M94, 1, 0)</f>
        <v>1</v>
      </c>
    </row>
    <row r="95" spans="1:17" x14ac:dyDescent="0.35">
      <c r="A95" s="6" t="s">
        <v>103</v>
      </c>
      <c r="B95" s="6" t="s">
        <v>110</v>
      </c>
      <c r="C95" s="6">
        <v>-0.2044102795197725</v>
      </c>
      <c r="D95" s="6">
        <v>-0.26798437678248238</v>
      </c>
      <c r="E95" s="6">
        <v>-0.23053527076240493</v>
      </c>
      <c r="F95" s="6">
        <v>-0.27219987239974702</v>
      </c>
      <c r="G95" s="6">
        <v>-0.43169638166937696</v>
      </c>
      <c r="H95" s="6">
        <v>0.25249902298327331</v>
      </c>
      <c r="I95" s="6">
        <v>0.42223805345387583</v>
      </c>
      <c r="J95" s="6">
        <v>-0.96017721895188901</v>
      </c>
      <c r="K95" s="6">
        <v>0.69255400964013314</v>
      </c>
      <c r="L95" s="6">
        <v>0.18830844309298225</v>
      </c>
      <c r="N95" s="8">
        <f>SQRT((C95-Sheet5!$C$525)^2+(D95-Sheet5!$D$525)^2+(E95-Sheet5!$E$525)^2+(F95-Sheet5!$F$525)^2+(G95-Sheet5!$G$525)^2+(H95-Sheet5!$H$525)^2+(I95-Sheet5!$I$525)^2+(J95-Sheet5!$J$525)^2+(K95-Sheet5!$K$525)^2+(L95-Sheet5!$L$525)^2)</f>
        <v>1.3258960007888239</v>
      </c>
      <c r="O95" s="8">
        <f>SQRT((C95-Sheet5!$C$526)^2+(D95-Sheet5!$D$526)^2+(E95-Sheet5!$E$526)^2+(F95-Sheet5!$F$526)^2+(G95-Sheet5!$G$526)^2+(H95-Sheet5!$H$526)^2+(I95-Sheet5!$I$526)^2+(J95-Sheet5!$J$526)^2+(K95-Sheet5!$K$526)^2+(L95-Sheet5!$L$526)^2)</f>
        <v>3.5192834646447486</v>
      </c>
      <c r="P95" s="12">
        <f t="shared" si="1"/>
        <v>0</v>
      </c>
      <c r="Q95" s="11">
        <f>IF(P95=Sheet1!$M95, 1, 0)</f>
        <v>1</v>
      </c>
    </row>
    <row r="96" spans="1:17" x14ac:dyDescent="0.35">
      <c r="A96" s="6" t="s">
        <v>103</v>
      </c>
      <c r="B96" s="6" t="s">
        <v>111</v>
      </c>
      <c r="C96" s="6">
        <v>-0.75061313627002535</v>
      </c>
      <c r="D96" s="6">
        <v>-0.5196331940141925</v>
      </c>
      <c r="E96" s="6">
        <v>8.1492754322170291E-2</v>
      </c>
      <c r="F96" s="6">
        <v>-8.8860915046058253E-2</v>
      </c>
      <c r="G96" s="6">
        <v>0.10545272373144261</v>
      </c>
      <c r="H96" s="6">
        <v>0.33275554889184755</v>
      </c>
      <c r="I96" s="6">
        <v>-0.9668653864761555</v>
      </c>
      <c r="J96" s="6">
        <v>-0.84629944455306005</v>
      </c>
      <c r="K96" s="6">
        <v>0.18552603467417933</v>
      </c>
      <c r="L96" s="6">
        <v>-0.23750498958807276</v>
      </c>
      <c r="N96" s="8">
        <f>SQRT((C96-Sheet5!$C$525)^2+(D96-Sheet5!$D$525)^2+(E96-Sheet5!$E$525)^2+(F96-Sheet5!$F$525)^2+(G96-Sheet5!$G$525)^2+(H96-Sheet5!$H$525)^2+(I96-Sheet5!$I$525)^2+(J96-Sheet5!$J$525)^2+(K96-Sheet5!$K$525)^2+(L96-Sheet5!$L$525)^2)</f>
        <v>1.6258995088711772</v>
      </c>
      <c r="O96" s="8">
        <f>SQRT((C96-Sheet5!$C$526)^2+(D96-Sheet5!$D$526)^2+(E96-Sheet5!$E$526)^2+(F96-Sheet5!$F$526)^2+(G96-Sheet5!$G$526)^2+(H96-Sheet5!$H$526)^2+(I96-Sheet5!$I$526)^2+(J96-Sheet5!$J$526)^2+(K96-Sheet5!$K$526)^2+(L96-Sheet5!$L$526)^2)</f>
        <v>3.507789777617587</v>
      </c>
      <c r="P96" s="12">
        <f t="shared" si="1"/>
        <v>0</v>
      </c>
      <c r="Q96" s="11">
        <f>IF(P96=Sheet1!$M96, 1, 0)</f>
        <v>1</v>
      </c>
    </row>
    <row r="97" spans="1:17" x14ac:dyDescent="0.35">
      <c r="A97" s="6" t="s">
        <v>103</v>
      </c>
      <c r="B97" s="6" t="s">
        <v>112</v>
      </c>
      <c r="C97" s="6">
        <v>-0.81100411551759621</v>
      </c>
      <c r="D97" s="6">
        <v>-9.6126647941314911E-2</v>
      </c>
      <c r="E97" s="6">
        <v>0.49556536376144134</v>
      </c>
      <c r="F97" s="6">
        <v>3.4392165527852153E-2</v>
      </c>
      <c r="G97" s="6">
        <v>-0.53041567671601542</v>
      </c>
      <c r="H97" s="6">
        <v>2.0347595690685127E-2</v>
      </c>
      <c r="I97" s="6">
        <v>-0.73354190826854149</v>
      </c>
      <c r="J97" s="6">
        <v>0.30386607687511136</v>
      </c>
      <c r="K97" s="6">
        <v>-0.92085908353856849</v>
      </c>
      <c r="L97" s="6">
        <v>-0.18451459659245587</v>
      </c>
      <c r="N97" s="8">
        <f>SQRT((C97-Sheet5!$C$525)^2+(D97-Sheet5!$D$525)^2+(E97-Sheet5!$E$525)^2+(F97-Sheet5!$F$525)^2+(G97-Sheet5!$G$525)^2+(H97-Sheet5!$H$525)^2+(I97-Sheet5!$I$525)^2+(J97-Sheet5!$J$525)^2+(K97-Sheet5!$K$525)^2+(L97-Sheet5!$L$525)^2)</f>
        <v>2.1032344333508077</v>
      </c>
      <c r="O97" s="8">
        <f>SQRT((C97-Sheet5!$C$526)^2+(D97-Sheet5!$D$526)^2+(E97-Sheet5!$E$526)^2+(F97-Sheet5!$F$526)^2+(G97-Sheet5!$G$526)^2+(H97-Sheet5!$H$526)^2+(I97-Sheet5!$I$526)^2+(J97-Sheet5!$J$526)^2+(K97-Sheet5!$K$526)^2+(L97-Sheet5!$L$526)^2)</f>
        <v>2.8162175021603577</v>
      </c>
      <c r="P97" s="12">
        <f t="shared" si="1"/>
        <v>0</v>
      </c>
      <c r="Q97" s="11">
        <f>IF(P97=Sheet1!$M97, 1, 0)</f>
        <v>1</v>
      </c>
    </row>
    <row r="98" spans="1:17" x14ac:dyDescent="0.35">
      <c r="A98" s="6" t="s">
        <v>103</v>
      </c>
      <c r="B98" s="6" t="s">
        <v>113</v>
      </c>
      <c r="C98" s="6">
        <v>-0.43658004418265645</v>
      </c>
      <c r="D98" s="6">
        <v>1.6961039528308641</v>
      </c>
      <c r="E98" s="6">
        <v>0.70554880449132074</v>
      </c>
      <c r="F98" s="6">
        <v>1.4163673314628027</v>
      </c>
      <c r="G98" s="6">
        <v>0.88649655807101446</v>
      </c>
      <c r="H98" s="6">
        <v>0.86277180052968216</v>
      </c>
      <c r="I98" s="6">
        <v>0.68169886118747913</v>
      </c>
      <c r="J98" s="6">
        <v>2.1259104672563729</v>
      </c>
      <c r="K98" s="6">
        <v>-0.99284453677447571</v>
      </c>
      <c r="L98" s="6">
        <v>-5.1163363581219333E-2</v>
      </c>
      <c r="N98" s="8">
        <f>SQRT((C98-Sheet5!$C$525)^2+(D98-Sheet5!$D$525)^2+(E98-Sheet5!$E$525)^2+(F98-Sheet5!$F$525)^2+(G98-Sheet5!$G$525)^2+(H98-Sheet5!$H$525)^2+(I98-Sheet5!$I$525)^2+(J98-Sheet5!$J$525)^2+(K98-Sheet5!$K$525)^2+(L98-Sheet5!$L$525)^2)</f>
        <v>4.5956419651087925</v>
      </c>
      <c r="O98" s="8">
        <f>SQRT((C98-Sheet5!$C$526)^2+(D98-Sheet5!$D$526)^2+(E98-Sheet5!$E$526)^2+(F98-Sheet5!$F$526)^2+(G98-Sheet5!$G$526)^2+(H98-Sheet5!$H$526)^2+(I98-Sheet5!$I$526)^2+(J98-Sheet5!$J$526)^2+(K98-Sheet5!$K$526)^2+(L98-Sheet5!$L$526)^2)</f>
        <v>1.6704513960577232</v>
      </c>
      <c r="P98" s="12">
        <f t="shared" si="1"/>
        <v>1</v>
      </c>
      <c r="Q98" s="11">
        <f>IF(P98=Sheet1!$M98, 1, 0)</f>
        <v>0</v>
      </c>
    </row>
    <row r="99" spans="1:17" x14ac:dyDescent="0.35">
      <c r="A99" s="6" t="s">
        <v>103</v>
      </c>
      <c r="B99" s="6" t="s">
        <v>114</v>
      </c>
      <c r="C99" s="6">
        <v>-1.1894542521357077</v>
      </c>
      <c r="D99" s="6">
        <v>1.1621174382172359</v>
      </c>
      <c r="E99" s="6">
        <v>4.7600690204365192E-2</v>
      </c>
      <c r="F99" s="6">
        <v>0.889460412009343</v>
      </c>
      <c r="G99" s="6">
        <v>0.74132112417890061</v>
      </c>
      <c r="H99" s="6">
        <v>-0.17032898264243782</v>
      </c>
      <c r="I99" s="6">
        <v>0.34510105656010126</v>
      </c>
      <c r="J99" s="6">
        <v>-0.78176870572705714</v>
      </c>
      <c r="K99" s="6">
        <v>-0.71116232846005589</v>
      </c>
      <c r="L99" s="6">
        <v>-0.35929480008127723</v>
      </c>
      <c r="N99" s="8">
        <f>SQRT((C99-Sheet5!$C$525)^2+(D99-Sheet5!$D$525)^2+(E99-Sheet5!$E$525)^2+(F99-Sheet5!$F$525)^2+(G99-Sheet5!$G$525)^2+(H99-Sheet5!$H$525)^2+(I99-Sheet5!$I$525)^2+(J99-Sheet5!$J$525)^2+(K99-Sheet5!$K$525)^2+(L99-Sheet5!$L$525)^2)</f>
        <v>3.0080613839212069</v>
      </c>
      <c r="O99" s="8">
        <f>SQRT((C99-Sheet5!$C$526)^2+(D99-Sheet5!$D$526)^2+(E99-Sheet5!$E$526)^2+(F99-Sheet5!$F$526)^2+(G99-Sheet5!$G$526)^2+(H99-Sheet5!$H$526)^2+(I99-Sheet5!$I$526)^2+(J99-Sheet5!$J$526)^2+(K99-Sheet5!$K$526)^2+(L99-Sheet5!$L$526)^2)</f>
        <v>2.4983441801047293</v>
      </c>
      <c r="P99" s="12">
        <f t="shared" si="1"/>
        <v>1</v>
      </c>
      <c r="Q99" s="11">
        <f>IF(P99=Sheet1!$M99, 1, 0)</f>
        <v>0</v>
      </c>
    </row>
    <row r="100" spans="1:17" x14ac:dyDescent="0.35">
      <c r="A100" s="6" t="s">
        <v>115</v>
      </c>
      <c r="B100" s="6" t="s">
        <v>116</v>
      </c>
      <c r="C100" s="6">
        <v>4.6547789797911132E-2</v>
      </c>
      <c r="D100" s="6">
        <v>0.16779772135047949</v>
      </c>
      <c r="E100" s="6">
        <v>-0.10491359832575776</v>
      </c>
      <c r="F100" s="6">
        <v>-5.0344327366711801E-2</v>
      </c>
      <c r="G100" s="6">
        <v>-0.41137182092448304</v>
      </c>
      <c r="H100" s="6">
        <v>0.2972056783551637</v>
      </c>
      <c r="I100" s="6">
        <v>-0.2139827969592363</v>
      </c>
      <c r="J100" s="6">
        <v>-0.18580835303985271</v>
      </c>
      <c r="K100" s="6">
        <v>7.7547854820316758E-2</v>
      </c>
      <c r="L100" s="6">
        <v>-0.24759592520056087</v>
      </c>
      <c r="N100" s="8">
        <f>SQRT((C100-Sheet5!$C$525)^2+(D100-Sheet5!$D$525)^2+(E100-Sheet5!$E$525)^2+(F100-Sheet5!$F$525)^2+(G100-Sheet5!$G$525)^2+(H100-Sheet5!$H$525)^2+(I100-Sheet5!$I$525)^2+(J100-Sheet5!$J$525)^2+(K100-Sheet5!$K$525)^2+(L100-Sheet5!$L$525)^2)</f>
        <v>0.99125808410947691</v>
      </c>
      <c r="O100" s="8">
        <f>SQRT((C100-Sheet5!$C$526)^2+(D100-Sheet5!$D$526)^2+(E100-Sheet5!$E$526)^2+(F100-Sheet5!$F$526)^2+(G100-Sheet5!$G$526)^2+(H100-Sheet5!$H$526)^2+(I100-Sheet5!$I$526)^2+(J100-Sheet5!$J$526)^2+(K100-Sheet5!$K$526)^2+(L100-Sheet5!$L$526)^2)</f>
        <v>2.9271135430435384</v>
      </c>
      <c r="P100" s="12">
        <f t="shared" si="1"/>
        <v>0</v>
      </c>
      <c r="Q100" s="11">
        <f>IF(P100=Sheet1!$M100, 1, 0)</f>
        <v>1</v>
      </c>
    </row>
    <row r="101" spans="1:17" x14ac:dyDescent="0.35">
      <c r="A101" s="6" t="s">
        <v>115</v>
      </c>
      <c r="B101" s="6" t="s">
        <v>117</v>
      </c>
      <c r="C101" s="6">
        <v>0.32300427257568043</v>
      </c>
      <c r="D101" s="6">
        <v>-0.85107309963644484</v>
      </c>
      <c r="E101" s="6">
        <v>0.15848668258979276</v>
      </c>
      <c r="F101" s="6">
        <v>-0.42472555960995823</v>
      </c>
      <c r="G101" s="6">
        <v>-0.28652094777726311</v>
      </c>
      <c r="H101" s="6">
        <v>-0.49081645187466505</v>
      </c>
      <c r="I101" s="6">
        <v>-0.38993164937809321</v>
      </c>
      <c r="J101" s="6">
        <v>-0.7779727799137629</v>
      </c>
      <c r="K101" s="6">
        <v>3.3730622415853596E-2</v>
      </c>
      <c r="L101" s="6">
        <v>-2.2035854481114451E-2</v>
      </c>
      <c r="N101" s="8">
        <f>SQRT((C101-Sheet5!$C$525)^2+(D101-Sheet5!$D$525)^2+(E101-Sheet5!$E$525)^2+(F101-Sheet5!$F$525)^2+(G101-Sheet5!$G$525)^2+(H101-Sheet5!$H$525)^2+(I101-Sheet5!$I$525)^2+(J101-Sheet5!$J$525)^2+(K101-Sheet5!$K$525)^2+(L101-Sheet5!$L$525)^2)</f>
        <v>0.92453181384729843</v>
      </c>
      <c r="O101" s="8">
        <f>SQRT((C101-Sheet5!$C$526)^2+(D101-Sheet5!$D$526)^2+(E101-Sheet5!$E$526)^2+(F101-Sheet5!$F$526)^2+(G101-Sheet5!$G$526)^2+(H101-Sheet5!$H$526)^2+(I101-Sheet5!$I$526)^2+(J101-Sheet5!$J$526)^2+(K101-Sheet5!$K$526)^2+(L101-Sheet5!$L$526)^2)</f>
        <v>3.8251542593340817</v>
      </c>
      <c r="P101" s="12">
        <f t="shared" si="1"/>
        <v>0</v>
      </c>
      <c r="Q101" s="11">
        <f>IF(P101=Sheet1!$M101, 1, 0)</f>
        <v>1</v>
      </c>
    </row>
    <row r="102" spans="1:17" x14ac:dyDescent="0.35">
      <c r="A102" s="6" t="s">
        <v>115</v>
      </c>
      <c r="B102" s="6" t="s">
        <v>118</v>
      </c>
      <c r="C102" s="6">
        <v>6.2871369661973075E-3</v>
      </c>
      <c r="D102" s="6">
        <v>-0.39073989738331666</v>
      </c>
      <c r="E102" s="6">
        <v>0.24690076289711041</v>
      </c>
      <c r="F102" s="6">
        <v>-0.16435342689757651</v>
      </c>
      <c r="G102" s="6">
        <v>-0.1848981440527851</v>
      </c>
      <c r="H102" s="6">
        <v>0.38500308589273158</v>
      </c>
      <c r="I102" s="6">
        <v>0.2768890014556899</v>
      </c>
      <c r="J102" s="6">
        <v>-1.1195765628315158E-2</v>
      </c>
      <c r="K102" s="6">
        <v>1.6516709685525842E-2</v>
      </c>
      <c r="L102" s="6">
        <v>0.46017492480743444</v>
      </c>
      <c r="N102" s="8">
        <f>SQRT((C102-Sheet5!$C$525)^2+(D102-Sheet5!$D$525)^2+(E102-Sheet5!$E$525)^2+(F102-Sheet5!$F$525)^2+(G102-Sheet5!$G$525)^2+(H102-Sheet5!$H$525)^2+(I102-Sheet5!$I$525)^2+(J102-Sheet5!$J$525)^2+(K102-Sheet5!$K$525)^2+(L102-Sheet5!$L$525)^2)</f>
        <v>1.4239046080316911</v>
      </c>
      <c r="O102" s="8">
        <f>SQRT((C102-Sheet5!$C$526)^2+(D102-Sheet5!$D$526)^2+(E102-Sheet5!$E$526)^2+(F102-Sheet5!$F$526)^2+(G102-Sheet5!$G$526)^2+(H102-Sheet5!$H$526)^2+(I102-Sheet5!$I$526)^2+(J102-Sheet5!$J$526)^2+(K102-Sheet5!$K$526)^2+(L102-Sheet5!$L$526)^2)</f>
        <v>2.6296672849183858</v>
      </c>
      <c r="P102" s="12">
        <f t="shared" si="1"/>
        <v>0</v>
      </c>
      <c r="Q102" s="11">
        <f>IF(P102=Sheet1!$M102, 1, 0)</f>
        <v>1</v>
      </c>
    </row>
    <row r="103" spans="1:17" x14ac:dyDescent="0.35">
      <c r="A103" s="6" t="s">
        <v>115</v>
      </c>
      <c r="B103" s="6" t="s">
        <v>119</v>
      </c>
      <c r="C103" s="6">
        <v>0.56188414604385017</v>
      </c>
      <c r="D103" s="6">
        <v>5.1179976779686241E-2</v>
      </c>
      <c r="E103" s="6">
        <v>-0.21727315871630729</v>
      </c>
      <c r="F103" s="6">
        <v>-0.36155835581583057</v>
      </c>
      <c r="G103" s="6">
        <v>-1.0153016259156762</v>
      </c>
      <c r="H103" s="6">
        <v>-0.36423736738798745</v>
      </c>
      <c r="I103" s="6">
        <v>-0.22099525122230665</v>
      </c>
      <c r="J103" s="6">
        <v>-0.55401315692939934</v>
      </c>
      <c r="K103" s="6">
        <v>1.18220062136209E-2</v>
      </c>
      <c r="L103" s="6">
        <v>-0.18725514538900762</v>
      </c>
      <c r="N103" s="8">
        <f>SQRT((C103-Sheet5!$C$525)^2+(D103-Sheet5!$D$525)^2+(E103-Sheet5!$E$525)^2+(F103-Sheet5!$F$525)^2+(G103-Sheet5!$G$525)^2+(H103-Sheet5!$H$525)^2+(I103-Sheet5!$I$525)^2+(J103-Sheet5!$J$525)^2+(K103-Sheet5!$K$525)^2+(L103-Sheet5!$L$525)^2)</f>
        <v>0.92069414349611323</v>
      </c>
      <c r="O103" s="8">
        <f>SQRT((C103-Sheet5!$C$526)^2+(D103-Sheet5!$D$526)^2+(E103-Sheet5!$E$526)^2+(F103-Sheet5!$F$526)^2+(G103-Sheet5!$G$526)^2+(H103-Sheet5!$H$526)^2+(I103-Sheet5!$I$526)^2+(J103-Sheet5!$J$526)^2+(K103-Sheet5!$K$526)^2+(L103-Sheet5!$L$526)^2)</f>
        <v>3.7978666002124921</v>
      </c>
      <c r="P103" s="12">
        <f t="shared" si="1"/>
        <v>0</v>
      </c>
      <c r="Q103" s="11">
        <f>IF(P103=Sheet1!$M103, 1, 0)</f>
        <v>1</v>
      </c>
    </row>
    <row r="104" spans="1:17" x14ac:dyDescent="0.35">
      <c r="A104" s="6" t="s">
        <v>115</v>
      </c>
      <c r="B104" s="6" t="s">
        <v>120</v>
      </c>
      <c r="C104" s="6">
        <v>0.21698455345216711</v>
      </c>
      <c r="D104" s="6">
        <v>-0.55645985019444255</v>
      </c>
      <c r="E104" s="6">
        <v>-0.28542567895319798</v>
      </c>
      <c r="F104" s="6">
        <v>-0.44937617572473942</v>
      </c>
      <c r="G104" s="6">
        <v>-0.40556480356879548</v>
      </c>
      <c r="H104" s="6">
        <v>-0.42995076444064573</v>
      </c>
      <c r="I104" s="6">
        <v>-0.12664586659190502</v>
      </c>
      <c r="J104" s="6">
        <v>-0.86527907361953171</v>
      </c>
      <c r="K104" s="6">
        <v>0.16674722078655069</v>
      </c>
      <c r="L104" s="6">
        <v>-0.16572792752246332</v>
      </c>
      <c r="N104" s="8">
        <f>SQRT((C104-Sheet5!$C$525)^2+(D104-Sheet5!$D$525)^2+(E104-Sheet5!$E$525)^2+(F104-Sheet5!$F$525)^2+(G104-Sheet5!$G$525)^2+(H104-Sheet5!$H$525)^2+(I104-Sheet5!$I$525)^2+(J104-Sheet5!$J$525)^2+(K104-Sheet5!$K$525)^2+(L104-Sheet5!$L$525)^2)</f>
        <v>0.56978110885193323</v>
      </c>
      <c r="O104" s="8">
        <f>SQRT((C104-Sheet5!$C$526)^2+(D104-Sheet5!$D$526)^2+(E104-Sheet5!$E$526)^2+(F104-Sheet5!$F$526)^2+(G104-Sheet5!$G$526)^2+(H104-Sheet5!$H$526)^2+(I104-Sheet5!$I$526)^2+(J104-Sheet5!$J$526)^2+(K104-Sheet5!$K$526)^2+(L104-Sheet5!$L$526)^2)</f>
        <v>3.8565266563498648</v>
      </c>
      <c r="P104" s="12">
        <f t="shared" si="1"/>
        <v>0</v>
      </c>
      <c r="Q104" s="11">
        <f>IF(P104=Sheet1!$M104, 1, 0)</f>
        <v>1</v>
      </c>
    </row>
    <row r="105" spans="1:17" x14ac:dyDescent="0.35">
      <c r="A105" s="6" t="s">
        <v>115</v>
      </c>
      <c r="B105" s="6" t="s">
        <v>121</v>
      </c>
      <c r="C105" s="6">
        <v>0.47867879685830783</v>
      </c>
      <c r="D105" s="6">
        <v>-0.49508208989402569</v>
      </c>
      <c r="E105" s="6">
        <v>-6.8074398197708746E-2</v>
      </c>
      <c r="F105" s="6">
        <v>-0.28144385344279055</v>
      </c>
      <c r="G105" s="6">
        <v>-0.23716130025394391</v>
      </c>
      <c r="H105" s="6">
        <v>-0.33030340005751657</v>
      </c>
      <c r="I105" s="6">
        <v>-0.36761929490468698</v>
      </c>
      <c r="J105" s="6">
        <v>-0.40597205021092181</v>
      </c>
      <c r="K105" s="6">
        <v>-4.4514435449262854E-2</v>
      </c>
      <c r="L105" s="6">
        <v>0.50491377064235765</v>
      </c>
      <c r="N105" s="8">
        <f>SQRT((C105-Sheet5!$C$525)^2+(D105-Sheet5!$D$525)^2+(E105-Sheet5!$E$525)^2+(F105-Sheet5!$F$525)^2+(G105-Sheet5!$G$525)^2+(H105-Sheet5!$H$525)^2+(I105-Sheet5!$I$525)^2+(J105-Sheet5!$J$525)^2+(K105-Sheet5!$K$525)^2+(L105-Sheet5!$L$525)^2)</f>
        <v>0.92657657945363192</v>
      </c>
      <c r="O105" s="8">
        <f>SQRT((C105-Sheet5!$C$526)^2+(D105-Sheet5!$D$526)^2+(E105-Sheet5!$E$526)^2+(F105-Sheet5!$F$526)^2+(G105-Sheet5!$G$526)^2+(H105-Sheet5!$H$526)^2+(I105-Sheet5!$I$526)^2+(J105-Sheet5!$J$526)^2+(K105-Sheet5!$K$526)^2+(L105-Sheet5!$L$526)^2)</f>
        <v>3.4262834124317774</v>
      </c>
      <c r="P105" s="12">
        <f t="shared" si="1"/>
        <v>0</v>
      </c>
      <c r="Q105" s="11">
        <f>IF(P105=Sheet1!$M105, 1, 0)</f>
        <v>1</v>
      </c>
    </row>
    <row r="106" spans="1:17" x14ac:dyDescent="0.35">
      <c r="A106" s="6" t="s">
        <v>115</v>
      </c>
      <c r="B106" s="6" t="s">
        <v>122</v>
      </c>
      <c r="C106" s="6">
        <v>-0.2044102795197725</v>
      </c>
      <c r="D106" s="6">
        <v>-0.6116998344648179</v>
      </c>
      <c r="E106" s="6">
        <v>-0.17122415855624601</v>
      </c>
      <c r="F106" s="6">
        <v>-0.43088821363865459</v>
      </c>
      <c r="G106" s="6">
        <v>-0.17328410934141417</v>
      </c>
      <c r="H106" s="6">
        <v>-0.26943771262349647</v>
      </c>
      <c r="I106" s="6">
        <v>-0.52061829700804085</v>
      </c>
      <c r="J106" s="6">
        <v>-0.4629109374103364</v>
      </c>
      <c r="K106" s="6">
        <v>-0.61413845670731071</v>
      </c>
      <c r="L106" s="6">
        <v>-2.4999541176981343E-2</v>
      </c>
      <c r="N106" s="8">
        <f>SQRT((C106-Sheet5!$C$525)^2+(D106-Sheet5!$D$525)^2+(E106-Sheet5!$E$525)^2+(F106-Sheet5!$F$525)^2+(G106-Sheet5!$G$525)^2+(H106-Sheet5!$H$525)^2+(I106-Sheet5!$I$525)^2+(J106-Sheet5!$J$525)^2+(K106-Sheet5!$K$525)^2+(L106-Sheet5!$L$525)^2)</f>
        <v>1.0843780474294904</v>
      </c>
      <c r="O106" s="8">
        <f>SQRT((C106-Sheet5!$C$526)^2+(D106-Sheet5!$D$526)^2+(E106-Sheet5!$E$526)^2+(F106-Sheet5!$F$526)^2+(G106-Sheet5!$G$526)^2+(H106-Sheet5!$H$526)^2+(I106-Sheet5!$I$526)^2+(J106-Sheet5!$J$526)^2+(K106-Sheet5!$K$526)^2+(L106-Sheet5!$L$526)^2)</f>
        <v>3.4718106706498819</v>
      </c>
      <c r="P106" s="12">
        <f t="shared" si="1"/>
        <v>0</v>
      </c>
      <c r="Q106" s="11">
        <f>IF(P106=Sheet1!$M106, 1, 0)</f>
        <v>1</v>
      </c>
    </row>
    <row r="107" spans="1:17" x14ac:dyDescent="0.35">
      <c r="A107" s="6" t="s">
        <v>115</v>
      </c>
      <c r="B107" s="6" t="s">
        <v>123</v>
      </c>
      <c r="C107" s="6">
        <v>-0.1547554743606587</v>
      </c>
      <c r="D107" s="6">
        <v>-0.36005101723310823</v>
      </c>
      <c r="E107" s="6">
        <v>-0.6409239601888711</v>
      </c>
      <c r="F107" s="6">
        <v>-0.70666698142277395</v>
      </c>
      <c r="G107" s="6">
        <v>-0.75108233623202991</v>
      </c>
      <c r="H107" s="6">
        <v>-1.1312527559370484</v>
      </c>
      <c r="I107" s="6">
        <v>-0.51105585937658093</v>
      </c>
      <c r="J107" s="6">
        <v>-0.69446241202128833</v>
      </c>
      <c r="K107" s="6">
        <v>1.0493514735050644</v>
      </c>
      <c r="L107" s="6">
        <v>-0.33388025213452982</v>
      </c>
      <c r="N107" s="8">
        <f>SQRT((C107-Sheet5!$C$525)^2+(D107-Sheet5!$D$525)^2+(E107-Sheet5!$E$525)^2+(F107-Sheet5!$F$525)^2+(G107-Sheet5!$G$525)^2+(H107-Sheet5!$H$525)^2+(I107-Sheet5!$I$525)^2+(J107-Sheet5!$J$525)^2+(K107-Sheet5!$K$525)^2+(L107-Sheet5!$L$525)^2)</f>
        <v>1.4241594141678697</v>
      </c>
      <c r="O107" s="8">
        <f>SQRT((C107-Sheet5!$C$526)^2+(D107-Sheet5!$D$526)^2+(E107-Sheet5!$E$526)^2+(F107-Sheet5!$F$526)^2+(G107-Sheet5!$G$526)^2+(H107-Sheet5!$H$526)^2+(I107-Sheet5!$I$526)^2+(J107-Sheet5!$J$526)^2+(K107-Sheet5!$K$526)^2+(L107-Sheet5!$L$526)^2)</f>
        <v>4.6081992643376406</v>
      </c>
      <c r="P107" s="12">
        <f t="shared" si="1"/>
        <v>0</v>
      </c>
      <c r="Q107" s="11">
        <f>IF(P107=Sheet1!$M107, 1, 0)</f>
        <v>1</v>
      </c>
    </row>
    <row r="108" spans="1:17" x14ac:dyDescent="0.35">
      <c r="A108" s="6" t="s">
        <v>115</v>
      </c>
      <c r="B108" s="6" t="s">
        <v>124</v>
      </c>
      <c r="C108" s="6">
        <v>-0.22454060593562952</v>
      </c>
      <c r="D108" s="6">
        <v>-0.5380465221043178</v>
      </c>
      <c r="E108" s="6">
        <v>0.44435887558345316</v>
      </c>
      <c r="F108" s="6">
        <v>-5.3425654381058903E-2</v>
      </c>
      <c r="G108" s="6">
        <v>-0.14134551388514929</v>
      </c>
      <c r="H108" s="6">
        <v>0.35861000019125433</v>
      </c>
      <c r="I108" s="6">
        <v>0.52168740482105491</v>
      </c>
      <c r="J108" s="6">
        <v>-0.71344204108775977</v>
      </c>
      <c r="K108" s="6">
        <v>0.28880951105613251</v>
      </c>
      <c r="L108" s="6">
        <v>-0.23847644077404145</v>
      </c>
      <c r="N108" s="8">
        <f>SQRT((C108-Sheet5!$C$525)^2+(D108-Sheet5!$D$525)^2+(E108-Sheet5!$E$525)^2+(F108-Sheet5!$F$525)^2+(G108-Sheet5!$G$525)^2+(H108-Sheet5!$H$525)^2+(I108-Sheet5!$I$525)^2+(J108-Sheet5!$J$525)^2+(K108-Sheet5!$K$525)^2+(L108-Sheet5!$L$525)^2)</f>
        <v>1.5242683429994863</v>
      </c>
      <c r="O108" s="8">
        <f>SQRT((C108-Sheet5!$C$526)^2+(D108-Sheet5!$D$526)^2+(E108-Sheet5!$E$526)^2+(F108-Sheet5!$F$526)^2+(G108-Sheet5!$G$526)^2+(H108-Sheet5!$H$526)^2+(I108-Sheet5!$I$526)^2+(J108-Sheet5!$J$526)^2+(K108-Sheet5!$K$526)^2+(L108-Sheet5!$L$526)^2)</f>
        <v>3.047816893548335</v>
      </c>
      <c r="P108" s="12">
        <f t="shared" si="1"/>
        <v>0</v>
      </c>
      <c r="Q108" s="11">
        <f>IF(P108=Sheet1!$M108, 1, 0)</f>
        <v>1</v>
      </c>
    </row>
    <row r="109" spans="1:17" x14ac:dyDescent="0.35">
      <c r="A109" s="6" t="s">
        <v>115</v>
      </c>
      <c r="B109" s="6" t="s">
        <v>125</v>
      </c>
      <c r="C109" s="6">
        <v>0.20759040112476715</v>
      </c>
      <c r="D109" s="6">
        <v>-0.34777546517302454</v>
      </c>
      <c r="E109" s="6">
        <v>4.7600690204365192E-2</v>
      </c>
      <c r="F109" s="6">
        <v>-0.42472555960995823</v>
      </c>
      <c r="G109" s="6">
        <v>-1.1778981118748444</v>
      </c>
      <c r="H109" s="6">
        <v>-0.49997323670987165</v>
      </c>
      <c r="I109" s="6">
        <v>-0.80366645089924482</v>
      </c>
      <c r="J109" s="6">
        <v>-0.75519722503399711</v>
      </c>
      <c r="K109" s="6">
        <v>-0.15405751646042634</v>
      </c>
      <c r="L109" s="6">
        <v>-0.29647846209393397</v>
      </c>
      <c r="N109" s="8">
        <f>SQRT((C109-Sheet5!$C$525)^2+(D109-Sheet5!$D$525)^2+(E109-Sheet5!$E$525)^2+(F109-Sheet5!$F$525)^2+(G109-Sheet5!$G$525)^2+(H109-Sheet5!$H$525)^2+(I109-Sheet5!$I$525)^2+(J109-Sheet5!$J$525)^2+(K109-Sheet5!$K$525)^2+(L109-Sheet5!$L$525)^2)</f>
        <v>1.2284787626076716</v>
      </c>
      <c r="O109" s="8">
        <f>SQRT((C109-Sheet5!$C$526)^2+(D109-Sheet5!$D$526)^2+(E109-Sheet5!$E$526)^2+(F109-Sheet5!$F$526)^2+(G109-Sheet5!$G$526)^2+(H109-Sheet5!$H$526)^2+(I109-Sheet5!$I$526)^2+(J109-Sheet5!$J$526)^2+(K109-Sheet5!$K$526)^2+(L109-Sheet5!$L$526)^2)</f>
        <v>4.1417534514020842</v>
      </c>
      <c r="P109" s="12">
        <f t="shared" si="1"/>
        <v>0</v>
      </c>
      <c r="Q109" s="11">
        <f>IF(P109=Sheet1!$M109, 1, 0)</f>
        <v>1</v>
      </c>
    </row>
    <row r="110" spans="1:17" x14ac:dyDescent="0.35">
      <c r="A110" s="6" t="s">
        <v>115</v>
      </c>
      <c r="B110" s="6" t="s">
        <v>126</v>
      </c>
      <c r="C110" s="6">
        <v>0.14451537835508185</v>
      </c>
      <c r="D110" s="6">
        <v>-0.48894431386398413</v>
      </c>
      <c r="E110" s="6">
        <v>-0.3406844791452715</v>
      </c>
      <c r="F110" s="6">
        <v>-0.69896366388690512</v>
      </c>
      <c r="G110" s="6">
        <v>-1.3143630197334311</v>
      </c>
      <c r="H110" s="6">
        <v>-1.3736382368689848</v>
      </c>
      <c r="I110" s="6">
        <v>-2.1207328606722804</v>
      </c>
      <c r="J110" s="6">
        <v>-1.0057283287114205</v>
      </c>
      <c r="K110" s="6">
        <v>0.4437347256290623</v>
      </c>
      <c r="L110" s="6">
        <v>-0.38359363763643073</v>
      </c>
      <c r="N110" s="8">
        <f>SQRT((C110-Sheet5!$C$525)^2+(D110-Sheet5!$D$525)^2+(E110-Sheet5!$E$525)^2+(F110-Sheet5!$F$525)^2+(G110-Sheet5!$G$525)^2+(H110-Sheet5!$H$525)^2+(I110-Sheet5!$I$525)^2+(J110-Sheet5!$J$525)^2+(K110-Sheet5!$K$525)^2+(L110-Sheet5!$L$525)^2)</f>
        <v>2.4664207293257174</v>
      </c>
      <c r="O110" s="8">
        <f>SQRT((C110-Sheet5!$C$526)^2+(D110-Sheet5!$D$526)^2+(E110-Sheet5!$E$526)^2+(F110-Sheet5!$F$526)^2+(G110-Sheet5!$G$526)^2+(H110-Sheet5!$H$526)^2+(I110-Sheet5!$I$526)^2+(J110-Sheet5!$J$526)^2+(K110-Sheet5!$K$526)^2+(L110-Sheet5!$L$526)^2)</f>
        <v>5.4923705662947286</v>
      </c>
      <c r="P110" s="12">
        <f t="shared" si="1"/>
        <v>0</v>
      </c>
      <c r="Q110" s="11">
        <f>IF(P110=Sheet1!$M110, 1, 0)</f>
        <v>1</v>
      </c>
    </row>
    <row r="111" spans="1:17" x14ac:dyDescent="0.35">
      <c r="A111" s="6" t="s">
        <v>115</v>
      </c>
      <c r="B111" s="6" t="s">
        <v>127</v>
      </c>
      <c r="C111" s="6">
        <v>8.5466420868568094E-2</v>
      </c>
      <c r="D111" s="6">
        <v>-0.85107309963644484</v>
      </c>
      <c r="E111" s="6">
        <v>-0.7790709606690549</v>
      </c>
      <c r="F111" s="6">
        <v>-0.77753750275277267</v>
      </c>
      <c r="G111" s="6">
        <v>-0.38524024282390151</v>
      </c>
      <c r="H111" s="6">
        <v>0.92148295035541805</v>
      </c>
      <c r="I111" s="6">
        <v>0.15002732887832532</v>
      </c>
      <c r="J111" s="6">
        <v>-0.55021723111610521</v>
      </c>
      <c r="K111" s="6">
        <v>0.57362152168515534</v>
      </c>
      <c r="L111" s="6">
        <v>-0.35822821387746212</v>
      </c>
      <c r="N111" s="8">
        <f>SQRT((C111-Sheet5!$C$525)^2+(D111-Sheet5!$D$525)^2+(E111-Sheet5!$E$525)^2+(F111-Sheet5!$F$525)^2+(G111-Sheet5!$G$525)^2+(H111-Sheet5!$H$525)^2+(I111-Sheet5!$I$525)^2+(J111-Sheet5!$J$525)^2+(K111-Sheet5!$K$525)^2+(L111-Sheet5!$L$525)^2)</f>
        <v>1.5012426598961317</v>
      </c>
      <c r="O111" s="8">
        <f>SQRT((C111-Sheet5!$C$526)^2+(D111-Sheet5!$D$526)^2+(E111-Sheet5!$E$526)^2+(F111-Sheet5!$F$526)^2+(G111-Sheet5!$G$526)^2+(H111-Sheet5!$H$526)^2+(I111-Sheet5!$I$526)^2+(J111-Sheet5!$J$526)^2+(K111-Sheet5!$K$526)^2+(L111-Sheet5!$L$526)^2)</f>
        <v>4.0925785805340311</v>
      </c>
      <c r="P111" s="12">
        <f t="shared" si="1"/>
        <v>0</v>
      </c>
      <c r="Q111" s="11">
        <f>IF(P111=Sheet1!$M111, 1, 0)</f>
        <v>1</v>
      </c>
    </row>
    <row r="112" spans="1:17" x14ac:dyDescent="0.35">
      <c r="A112" s="6" t="s">
        <v>115</v>
      </c>
      <c r="B112" s="6" t="s">
        <v>128</v>
      </c>
      <c r="C112" s="6">
        <v>1.0517220888297032</v>
      </c>
      <c r="D112" s="6">
        <v>-0.82652199551627803</v>
      </c>
      <c r="E112" s="6">
        <v>-0.17306611856264845</v>
      </c>
      <c r="F112" s="6">
        <v>-0.76983418521690161</v>
      </c>
      <c r="G112" s="6">
        <v>-1.1314419730293648</v>
      </c>
      <c r="H112" s="6">
        <v>-0.6087773859282074</v>
      </c>
      <c r="I112" s="6">
        <v>-0.30641969406334596</v>
      </c>
      <c r="J112" s="6">
        <v>0.63031569681842048</v>
      </c>
      <c r="K112" s="6">
        <v>3.5295523573154505E-2</v>
      </c>
      <c r="L112" s="6">
        <v>-0.3397014788338279</v>
      </c>
      <c r="N112" s="8">
        <f>SQRT((C112-Sheet5!$C$525)^2+(D112-Sheet5!$D$525)^2+(E112-Sheet5!$E$525)^2+(F112-Sheet5!$F$525)^2+(G112-Sheet5!$G$525)^2+(H112-Sheet5!$H$525)^2+(I112-Sheet5!$I$525)^2+(J112-Sheet5!$J$525)^2+(K112-Sheet5!$K$525)^2+(L112-Sheet5!$L$525)^2)</f>
        <v>1.6910717301950375</v>
      </c>
      <c r="O112" s="8">
        <f>SQRT((C112-Sheet5!$C$526)^2+(D112-Sheet5!$D$526)^2+(E112-Sheet5!$E$526)^2+(F112-Sheet5!$F$526)^2+(G112-Sheet5!$G$526)^2+(H112-Sheet5!$H$526)^2+(I112-Sheet5!$I$526)^2+(J112-Sheet5!$J$526)^2+(K112-Sheet5!$K$526)^2+(L112-Sheet5!$L$526)^2)</f>
        <v>4.3048910931070496</v>
      </c>
      <c r="P112" s="12">
        <f t="shared" si="1"/>
        <v>0</v>
      </c>
      <c r="Q112" s="11">
        <f>IF(P112=Sheet1!$M112, 1, 0)</f>
        <v>0</v>
      </c>
    </row>
    <row r="113" spans="1:17" x14ac:dyDescent="0.35">
      <c r="A113" s="6" t="s">
        <v>115</v>
      </c>
      <c r="B113" s="6" t="s">
        <v>129</v>
      </c>
      <c r="C113" s="6">
        <v>-0.12523099561740172</v>
      </c>
      <c r="D113" s="6">
        <v>1.4199040314789877</v>
      </c>
      <c r="E113" s="6">
        <v>1.6132666956464488</v>
      </c>
      <c r="F113" s="6">
        <v>1.3547407911758476</v>
      </c>
      <c r="G113" s="6">
        <v>0.39290008283783068</v>
      </c>
      <c r="H113" s="6">
        <v>0.91609660633470791</v>
      </c>
      <c r="I113" s="6">
        <v>0.78369819592304879</v>
      </c>
      <c r="J113" s="6">
        <v>1.9171345475251862</v>
      </c>
      <c r="K113" s="6">
        <v>-0.86608754303298674</v>
      </c>
      <c r="L113" s="6">
        <v>1.7820549147100104</v>
      </c>
      <c r="N113" s="8">
        <f>SQRT((C113-Sheet5!$C$525)^2+(D113-Sheet5!$D$525)^2+(E113-Sheet5!$E$525)^2+(F113-Sheet5!$F$525)^2+(G113-Sheet5!$G$525)^2+(H113-Sheet5!$H$525)^2+(I113-Sheet5!$I$525)^2+(J113-Sheet5!$J$525)^2+(K113-Sheet5!$K$525)^2+(L113-Sheet5!$L$525)^2)</f>
        <v>4.9447711563668166</v>
      </c>
      <c r="O113" s="8">
        <f>SQRT((C113-Sheet5!$C$526)^2+(D113-Sheet5!$D$526)^2+(E113-Sheet5!$E$526)^2+(F113-Sheet5!$F$526)^2+(G113-Sheet5!$G$526)^2+(H113-Sheet5!$H$526)^2+(I113-Sheet5!$I$526)^2+(J113-Sheet5!$J$526)^2+(K113-Sheet5!$K$526)^2+(L113-Sheet5!$L$526)^2)</f>
        <v>1.901658471976853</v>
      </c>
      <c r="P113" s="12">
        <f t="shared" si="1"/>
        <v>1</v>
      </c>
      <c r="Q113" s="11">
        <f>IF(P113=Sheet1!$M113, 1, 0)</f>
        <v>0</v>
      </c>
    </row>
    <row r="114" spans="1:17" x14ac:dyDescent="0.35">
      <c r="A114" s="6" t="s">
        <v>115</v>
      </c>
      <c r="B114" s="6" t="s">
        <v>130</v>
      </c>
      <c r="C114" s="6">
        <v>-9.8171241664884133E-3</v>
      </c>
      <c r="D114" s="6">
        <v>0.94115750113573471</v>
      </c>
      <c r="E114" s="6">
        <v>0.89416550914693171</v>
      </c>
      <c r="F114" s="6">
        <v>0.73077207077043549</v>
      </c>
      <c r="G114" s="6">
        <v>0.2361106142343459</v>
      </c>
      <c r="H114" s="6">
        <v>0.97642365936665676</v>
      </c>
      <c r="I114" s="6">
        <v>0.55037471771543389</v>
      </c>
      <c r="J114" s="6">
        <v>0.30386607687511136</v>
      </c>
      <c r="K114" s="6">
        <v>-8.5217088313108893E-3</v>
      </c>
      <c r="L114" s="6">
        <v>-0.34314027645343559</v>
      </c>
      <c r="N114" s="8">
        <f>SQRT((C114-Sheet5!$C$525)^2+(D114-Sheet5!$D$525)^2+(E114-Sheet5!$E$525)^2+(F114-Sheet5!$F$525)^2+(G114-Sheet5!$G$525)^2+(H114-Sheet5!$H$525)^2+(I114-Sheet5!$I$525)^2+(J114-Sheet5!$J$525)^2+(K114-Sheet5!$K$525)^2+(L114-Sheet5!$L$525)^2)</f>
        <v>2.8349202477049249</v>
      </c>
      <c r="O114" s="8">
        <f>SQRT((C114-Sheet5!$C$526)^2+(D114-Sheet5!$D$526)^2+(E114-Sheet5!$E$526)^2+(F114-Sheet5!$F$526)^2+(G114-Sheet5!$G$526)^2+(H114-Sheet5!$H$526)^2+(I114-Sheet5!$I$526)^2+(J114-Sheet5!$J$526)^2+(K114-Sheet5!$K$526)^2+(L114-Sheet5!$L$526)^2)</f>
        <v>1.6266448263175777</v>
      </c>
      <c r="P114" s="12">
        <f t="shared" si="1"/>
        <v>1</v>
      </c>
      <c r="Q114" s="11">
        <f>IF(P114=Sheet1!$M114, 1, 0)</f>
        <v>0</v>
      </c>
    </row>
    <row r="115" spans="1:17" x14ac:dyDescent="0.35">
      <c r="A115" s="6" t="s">
        <v>115</v>
      </c>
      <c r="B115" s="6" t="s">
        <v>131</v>
      </c>
      <c r="C115" s="6">
        <v>-0.38558321726248529</v>
      </c>
      <c r="D115" s="6">
        <v>0.59130426742335718</v>
      </c>
      <c r="E115" s="6">
        <v>-0.53335349581496794</v>
      </c>
      <c r="F115" s="6">
        <v>-0.19208537002670484</v>
      </c>
      <c r="G115" s="6">
        <v>-0.81495952714455966</v>
      </c>
      <c r="H115" s="6">
        <v>-0.99874869302759006</v>
      </c>
      <c r="I115" s="6">
        <v>0.51148747134749817</v>
      </c>
      <c r="J115" s="6">
        <v>-1.2980146163350814</v>
      </c>
      <c r="K115" s="6">
        <v>0.74106594551650573</v>
      </c>
      <c r="L115" s="6">
        <v>-0.41020327614889868</v>
      </c>
      <c r="N115" s="8">
        <f>SQRT((C115-Sheet5!$C$525)^2+(D115-Sheet5!$D$525)^2+(E115-Sheet5!$E$525)^2+(F115-Sheet5!$F$525)^2+(G115-Sheet5!$G$525)^2+(H115-Sheet5!$H$525)^2+(I115-Sheet5!$I$525)^2+(J115-Sheet5!$J$525)^2+(K115-Sheet5!$K$525)^2+(L115-Sheet5!$L$525)^2)</f>
        <v>1.9713635846651545</v>
      </c>
      <c r="O115" s="8">
        <f>SQRT((C115-Sheet5!$C$526)^2+(D115-Sheet5!$D$526)^2+(E115-Sheet5!$E$526)^2+(F115-Sheet5!$F$526)^2+(G115-Sheet5!$G$526)^2+(H115-Sheet5!$H$526)^2+(I115-Sheet5!$I$526)^2+(J115-Sheet5!$J$526)^2+(K115-Sheet5!$K$526)^2+(L115-Sheet5!$L$526)^2)</f>
        <v>4.2018122779304559</v>
      </c>
      <c r="P115" s="12">
        <f t="shared" si="1"/>
        <v>0</v>
      </c>
      <c r="Q115" s="11">
        <f>IF(P115=Sheet1!$M115, 1, 0)</f>
        <v>1</v>
      </c>
    </row>
    <row r="116" spans="1:17" x14ac:dyDescent="0.35">
      <c r="A116" s="6" t="s">
        <v>115</v>
      </c>
      <c r="B116" s="6" t="s">
        <v>132</v>
      </c>
      <c r="C116" s="6">
        <v>0.12841111722239637</v>
      </c>
      <c r="D116" s="6">
        <v>0.89819306892544259</v>
      </c>
      <c r="E116" s="6">
        <v>1.0838873898063841</v>
      </c>
      <c r="F116" s="6">
        <v>0.7646666679282601</v>
      </c>
      <c r="G116" s="6">
        <v>-7.7468322972619519E-2</v>
      </c>
      <c r="H116" s="6">
        <v>0.4469460421308934</v>
      </c>
      <c r="I116" s="6">
        <v>0.69891124892410617</v>
      </c>
      <c r="J116" s="6">
        <v>0.45949903522017715</v>
      </c>
      <c r="K116" s="6">
        <v>0.64717187607836468</v>
      </c>
      <c r="L116" s="6">
        <v>-0.36553421967475019</v>
      </c>
      <c r="N116" s="8">
        <f>SQRT((C116-Sheet5!$C$525)^2+(D116-Sheet5!$D$525)^2+(E116-Sheet5!$E$525)^2+(F116-Sheet5!$F$525)^2+(G116-Sheet5!$G$525)^2+(H116-Sheet5!$H$525)^2+(I116-Sheet5!$I$525)^2+(J116-Sheet5!$J$525)^2+(K116-Sheet5!$K$525)^2+(L116-Sheet5!$L$525)^2)</f>
        <v>2.7966856747040345</v>
      </c>
      <c r="O116" s="8">
        <f>SQRT((C116-Sheet5!$C$526)^2+(D116-Sheet5!$D$526)^2+(E116-Sheet5!$E$526)^2+(F116-Sheet5!$F$526)^2+(G116-Sheet5!$G$526)^2+(H116-Sheet5!$H$526)^2+(I116-Sheet5!$I$526)^2+(J116-Sheet5!$J$526)^2+(K116-Sheet5!$K$526)^2+(L116-Sheet5!$L$526)^2)</f>
        <v>2.050534454508842</v>
      </c>
      <c r="P116" s="12">
        <f t="shared" si="1"/>
        <v>1</v>
      </c>
      <c r="Q116" s="11">
        <f>IF(P116=Sheet1!$M116, 1, 0)</f>
        <v>0</v>
      </c>
    </row>
    <row r="117" spans="1:17" x14ac:dyDescent="0.35">
      <c r="A117" s="6" t="s">
        <v>133</v>
      </c>
      <c r="B117" s="6" t="s">
        <v>134</v>
      </c>
      <c r="C117" s="6">
        <v>0.79002784542356252</v>
      </c>
      <c r="D117" s="6">
        <v>0.51151317903281446</v>
      </c>
      <c r="E117" s="6">
        <v>-0.15059420648453856</v>
      </c>
      <c r="F117" s="6">
        <v>0.12683197595828277</v>
      </c>
      <c r="G117" s="6">
        <v>-0.50138058993759016</v>
      </c>
      <c r="H117" s="6">
        <v>-0.13262457449747053</v>
      </c>
      <c r="I117" s="6">
        <v>-1.7159230009404907</v>
      </c>
      <c r="J117" s="6">
        <v>-0.95258536732530041</v>
      </c>
      <c r="K117" s="6">
        <v>0.70194341658394743</v>
      </c>
      <c r="L117" s="6">
        <v>-0.3807400676864568</v>
      </c>
      <c r="N117" s="8">
        <f>SQRT((C117-Sheet5!$C$525)^2+(D117-Sheet5!$D$525)^2+(E117-Sheet5!$E$525)^2+(F117-Sheet5!$F$525)^2+(G117-Sheet5!$G$525)^2+(H117-Sheet5!$H$525)^2+(I117-Sheet5!$I$525)^2+(J117-Sheet5!$J$525)^2+(K117-Sheet5!$K$525)^2+(L117-Sheet5!$L$525)^2)</f>
        <v>2.0275650478132219</v>
      </c>
      <c r="O117" s="8">
        <f>SQRT((C117-Sheet5!$C$526)^2+(D117-Sheet5!$D$526)^2+(E117-Sheet5!$E$526)^2+(F117-Sheet5!$F$526)^2+(G117-Sheet5!$G$526)^2+(H117-Sheet5!$H$526)^2+(I117-Sheet5!$I$526)^2+(J117-Sheet5!$J$526)^2+(K117-Sheet5!$K$526)^2+(L117-Sheet5!$L$526)^2)</f>
        <v>4.3542900951200458</v>
      </c>
      <c r="P117" s="12">
        <f t="shared" si="1"/>
        <v>0</v>
      </c>
      <c r="Q117" s="11">
        <f>IF(P117=Sheet1!$M117, 1, 0)</f>
        <v>1</v>
      </c>
    </row>
    <row r="118" spans="1:17" x14ac:dyDescent="0.35">
      <c r="A118" s="6" t="s">
        <v>133</v>
      </c>
      <c r="B118" s="6" t="s">
        <v>135</v>
      </c>
      <c r="C118" s="6">
        <v>0.48002081861936491</v>
      </c>
      <c r="D118" s="6">
        <v>-6.5437767791105925E-2</v>
      </c>
      <c r="E118" s="6">
        <v>-6.5866196337902743E-4</v>
      </c>
      <c r="F118" s="6">
        <v>0.12991330297262987</v>
      </c>
      <c r="G118" s="6">
        <v>-0.26329287835452542</v>
      </c>
      <c r="H118" s="6">
        <v>-0.30714212076846453</v>
      </c>
      <c r="I118" s="6">
        <v>-1.2792383491038359</v>
      </c>
      <c r="J118" s="6">
        <v>-0.99054462545824329</v>
      </c>
      <c r="K118" s="6">
        <v>1.0368322642466461</v>
      </c>
      <c r="L118" s="6">
        <v>-0.32783966953421007</v>
      </c>
      <c r="N118" s="8">
        <f>SQRT((C118-Sheet5!$C$525)^2+(D118-Sheet5!$D$525)^2+(E118-Sheet5!$E$525)^2+(F118-Sheet5!$F$525)^2+(G118-Sheet5!$G$525)^2+(H118-Sheet5!$H$525)^2+(I118-Sheet5!$I$525)^2+(J118-Sheet5!$J$525)^2+(K118-Sheet5!$K$525)^2+(L118-Sheet5!$L$525)^2)</f>
        <v>1.6297546316473137</v>
      </c>
      <c r="O118" s="8">
        <f>SQRT((C118-Sheet5!$C$526)^2+(D118-Sheet5!$D$526)^2+(E118-Sheet5!$E$526)^2+(F118-Sheet5!$F$526)^2+(G118-Sheet5!$G$526)^2+(H118-Sheet5!$H$526)^2+(I118-Sheet5!$I$526)^2+(J118-Sheet5!$J$526)^2+(K118-Sheet5!$K$526)^2+(L118-Sheet5!$L$526)^2)</f>
        <v>4.1786346474471783</v>
      </c>
      <c r="P118" s="12">
        <f t="shared" si="1"/>
        <v>0</v>
      </c>
      <c r="Q118" s="11">
        <f>IF(P118=Sheet1!$M118, 1, 0)</f>
        <v>1</v>
      </c>
    </row>
    <row r="119" spans="1:17" x14ac:dyDescent="0.35">
      <c r="A119" s="6" t="s">
        <v>133</v>
      </c>
      <c r="B119" s="6" t="s">
        <v>136</v>
      </c>
      <c r="C119" s="6">
        <v>-8.8996408068859195E-2</v>
      </c>
      <c r="D119" s="6">
        <v>-0.21274439251210708</v>
      </c>
      <c r="E119" s="6">
        <v>3.139144214802362E-2</v>
      </c>
      <c r="F119" s="6">
        <v>-9.9645559596274205E-2</v>
      </c>
      <c r="G119" s="6">
        <v>-0.40266129489095587</v>
      </c>
      <c r="H119" s="6">
        <v>0.22395139967351183</v>
      </c>
      <c r="I119" s="6">
        <v>-2.0416833762522142</v>
      </c>
      <c r="J119" s="6">
        <v>-0.5881764892490482</v>
      </c>
      <c r="K119" s="6">
        <v>-0.28863901598842656</v>
      </c>
      <c r="L119" s="6">
        <v>-0.34557686542029004</v>
      </c>
      <c r="N119" s="8">
        <f>SQRT((C119-Sheet5!$C$525)^2+(D119-Sheet5!$D$525)^2+(E119-Sheet5!$E$525)^2+(F119-Sheet5!$F$525)^2+(G119-Sheet5!$G$525)^2+(H119-Sheet5!$H$525)^2+(I119-Sheet5!$I$525)^2+(J119-Sheet5!$J$525)^2+(K119-Sheet5!$K$525)^2+(L119-Sheet5!$L$525)^2)</f>
        <v>2.0311343026137645</v>
      </c>
      <c r="O119" s="8">
        <f>SQRT((C119-Sheet5!$C$526)^2+(D119-Sheet5!$D$526)^2+(E119-Sheet5!$E$526)^2+(F119-Sheet5!$F$526)^2+(G119-Sheet5!$G$526)^2+(H119-Sheet5!$H$526)^2+(I119-Sheet5!$I$526)^2+(J119-Sheet5!$J$526)^2+(K119-Sheet5!$K$526)^2+(L119-Sheet5!$L$526)^2)</f>
        <v>4.0676624935140318</v>
      </c>
      <c r="P119" s="12">
        <f t="shared" si="1"/>
        <v>0</v>
      </c>
      <c r="Q119" s="11">
        <f>IF(P119=Sheet1!$M119, 1, 0)</f>
        <v>1</v>
      </c>
    </row>
    <row r="120" spans="1:17" x14ac:dyDescent="0.35">
      <c r="A120" s="6" t="s">
        <v>133</v>
      </c>
      <c r="B120" s="6" t="s">
        <v>137</v>
      </c>
      <c r="C120" s="6">
        <v>0.85176084643219074</v>
      </c>
      <c r="D120" s="6">
        <v>-3.4748887640896946E-2</v>
      </c>
      <c r="E120" s="6">
        <v>-0.62139918412100503</v>
      </c>
      <c r="F120" s="6">
        <v>-0.42472555960995823</v>
      </c>
      <c r="G120" s="6">
        <v>-0.84980163127866415</v>
      </c>
      <c r="H120" s="6">
        <v>7.6904207908136818E-2</v>
      </c>
      <c r="I120" s="6">
        <v>6.7790365247773279E-2</v>
      </c>
      <c r="J120" s="6">
        <v>-0.61095204412881376</v>
      </c>
      <c r="K120" s="6">
        <v>-2.8865423876240456E-2</v>
      </c>
      <c r="L120" s="6">
        <v>-0.41018534822328651</v>
      </c>
      <c r="N120" s="8">
        <f>SQRT((C120-Sheet5!$C$525)^2+(D120-Sheet5!$D$525)^2+(E120-Sheet5!$E$525)^2+(F120-Sheet5!$F$525)^2+(G120-Sheet5!$G$525)^2+(H120-Sheet5!$H$525)^2+(I120-Sheet5!$I$525)^2+(J120-Sheet5!$J$525)^2+(K120-Sheet5!$K$525)^2+(L120-Sheet5!$L$525)^2)</f>
        <v>1.0643795855797982</v>
      </c>
      <c r="O120" s="8">
        <f>SQRT((C120-Sheet5!$C$526)^2+(D120-Sheet5!$D$526)^2+(E120-Sheet5!$E$526)^2+(F120-Sheet5!$F$526)^2+(G120-Sheet5!$G$526)^2+(H120-Sheet5!$H$526)^2+(I120-Sheet5!$I$526)^2+(J120-Sheet5!$J$526)^2+(K120-Sheet5!$K$526)^2+(L120-Sheet5!$L$526)^2)</f>
        <v>3.9383131422641027</v>
      </c>
      <c r="P120" s="12">
        <f t="shared" si="1"/>
        <v>0</v>
      </c>
      <c r="Q120" s="11">
        <f>IF(P120=Sheet1!$M120, 1, 0)</f>
        <v>1</v>
      </c>
    </row>
    <row r="121" spans="1:17" x14ac:dyDescent="0.35">
      <c r="A121" s="6" t="s">
        <v>133</v>
      </c>
      <c r="B121" s="6" t="s">
        <v>138</v>
      </c>
      <c r="C121" s="6">
        <v>0.86518106404276174</v>
      </c>
      <c r="D121" s="6">
        <v>-0.26798437678248238</v>
      </c>
      <c r="E121" s="6">
        <v>-0.76212492861015235</v>
      </c>
      <c r="F121" s="6">
        <v>-0.44629484871039232</v>
      </c>
      <c r="G121" s="6">
        <v>-0.51009111597111734</v>
      </c>
      <c r="H121" s="6">
        <v>0.38177127948030637</v>
      </c>
      <c r="I121" s="6">
        <v>-2.4286433524052793</v>
      </c>
      <c r="J121" s="6">
        <v>-0.61474796994210812</v>
      </c>
      <c r="K121" s="6">
        <v>0.10415117449445663</v>
      </c>
      <c r="L121" s="6">
        <v>-0.3976556505620516</v>
      </c>
      <c r="N121" s="8">
        <f>SQRT((C121-Sheet5!$C$525)^2+(D121-Sheet5!$D$525)^2+(E121-Sheet5!$E$525)^2+(F121-Sheet5!$F$525)^2+(G121-Sheet5!$G$525)^2+(H121-Sheet5!$H$525)^2+(I121-Sheet5!$I$525)^2+(J121-Sheet5!$J$525)^2+(K121-Sheet5!$K$525)^2+(L121-Sheet5!$L$525)^2)</f>
        <v>2.3772718317399786</v>
      </c>
      <c r="O121" s="8">
        <f>SQRT((C121-Sheet5!$C$526)^2+(D121-Sheet5!$D$526)^2+(E121-Sheet5!$E$526)^2+(F121-Sheet5!$F$526)^2+(G121-Sheet5!$G$526)^2+(H121-Sheet5!$H$526)^2+(I121-Sheet5!$I$526)^2+(J121-Sheet5!$J$526)^2+(K121-Sheet5!$K$526)^2+(L121-Sheet5!$L$526)^2)</f>
        <v>4.9736027016137312</v>
      </c>
      <c r="P121" s="12">
        <f t="shared" si="1"/>
        <v>0</v>
      </c>
      <c r="Q121" s="11">
        <f>IF(P121=Sheet1!$M121, 1, 0)</f>
        <v>1</v>
      </c>
    </row>
    <row r="122" spans="1:17" x14ac:dyDescent="0.35">
      <c r="A122" s="6" t="s">
        <v>133</v>
      </c>
      <c r="B122" s="6" t="s">
        <v>139</v>
      </c>
      <c r="C122" s="6">
        <v>-4.6051711715030925E-2</v>
      </c>
      <c r="D122" s="6">
        <v>-8.3851095881230658E-2</v>
      </c>
      <c r="E122" s="6">
        <v>2.9549482141621172E-2</v>
      </c>
      <c r="F122" s="6">
        <v>-0.19824802405540123</v>
      </c>
      <c r="G122" s="6">
        <v>-0.84980163127866415</v>
      </c>
      <c r="H122" s="6">
        <v>0.5164298799980489</v>
      </c>
      <c r="I122" s="6">
        <v>-0.58309288953357719</v>
      </c>
      <c r="J122" s="6">
        <v>-0.52364575042304495</v>
      </c>
      <c r="K122" s="6">
        <v>-0.83791932220154486</v>
      </c>
      <c r="L122" s="6">
        <v>-0.38727149515921888</v>
      </c>
      <c r="N122" s="8">
        <f>SQRT((C122-Sheet5!$C$525)^2+(D122-Sheet5!$D$525)^2+(E122-Sheet5!$E$525)^2+(F122-Sheet5!$F$525)^2+(G122-Sheet5!$G$525)^2+(H122-Sheet5!$H$525)^2+(I122-Sheet5!$I$525)^2+(J122-Sheet5!$J$525)^2+(K122-Sheet5!$K$525)^2+(L122-Sheet5!$L$525)^2)</f>
        <v>1.5997468263602024</v>
      </c>
      <c r="O122" s="8">
        <f>SQRT((C122-Sheet5!$C$526)^2+(D122-Sheet5!$D$526)^2+(E122-Sheet5!$E$526)^2+(F122-Sheet5!$F$526)^2+(G122-Sheet5!$G$526)^2+(H122-Sheet5!$H$526)^2+(I122-Sheet5!$I$526)^2+(J122-Sheet5!$J$526)^2+(K122-Sheet5!$K$526)^2+(L122-Sheet5!$L$526)^2)</f>
        <v>3.4345877451370836</v>
      </c>
      <c r="P122" s="12">
        <f t="shared" si="1"/>
        <v>0</v>
      </c>
      <c r="Q122" s="11">
        <f>IF(P122=Sheet1!$M122, 1, 0)</f>
        <v>1</v>
      </c>
    </row>
    <row r="123" spans="1:17" x14ac:dyDescent="0.35">
      <c r="A123" s="6" t="s">
        <v>133</v>
      </c>
      <c r="B123" s="6" t="s">
        <v>140</v>
      </c>
      <c r="C123" s="6">
        <v>-3.6657559387630961E-2</v>
      </c>
      <c r="D123" s="6">
        <v>-0.15750440824173179</v>
      </c>
      <c r="E123" s="6">
        <v>0.36552298730942828</v>
      </c>
      <c r="F123" s="6">
        <v>-0.38004631790191756</v>
      </c>
      <c r="G123" s="6">
        <v>-1.8166700210001441</v>
      </c>
      <c r="H123" s="6">
        <v>-1.3817177529000497</v>
      </c>
      <c r="I123" s="6">
        <v>-1.7701101475187617</v>
      </c>
      <c r="J123" s="6">
        <v>-0.71344204108775977</v>
      </c>
      <c r="K123" s="6">
        <v>0.39835259206729601</v>
      </c>
      <c r="L123" s="6">
        <v>-0.41313242337968759</v>
      </c>
      <c r="N123" s="8">
        <f>SQRT((C123-Sheet5!$C$525)^2+(D123-Sheet5!$D$525)^2+(E123-Sheet5!$E$525)^2+(F123-Sheet5!$F$525)^2+(G123-Sheet5!$G$525)^2+(H123-Sheet5!$H$525)^2+(I123-Sheet5!$I$525)^2+(J123-Sheet5!$J$525)^2+(K123-Sheet5!$K$525)^2+(L123-Sheet5!$L$525)^2)</f>
        <v>2.5559917227465179</v>
      </c>
      <c r="O123" s="8">
        <f>SQRT((C123-Sheet5!$C$526)^2+(D123-Sheet5!$D$526)^2+(E123-Sheet5!$E$526)^2+(F123-Sheet5!$F$526)^2+(G123-Sheet5!$G$526)^2+(H123-Sheet5!$H$526)^2+(I123-Sheet5!$I$526)^2+(J123-Sheet5!$J$526)^2+(K123-Sheet5!$K$526)^2+(L123-Sheet5!$L$526)^2)</f>
        <v>5.1130304545220886</v>
      </c>
      <c r="P123" s="12">
        <f t="shared" si="1"/>
        <v>0</v>
      </c>
      <c r="Q123" s="11">
        <f>IF(P123=Sheet1!$M123, 1, 0)</f>
        <v>1</v>
      </c>
    </row>
    <row r="124" spans="1:17" x14ac:dyDescent="0.35">
      <c r="A124" s="6" t="s">
        <v>133</v>
      </c>
      <c r="B124" s="6" t="s">
        <v>141</v>
      </c>
      <c r="C124" s="6">
        <v>0.34313459899153748</v>
      </c>
      <c r="D124" s="6">
        <v>-8.9988871911273333E-2</v>
      </c>
      <c r="E124" s="6">
        <v>-0.34915749517472278</v>
      </c>
      <c r="F124" s="6">
        <v>-0.20132935106974834</v>
      </c>
      <c r="G124" s="6">
        <v>-0.45782795976995844</v>
      </c>
      <c r="H124" s="6">
        <v>-0.55599121452525291</v>
      </c>
      <c r="I124" s="6">
        <v>-1.4335123428913839</v>
      </c>
      <c r="J124" s="6">
        <v>-1.203116471002724</v>
      </c>
      <c r="K124" s="6">
        <v>0.9585872063815295</v>
      </c>
      <c r="L124" s="6">
        <v>-0.39846230273950839</v>
      </c>
      <c r="N124" s="8">
        <f>SQRT((C124-Sheet5!$C$525)^2+(D124-Sheet5!$D$525)^2+(E124-Sheet5!$E$525)^2+(F124-Sheet5!$F$525)^2+(G124-Sheet5!$G$525)^2+(H124-Sheet5!$H$525)^2+(I124-Sheet5!$I$525)^2+(J124-Sheet5!$J$525)^2+(K124-Sheet5!$K$525)^2+(L124-Sheet5!$L$525)^2)</f>
        <v>1.6659942614021885</v>
      </c>
      <c r="O124" s="8">
        <f>SQRT((C124-Sheet5!$C$526)^2+(D124-Sheet5!$D$526)^2+(E124-Sheet5!$E$526)^2+(F124-Sheet5!$F$526)^2+(G124-Sheet5!$G$526)^2+(H124-Sheet5!$H$526)^2+(I124-Sheet5!$I$526)^2+(J124-Sheet5!$J$526)^2+(K124-Sheet5!$K$526)^2+(L124-Sheet5!$L$526)^2)</f>
        <v>4.6054938161374812</v>
      </c>
      <c r="P124" s="12">
        <f t="shared" si="1"/>
        <v>0</v>
      </c>
      <c r="Q124" s="11">
        <f>IF(P124=Sheet1!$M124, 1, 0)</f>
        <v>1</v>
      </c>
    </row>
    <row r="125" spans="1:17" x14ac:dyDescent="0.35">
      <c r="A125" s="6" t="s">
        <v>133</v>
      </c>
      <c r="B125" s="6" t="s">
        <v>142</v>
      </c>
      <c r="C125" s="6">
        <v>-0.34800660795288568</v>
      </c>
      <c r="D125" s="6">
        <v>-0.58714873034465098</v>
      </c>
      <c r="E125" s="6">
        <v>-0.31452864705435668</v>
      </c>
      <c r="F125" s="6">
        <v>-0.30301314254322465</v>
      </c>
      <c r="G125" s="6">
        <v>-0.42588936431369356</v>
      </c>
      <c r="H125" s="6">
        <v>0.16308571223949248</v>
      </c>
      <c r="I125" s="6">
        <v>-1.4073750133653939</v>
      </c>
      <c r="J125" s="6">
        <v>-0.37560464370456742</v>
      </c>
      <c r="K125" s="6">
        <v>-0.3355860507074982</v>
      </c>
      <c r="L125" s="6">
        <v>-0.39726936436066201</v>
      </c>
      <c r="N125" s="8">
        <f>SQRT((C125-Sheet5!$C$525)^2+(D125-Sheet5!$D$525)^2+(E125-Sheet5!$E$525)^2+(F125-Sheet5!$F$525)^2+(G125-Sheet5!$G$525)^2+(H125-Sheet5!$H$525)^2+(I125-Sheet5!$I$525)^2+(J125-Sheet5!$J$525)^2+(K125-Sheet5!$K$525)^2+(L125-Sheet5!$L$525)^2)</f>
        <v>1.498446034249681</v>
      </c>
      <c r="O125" s="8">
        <f>SQRT((C125-Sheet5!$C$526)^2+(D125-Sheet5!$D$526)^2+(E125-Sheet5!$E$526)^2+(F125-Sheet5!$F$526)^2+(G125-Sheet5!$G$526)^2+(H125-Sheet5!$H$526)^2+(I125-Sheet5!$I$526)^2+(J125-Sheet5!$J$526)^2+(K125-Sheet5!$K$526)^2+(L125-Sheet5!$L$526)^2)</f>
        <v>3.893645002076072</v>
      </c>
      <c r="P125" s="12">
        <f t="shared" si="1"/>
        <v>0</v>
      </c>
      <c r="Q125" s="11">
        <f>IF(P125=Sheet1!$M125, 1, 0)</f>
        <v>1</v>
      </c>
    </row>
    <row r="126" spans="1:17" x14ac:dyDescent="0.35">
      <c r="A126" s="6" t="s">
        <v>133</v>
      </c>
      <c r="B126" s="6" t="s">
        <v>143</v>
      </c>
      <c r="C126" s="6">
        <v>0.75379325787502005</v>
      </c>
      <c r="D126" s="6">
        <v>2.0643705146333677</v>
      </c>
      <c r="E126" s="6">
        <v>1.3937050628832766</v>
      </c>
      <c r="F126" s="6">
        <v>1.6351415494814909</v>
      </c>
      <c r="G126" s="6">
        <v>0.15771587993260558</v>
      </c>
      <c r="H126" s="6">
        <v>1.0017394762639924</v>
      </c>
      <c r="I126" s="6">
        <v>0.45092536634825392</v>
      </c>
      <c r="J126" s="6">
        <v>0.48986644172653154</v>
      </c>
      <c r="K126" s="6">
        <v>-0.63291727059493941</v>
      </c>
      <c r="L126" s="6">
        <v>-0.12810490102920816</v>
      </c>
      <c r="N126" s="8">
        <f>SQRT((C126-Sheet5!$C$525)^2+(D126-Sheet5!$D$525)^2+(E126-Sheet5!$E$525)^2+(F126-Sheet5!$F$525)^2+(G126-Sheet5!$G$525)^2+(H126-Sheet5!$H$525)^2+(I126-Sheet5!$I$525)^2+(J126-Sheet5!$J$525)^2+(K126-Sheet5!$K$525)^2+(L126-Sheet5!$L$525)^2)</f>
        <v>4.2095984301845846</v>
      </c>
      <c r="O126" s="8">
        <f>SQRT((C126-Sheet5!$C$526)^2+(D126-Sheet5!$D$526)^2+(E126-Sheet5!$E$526)^2+(F126-Sheet5!$F$526)^2+(G126-Sheet5!$G$526)^2+(H126-Sheet5!$H$526)^2+(I126-Sheet5!$I$526)^2+(J126-Sheet5!$J$526)^2+(K126-Sheet5!$K$526)^2+(L126-Sheet5!$L$526)^2)</f>
        <v>2.261998321570645</v>
      </c>
      <c r="P126" s="12">
        <f t="shared" si="1"/>
        <v>1</v>
      </c>
      <c r="Q126" s="11">
        <f>IF(P126=Sheet1!$M126, 1, 0)</f>
        <v>0</v>
      </c>
    </row>
    <row r="127" spans="1:17" x14ac:dyDescent="0.35">
      <c r="A127" s="6" t="s">
        <v>144</v>
      </c>
      <c r="B127" s="6" t="s">
        <v>145</v>
      </c>
      <c r="C127" s="6">
        <v>7.3388225019053926E-2</v>
      </c>
      <c r="D127" s="6">
        <v>-0.22501994457219024</v>
      </c>
      <c r="E127" s="6">
        <v>-0.13106943041667257</v>
      </c>
      <c r="F127" s="6">
        <v>-0.31225712358626595</v>
      </c>
      <c r="G127" s="6">
        <v>-0.58267883291717426</v>
      </c>
      <c r="H127" s="6">
        <v>-3.7824919732979537E-2</v>
      </c>
      <c r="I127" s="6">
        <v>-0.90375329810852245</v>
      </c>
      <c r="J127" s="6">
        <v>-0.84629944455306005</v>
      </c>
      <c r="K127" s="6">
        <v>2.1541716905605091</v>
      </c>
      <c r="L127" s="6">
        <v>-0.3533505017248047</v>
      </c>
      <c r="N127" s="8">
        <f>SQRT((C127-Sheet5!$C$525)^2+(D127-Sheet5!$D$525)^2+(E127-Sheet5!$E$525)^2+(F127-Sheet5!$F$525)^2+(G127-Sheet5!$G$525)^2+(H127-Sheet5!$H$525)^2+(I127-Sheet5!$I$525)^2+(J127-Sheet5!$J$525)^2+(K127-Sheet5!$K$525)^2+(L127-Sheet5!$L$525)^2)</f>
        <v>2.1398659068987391</v>
      </c>
      <c r="O127" s="8">
        <f>SQRT((C127-Sheet5!$C$526)^2+(D127-Sheet5!$D$526)^2+(E127-Sheet5!$E$526)^2+(F127-Sheet5!$F$526)^2+(G127-Sheet5!$G$526)^2+(H127-Sheet5!$H$526)^2+(I127-Sheet5!$I$526)^2+(J127-Sheet5!$J$526)^2+(K127-Sheet5!$K$526)^2+(L127-Sheet5!$L$526)^2)</f>
        <v>4.6584237755608662</v>
      </c>
      <c r="P127" s="12">
        <f t="shared" si="1"/>
        <v>0</v>
      </c>
      <c r="Q127" s="11">
        <f>IF(P127=Sheet1!$M127, 1, 0)</f>
        <v>1</v>
      </c>
    </row>
    <row r="128" spans="1:17" x14ac:dyDescent="0.35">
      <c r="A128" s="6" t="s">
        <v>144</v>
      </c>
      <c r="B128" s="6" t="s">
        <v>146</v>
      </c>
      <c r="C128" s="6">
        <v>-6.2155972847716408E-2</v>
      </c>
      <c r="D128" s="6">
        <v>-0.67307759476523532</v>
      </c>
      <c r="E128" s="6">
        <v>-0.39004900731685721</v>
      </c>
      <c r="F128" s="6">
        <v>-0.50484006198299824</v>
      </c>
      <c r="G128" s="6">
        <v>-0.28652094777726311</v>
      </c>
      <c r="H128" s="6">
        <v>-0.44395525889449122</v>
      </c>
      <c r="I128" s="6">
        <v>-1.3538253626292205</v>
      </c>
      <c r="J128" s="6">
        <v>-0.80834018642011707</v>
      </c>
      <c r="K128" s="6">
        <v>-0.11024028405596094</v>
      </c>
      <c r="L128" s="6">
        <v>-0.23066627997772018</v>
      </c>
      <c r="N128" s="8">
        <f>SQRT((C128-Sheet5!$C$525)^2+(D128-Sheet5!$D$525)^2+(E128-Sheet5!$E$525)^2+(F128-Sheet5!$F$525)^2+(G128-Sheet5!$G$525)^2+(H128-Sheet5!$H$525)^2+(I128-Sheet5!$I$525)^2+(J128-Sheet5!$J$525)^2+(K128-Sheet5!$K$525)^2+(L128-Sheet5!$L$525)^2)</f>
        <v>1.2900153908689425</v>
      </c>
      <c r="O128" s="8">
        <f>SQRT((C128-Sheet5!$C$526)^2+(D128-Sheet5!$D$526)^2+(E128-Sheet5!$E$526)^2+(F128-Sheet5!$F$526)^2+(G128-Sheet5!$G$526)^2+(H128-Sheet5!$H$526)^2+(I128-Sheet5!$I$526)^2+(J128-Sheet5!$J$526)^2+(K128-Sheet5!$K$526)^2+(L128-Sheet5!$L$526)^2)</f>
        <v>4.2538036325360125</v>
      </c>
      <c r="P128" s="12">
        <f t="shared" si="1"/>
        <v>0</v>
      </c>
      <c r="Q128" s="11">
        <f>IF(P128=Sheet1!$M128, 1, 0)</f>
        <v>1</v>
      </c>
    </row>
    <row r="129" spans="1:17" x14ac:dyDescent="0.35">
      <c r="A129" s="6" t="s">
        <v>144</v>
      </c>
      <c r="B129" s="6" t="s">
        <v>147</v>
      </c>
      <c r="C129" s="6">
        <v>0.25724520628388092</v>
      </c>
      <c r="D129" s="6">
        <v>-0.45211765768373352</v>
      </c>
      <c r="E129" s="6">
        <v>-0.14506832646533119</v>
      </c>
      <c r="F129" s="6">
        <v>-0.22135797666300996</v>
      </c>
      <c r="G129" s="6">
        <v>-6.8757796939092355E-2</v>
      </c>
      <c r="H129" s="6">
        <v>0.92633065997405695</v>
      </c>
      <c r="I129" s="6">
        <v>0.17743965008850993</v>
      </c>
      <c r="J129" s="6">
        <v>7.9906453890747658E-2</v>
      </c>
      <c r="K129" s="6">
        <v>-0.53432849768489332</v>
      </c>
      <c r="L129" s="6">
        <v>0.17921940270797443</v>
      </c>
      <c r="N129" s="8">
        <f>SQRT((C129-Sheet5!$C$525)^2+(D129-Sheet5!$D$525)^2+(E129-Sheet5!$E$525)^2+(F129-Sheet5!$F$525)^2+(G129-Sheet5!$G$525)^2+(H129-Sheet5!$H$525)^2+(I129-Sheet5!$I$525)^2+(J129-Sheet5!$J$525)^2+(K129-Sheet5!$K$525)^2+(L129-Sheet5!$L$525)^2)</f>
        <v>1.6800741575492799</v>
      </c>
      <c r="O129" s="8">
        <f>SQRT((C129-Sheet5!$C$526)^2+(D129-Sheet5!$D$526)^2+(E129-Sheet5!$E$526)^2+(F129-Sheet5!$F$526)^2+(G129-Sheet5!$G$526)^2+(H129-Sheet5!$H$526)^2+(I129-Sheet5!$I$526)^2+(J129-Sheet5!$J$526)^2+(K129-Sheet5!$K$526)^2+(L129-Sheet5!$L$526)^2)</f>
        <v>2.8087751525559339</v>
      </c>
      <c r="P129" s="12">
        <f t="shared" si="1"/>
        <v>0</v>
      </c>
      <c r="Q129" s="11">
        <f>IF(P129=Sheet1!$M129, 1, 0)</f>
        <v>1</v>
      </c>
    </row>
    <row r="130" spans="1:17" x14ac:dyDescent="0.35">
      <c r="A130" s="6" t="s">
        <v>144</v>
      </c>
      <c r="B130" s="6" t="s">
        <v>148</v>
      </c>
      <c r="C130" s="6">
        <v>0.3766851430179658</v>
      </c>
      <c r="D130" s="6">
        <v>-0.40915322547344196</v>
      </c>
      <c r="E130" s="6">
        <v>-0.11007108634368462</v>
      </c>
      <c r="F130" s="6">
        <v>-4.1100346323668296E-2</v>
      </c>
      <c r="G130" s="6">
        <v>0.32611938324745715</v>
      </c>
      <c r="H130" s="6">
        <v>0.48949815989450041</v>
      </c>
      <c r="I130" s="6">
        <v>-5.0146365540228978E-2</v>
      </c>
      <c r="J130" s="6">
        <v>-0.76278907666058571</v>
      </c>
      <c r="K130" s="6">
        <v>-0.12432439447168243</v>
      </c>
      <c r="L130" s="6">
        <v>0.14702417061640474</v>
      </c>
      <c r="N130" s="8">
        <f>SQRT((C130-Sheet5!$C$525)^2+(D130-Sheet5!$D$525)^2+(E130-Sheet5!$E$525)^2+(F130-Sheet5!$F$525)^2+(G130-Sheet5!$G$525)^2+(H130-Sheet5!$H$525)^2+(I130-Sheet5!$I$525)^2+(J130-Sheet5!$J$525)^2+(K130-Sheet5!$K$525)^2+(L130-Sheet5!$L$525)^2)</f>
        <v>1.3197853444521377</v>
      </c>
      <c r="O130" s="8">
        <f>SQRT((C130-Sheet5!$C$526)^2+(D130-Sheet5!$D$526)^2+(E130-Sheet5!$E$526)^2+(F130-Sheet5!$F$526)^2+(G130-Sheet5!$G$526)^2+(H130-Sheet5!$H$526)^2+(I130-Sheet5!$I$526)^2+(J130-Sheet5!$J$526)^2+(K130-Sheet5!$K$526)^2+(L130-Sheet5!$L$526)^2)</f>
        <v>3.1001318645716416</v>
      </c>
      <c r="P130" s="12">
        <f t="shared" si="1"/>
        <v>0</v>
      </c>
      <c r="Q130" s="11">
        <f>IF(P130=Sheet1!$M130, 1, 0)</f>
        <v>1</v>
      </c>
    </row>
    <row r="131" spans="1:17" x14ac:dyDescent="0.35">
      <c r="A131" s="6" t="s">
        <v>144</v>
      </c>
      <c r="B131" s="6" t="s">
        <v>149</v>
      </c>
      <c r="C131" s="6">
        <v>-3.7999581148688066E-2</v>
      </c>
      <c r="D131" s="6">
        <v>-0.5196331940141925</v>
      </c>
      <c r="E131" s="6">
        <v>0.3441562512351598</v>
      </c>
      <c r="F131" s="6">
        <v>4.6717473585242759E-2</v>
      </c>
      <c r="G131" s="6">
        <v>6.1900093563810932E-2</v>
      </c>
      <c r="H131" s="6">
        <v>0.11676315366138909</v>
      </c>
      <c r="I131" s="6">
        <v>-0.39758159948326027</v>
      </c>
      <c r="J131" s="6">
        <v>-0.28450242418550464</v>
      </c>
      <c r="K131" s="6">
        <v>0.43747512099985425</v>
      </c>
      <c r="L131" s="6">
        <v>0.55885733168302165</v>
      </c>
      <c r="N131" s="8">
        <f>SQRT((C131-Sheet5!$C$525)^2+(D131-Sheet5!$D$525)^2+(E131-Sheet5!$E$525)^2+(F131-Sheet5!$F$525)^2+(G131-Sheet5!$G$525)^2+(H131-Sheet5!$H$525)^2+(I131-Sheet5!$I$525)^2+(J131-Sheet5!$J$525)^2+(K131-Sheet5!$K$525)^2+(L131-Sheet5!$L$525)^2)</f>
        <v>1.3949933305073339</v>
      </c>
      <c r="O131" s="8">
        <f>SQRT((C131-Sheet5!$C$526)^2+(D131-Sheet5!$D$526)^2+(E131-Sheet5!$E$526)^2+(F131-Sheet5!$F$526)^2+(G131-Sheet5!$G$526)^2+(H131-Sheet5!$H$526)^2+(I131-Sheet5!$I$526)^2+(J131-Sheet5!$J$526)^2+(K131-Sheet5!$K$526)^2+(L131-Sheet5!$L$526)^2)</f>
        <v>2.9383371493354558</v>
      </c>
      <c r="P131" s="12">
        <f t="shared" ref="P131:P194" si="2">IF(N131&lt;=O131, 0, 1)</f>
        <v>0</v>
      </c>
      <c r="Q131" s="11">
        <f>IF(P131=Sheet1!$M131, 1, 0)</f>
        <v>1</v>
      </c>
    </row>
    <row r="132" spans="1:17" x14ac:dyDescent="0.35">
      <c r="A132" s="6" t="s">
        <v>144</v>
      </c>
      <c r="B132" s="6" t="s">
        <v>150</v>
      </c>
      <c r="C132" s="6">
        <v>0.98730504429896082</v>
      </c>
      <c r="D132" s="6">
        <v>-5.9299991761064347E-2</v>
      </c>
      <c r="E132" s="6">
        <v>-0.58492837599423653</v>
      </c>
      <c r="F132" s="6">
        <v>-0.31379778709344058</v>
      </c>
      <c r="G132" s="6">
        <v>-0.103599901073201</v>
      </c>
      <c r="H132" s="6">
        <v>-0.11700417683741206</v>
      </c>
      <c r="I132" s="6">
        <v>-1.4252248969441188</v>
      </c>
      <c r="J132" s="6">
        <v>0.41015199964735133</v>
      </c>
      <c r="K132" s="6">
        <v>-0.4326099224602411</v>
      </c>
      <c r="L132" s="6">
        <v>-0.10941019093429626</v>
      </c>
      <c r="N132" s="8">
        <f>SQRT((C132-Sheet5!$C$525)^2+(D132-Sheet5!$D$525)^2+(E132-Sheet5!$E$525)^2+(F132-Sheet5!$F$525)^2+(G132-Sheet5!$G$525)^2+(H132-Sheet5!$H$525)^2+(I132-Sheet5!$I$525)^2+(J132-Sheet5!$J$525)^2+(K132-Sheet5!$K$525)^2+(L132-Sheet5!$L$525)^2)</f>
        <v>1.7860073529015212</v>
      </c>
      <c r="O132" s="8">
        <f>SQRT((C132-Sheet5!$C$526)^2+(D132-Sheet5!$D$526)^2+(E132-Sheet5!$E$526)^2+(F132-Sheet5!$F$526)^2+(G132-Sheet5!$G$526)^2+(H132-Sheet5!$H$526)^2+(I132-Sheet5!$I$526)^2+(J132-Sheet5!$J$526)^2+(K132-Sheet5!$K$526)^2+(L132-Sheet5!$L$526)^2)</f>
        <v>3.8555571591341273</v>
      </c>
      <c r="P132" s="12">
        <f t="shared" si="2"/>
        <v>0</v>
      </c>
      <c r="Q132" s="11">
        <f>IF(P132=Sheet1!$M132, 1, 0)</f>
        <v>1</v>
      </c>
    </row>
    <row r="133" spans="1:17" x14ac:dyDescent="0.35">
      <c r="A133" s="6" t="s">
        <v>144</v>
      </c>
      <c r="B133" s="6" t="s">
        <v>151</v>
      </c>
      <c r="C133" s="6">
        <v>0.10962281256759644</v>
      </c>
      <c r="D133" s="6">
        <v>-0.44597988165369196</v>
      </c>
      <c r="E133" s="6">
        <v>-0.42430946343594278</v>
      </c>
      <c r="F133" s="6">
        <v>-0.3630990193230052</v>
      </c>
      <c r="G133" s="6">
        <v>-5.7143762227725561E-2</v>
      </c>
      <c r="H133" s="6">
        <v>7.8520111114349797E-2</v>
      </c>
      <c r="I133" s="6">
        <v>-1.2760508698933488</v>
      </c>
      <c r="J133" s="6">
        <v>-0.64511537644846251</v>
      </c>
      <c r="K133" s="6">
        <v>0.83183021264004053</v>
      </c>
      <c r="L133" s="6">
        <v>-0.25549545398970647</v>
      </c>
      <c r="N133" s="8">
        <f>SQRT((C133-Sheet5!$C$525)^2+(D133-Sheet5!$D$525)^2+(E133-Sheet5!$E$525)^2+(F133-Sheet5!$F$525)^2+(G133-Sheet5!$G$525)^2+(H133-Sheet5!$H$525)^2+(I133-Sheet5!$I$525)^2+(J133-Sheet5!$J$525)^2+(K133-Sheet5!$K$525)^2+(L133-Sheet5!$L$525)^2)</f>
        <v>1.2872082262794871</v>
      </c>
      <c r="O133" s="8">
        <f>SQRT((C133-Sheet5!$C$526)^2+(D133-Sheet5!$D$526)^2+(E133-Sheet5!$E$526)^2+(F133-Sheet5!$F$526)^2+(G133-Sheet5!$G$526)^2+(H133-Sheet5!$H$526)^2+(I133-Sheet5!$I$526)^2+(J133-Sheet5!$J$526)^2+(K133-Sheet5!$K$526)^2+(L133-Sheet5!$L$526)^2)</f>
        <v>4.107066277362752</v>
      </c>
      <c r="P133" s="12">
        <f t="shared" si="2"/>
        <v>0</v>
      </c>
      <c r="Q133" s="11">
        <f>IF(P133=Sheet1!$M133, 1, 0)</f>
        <v>1</v>
      </c>
    </row>
    <row r="134" spans="1:17" x14ac:dyDescent="0.35">
      <c r="A134" s="6" t="s">
        <v>144</v>
      </c>
      <c r="B134" s="6" t="s">
        <v>152</v>
      </c>
      <c r="C134" s="6">
        <v>-0.34934862971394282</v>
      </c>
      <c r="D134" s="6">
        <v>-0.54418429813435942</v>
      </c>
      <c r="E134" s="6">
        <v>0.15111884256418295</v>
      </c>
      <c r="F134" s="6">
        <v>-0.18438205249083597</v>
      </c>
      <c r="G134" s="6">
        <v>0.10254921505360297</v>
      </c>
      <c r="H134" s="6">
        <v>0.41085753719213836</v>
      </c>
      <c r="I134" s="6">
        <v>-0.28601982711623164</v>
      </c>
      <c r="J134" s="6">
        <v>-0.3642168662646848</v>
      </c>
      <c r="K134" s="6">
        <v>-0.17909593497726528</v>
      </c>
      <c r="L134" s="6">
        <v>-0.12330485565918529</v>
      </c>
      <c r="N134" s="8">
        <f>SQRT((C134-Sheet5!$C$525)^2+(D134-Sheet5!$D$525)^2+(E134-Sheet5!$E$525)^2+(F134-Sheet5!$F$525)^2+(G134-Sheet5!$G$525)^2+(H134-Sheet5!$H$525)^2+(I134-Sheet5!$I$525)^2+(J134-Sheet5!$J$525)^2+(K134-Sheet5!$K$525)^2+(L134-Sheet5!$L$525)^2)</f>
        <v>1.2761533552390505</v>
      </c>
      <c r="O134" s="8">
        <f>SQRT((C134-Sheet5!$C$526)^2+(D134-Sheet5!$D$526)^2+(E134-Sheet5!$E$526)^2+(F134-Sheet5!$F$526)^2+(G134-Sheet5!$G$526)^2+(H134-Sheet5!$H$526)^2+(I134-Sheet5!$I$526)^2+(J134-Sheet5!$J$526)^2+(K134-Sheet5!$K$526)^2+(L134-Sheet5!$L$526)^2)</f>
        <v>2.9320033525870701</v>
      </c>
      <c r="P134" s="12">
        <f t="shared" si="2"/>
        <v>0</v>
      </c>
      <c r="Q134" s="11">
        <f>IF(P134=Sheet1!$M134, 1, 0)</f>
        <v>1</v>
      </c>
    </row>
    <row r="135" spans="1:17" x14ac:dyDescent="0.35">
      <c r="A135" s="6" t="s">
        <v>144</v>
      </c>
      <c r="B135" s="6" t="s">
        <v>153</v>
      </c>
      <c r="C135" s="6">
        <v>0.38071120830113708</v>
      </c>
      <c r="D135" s="6">
        <v>-0.44597988165369196</v>
      </c>
      <c r="E135" s="6">
        <v>-0.8807471530224702</v>
      </c>
      <c r="F135" s="6">
        <v>-0.5834139008488658</v>
      </c>
      <c r="G135" s="6">
        <v>-0.14715253124083269</v>
      </c>
      <c r="H135" s="6">
        <v>0.35160775296433194</v>
      </c>
      <c r="I135" s="6">
        <v>0.12325250351023832</v>
      </c>
      <c r="J135" s="6">
        <v>-0.33005353394503589</v>
      </c>
      <c r="K135" s="6">
        <v>-0.63291727059493941</v>
      </c>
      <c r="L135" s="6">
        <v>-0.21880394830264746</v>
      </c>
      <c r="N135" s="8">
        <f>SQRT((C135-Sheet5!$C$525)^2+(D135-Sheet5!$D$525)^2+(E135-Sheet5!$E$525)^2+(F135-Sheet5!$F$525)^2+(G135-Sheet5!$G$525)^2+(H135-Sheet5!$H$525)^2+(I135-Sheet5!$I$525)^2+(J135-Sheet5!$J$525)^2+(K135-Sheet5!$K$525)^2+(L135-Sheet5!$L$525)^2)</f>
        <v>1.2575215823340873</v>
      </c>
      <c r="O135" s="8">
        <f>SQRT((C135-Sheet5!$C$526)^2+(D135-Sheet5!$D$526)^2+(E135-Sheet5!$E$526)^2+(F135-Sheet5!$F$526)^2+(G135-Sheet5!$G$526)^2+(H135-Sheet5!$H$526)^2+(I135-Sheet5!$I$526)^2+(J135-Sheet5!$J$526)^2+(K135-Sheet5!$K$526)^2+(L135-Sheet5!$L$526)^2)</f>
        <v>3.6145249249988849</v>
      </c>
      <c r="P135" s="12">
        <f t="shared" si="2"/>
        <v>0</v>
      </c>
      <c r="Q135" s="11">
        <f>IF(P135=Sheet1!$M135, 1, 0)</f>
        <v>1</v>
      </c>
    </row>
    <row r="136" spans="1:17" x14ac:dyDescent="0.35">
      <c r="A136" s="6" t="s">
        <v>144</v>
      </c>
      <c r="B136" s="6" t="s">
        <v>154</v>
      </c>
      <c r="C136" s="6">
        <v>-0.29029967222742903</v>
      </c>
      <c r="D136" s="6">
        <v>-2.8611111610855368E-2</v>
      </c>
      <c r="E136" s="6">
        <v>-8.3948939902693219E-3</v>
      </c>
      <c r="F136" s="6">
        <v>8.0612070743067463E-2</v>
      </c>
      <c r="G136" s="6">
        <v>0.17804044067749952</v>
      </c>
      <c r="H136" s="6">
        <v>0.63062037323709397</v>
      </c>
      <c r="I136" s="6">
        <v>0.73588600776575075</v>
      </c>
      <c r="J136" s="6">
        <v>-7.9522430267612701E-2</v>
      </c>
      <c r="K136" s="6">
        <v>-0.38096818426926449</v>
      </c>
      <c r="L136" s="6">
        <v>-0.29449262045960378</v>
      </c>
      <c r="N136" s="8">
        <f>SQRT((C136-Sheet5!$C$525)^2+(D136-Sheet5!$D$525)^2+(E136-Sheet5!$E$525)^2+(F136-Sheet5!$F$525)^2+(G136-Sheet5!$G$525)^2+(H136-Sheet5!$H$525)^2+(I136-Sheet5!$I$525)^2+(J136-Sheet5!$J$525)^2+(K136-Sheet5!$K$525)^2+(L136-Sheet5!$L$525)^2)</f>
        <v>1.8558110355733102</v>
      </c>
      <c r="O136" s="8">
        <f>SQRT((C136-Sheet5!$C$526)^2+(D136-Sheet5!$D$526)^2+(E136-Sheet5!$E$526)^2+(F136-Sheet5!$F$526)^2+(G136-Sheet5!$G$526)^2+(H136-Sheet5!$H$526)^2+(I136-Sheet5!$I$526)^2+(J136-Sheet5!$J$526)^2+(K136-Sheet5!$K$526)^2+(L136-Sheet5!$L$526)^2)</f>
        <v>2.340166204173141</v>
      </c>
      <c r="P136" s="12">
        <f t="shared" si="2"/>
        <v>0</v>
      </c>
      <c r="Q136" s="11">
        <f>IF(P136=Sheet1!$M136, 1, 0)</f>
        <v>1</v>
      </c>
    </row>
    <row r="137" spans="1:17" x14ac:dyDescent="0.35">
      <c r="A137" s="6" t="s">
        <v>144</v>
      </c>
      <c r="B137" s="6" t="s">
        <v>155</v>
      </c>
      <c r="C137" s="6">
        <v>-0.63519926481911193</v>
      </c>
      <c r="D137" s="6">
        <v>-0.83265977154631954</v>
      </c>
      <c r="E137" s="6">
        <v>-0.86380112096356765</v>
      </c>
      <c r="F137" s="6">
        <v>-0.90695323735537514</v>
      </c>
      <c r="G137" s="6">
        <v>-0.40556480356879548</v>
      </c>
      <c r="H137" s="6">
        <v>9.5756411980621223E-2</v>
      </c>
      <c r="I137" s="6">
        <v>-0.31024466911592991</v>
      </c>
      <c r="J137" s="6">
        <v>-0.62233982156869672</v>
      </c>
      <c r="K137" s="6">
        <v>-3.9819731977357914E-2</v>
      </c>
      <c r="L137" s="6">
        <v>-0.31043236419540871</v>
      </c>
      <c r="N137" s="8">
        <f>SQRT((C137-Sheet5!$C$525)^2+(D137-Sheet5!$D$525)^2+(E137-Sheet5!$E$525)^2+(F137-Sheet5!$F$525)^2+(G137-Sheet5!$G$525)^2+(H137-Sheet5!$H$525)^2+(I137-Sheet5!$I$525)^2+(J137-Sheet5!$J$525)^2+(K137-Sheet5!$K$525)^2+(L137-Sheet5!$L$525)^2)</f>
        <v>1.2980836217378049</v>
      </c>
      <c r="O137" s="8">
        <f>SQRT((C137-Sheet5!$C$526)^2+(D137-Sheet5!$D$526)^2+(E137-Sheet5!$E$526)^2+(F137-Sheet5!$F$526)^2+(G137-Sheet5!$G$526)^2+(H137-Sheet5!$H$526)^2+(I137-Sheet5!$I$526)^2+(J137-Sheet5!$J$526)^2+(K137-Sheet5!$K$526)^2+(L137-Sheet5!$L$526)^2)</f>
        <v>4.1350212704135743</v>
      </c>
      <c r="P137" s="12">
        <f t="shared" si="2"/>
        <v>0</v>
      </c>
      <c r="Q137" s="11">
        <f>IF(P137=Sheet1!$M137, 1, 0)</f>
        <v>1</v>
      </c>
    </row>
    <row r="138" spans="1:17" x14ac:dyDescent="0.35">
      <c r="A138" s="6" t="s">
        <v>144</v>
      </c>
      <c r="B138" s="6" t="s">
        <v>156</v>
      </c>
      <c r="C138" s="6">
        <v>-0.53052156745665557</v>
      </c>
      <c r="D138" s="6">
        <v>-0.64238871461502689</v>
      </c>
      <c r="E138" s="6">
        <v>-0.70097185639759096</v>
      </c>
      <c r="F138" s="6">
        <v>-0.57108859279147517</v>
      </c>
      <c r="G138" s="6">
        <v>0.10835623240928637</v>
      </c>
      <c r="H138" s="6">
        <v>-0.10084514477528311</v>
      </c>
      <c r="I138" s="6">
        <v>-2.6983040936124398</v>
      </c>
      <c r="J138" s="6">
        <v>-0.64891130226175675</v>
      </c>
      <c r="K138" s="6">
        <v>0.44686452794366632</v>
      </c>
      <c r="L138" s="6">
        <v>-0.29239018462373983</v>
      </c>
      <c r="N138" s="8">
        <f>SQRT((C138-Sheet5!$C$525)^2+(D138-Sheet5!$D$525)^2+(E138-Sheet5!$E$525)^2+(F138-Sheet5!$F$525)^2+(G138-Sheet5!$G$525)^2+(H138-Sheet5!$H$525)^2+(I138-Sheet5!$I$525)^2+(J138-Sheet5!$J$525)^2+(K138-Sheet5!$K$525)^2+(L138-Sheet5!$L$525)^2)</f>
        <v>2.6450324983977831</v>
      </c>
      <c r="O138" s="8">
        <f>SQRT((C138-Sheet5!$C$526)^2+(D138-Sheet5!$D$526)^2+(E138-Sheet5!$E$526)^2+(F138-Sheet5!$F$526)^2+(G138-Sheet5!$G$526)^2+(H138-Sheet5!$H$526)^2+(I138-Sheet5!$I$526)^2+(J138-Sheet5!$J$526)^2+(K138-Sheet5!$K$526)^2+(L138-Sheet5!$L$526)^2)</f>
        <v>5.0130447944155456</v>
      </c>
      <c r="P138" s="12">
        <f t="shared" si="2"/>
        <v>0</v>
      </c>
      <c r="Q138" s="11">
        <f>IF(P138=Sheet1!$M138, 1, 0)</f>
        <v>1</v>
      </c>
    </row>
    <row r="139" spans="1:17" x14ac:dyDescent="0.35">
      <c r="A139" s="6" t="s">
        <v>144</v>
      </c>
      <c r="B139" s="6" t="s">
        <v>157</v>
      </c>
      <c r="C139" s="6">
        <v>0.34045055546942327</v>
      </c>
      <c r="D139" s="6">
        <v>-0.15136663221169019</v>
      </c>
      <c r="E139" s="6">
        <v>-0.66008034425545659</v>
      </c>
      <c r="F139" s="6">
        <v>-0.86689598616885621</v>
      </c>
      <c r="G139" s="6">
        <v>-1.7411787953762454</v>
      </c>
      <c r="H139" s="6">
        <v>-2.8129500495701707E-2</v>
      </c>
      <c r="I139" s="6">
        <v>-0.67616728247978353</v>
      </c>
      <c r="J139" s="6">
        <v>-0.75140129922070276</v>
      </c>
      <c r="K139" s="6">
        <v>0.80679179412320379</v>
      </c>
      <c r="L139" s="6">
        <v>-0.39347173659357432</v>
      </c>
      <c r="N139" s="8">
        <f>SQRT((C139-Sheet5!$C$525)^2+(D139-Sheet5!$D$525)^2+(E139-Sheet5!$E$525)^2+(F139-Sheet5!$F$525)^2+(G139-Sheet5!$G$525)^2+(H139-Sheet5!$H$525)^2+(I139-Sheet5!$I$525)^2+(J139-Sheet5!$J$525)^2+(K139-Sheet5!$K$525)^2+(L139-Sheet5!$L$525)^2)</f>
        <v>1.7133182552750843</v>
      </c>
      <c r="O139" s="8">
        <f>SQRT((C139-Sheet5!$C$526)^2+(D139-Sheet5!$D$526)^2+(E139-Sheet5!$E$526)^2+(F139-Sheet5!$F$526)^2+(G139-Sheet5!$G$526)^2+(H139-Sheet5!$H$526)^2+(I139-Sheet5!$I$526)^2+(J139-Sheet5!$J$526)^2+(K139-Sheet5!$K$526)^2+(L139-Sheet5!$L$526)^2)</f>
        <v>4.8553989434509628</v>
      </c>
      <c r="P139" s="12">
        <f t="shared" si="2"/>
        <v>0</v>
      </c>
      <c r="Q139" s="11">
        <f>IF(P139=Sheet1!$M139, 1, 0)</f>
        <v>1</v>
      </c>
    </row>
    <row r="140" spans="1:17" x14ac:dyDescent="0.35">
      <c r="A140" s="6" t="s">
        <v>144</v>
      </c>
      <c r="B140" s="6" t="s">
        <v>158</v>
      </c>
      <c r="C140" s="6">
        <v>-0.42450184833314225</v>
      </c>
      <c r="D140" s="6">
        <v>1.5426595520798214</v>
      </c>
      <c r="E140" s="6">
        <v>0.70812754850028414</v>
      </c>
      <c r="F140" s="6">
        <v>1.1791051513580277</v>
      </c>
      <c r="G140" s="6">
        <v>0.51194393862936305</v>
      </c>
      <c r="H140" s="6">
        <v>0.98288727219150862</v>
      </c>
      <c r="I140" s="6">
        <v>0.84999776350116807</v>
      </c>
      <c r="J140" s="6">
        <v>1.4388478950501051</v>
      </c>
      <c r="K140" s="6">
        <v>-0.35749466690972864</v>
      </c>
      <c r="L140" s="6">
        <v>0.3730600835852288</v>
      </c>
      <c r="N140" s="8">
        <f>SQRT((C140-Sheet5!$C$525)^2+(D140-Sheet5!$D$525)^2+(E140-Sheet5!$E$525)^2+(F140-Sheet5!$F$525)^2+(G140-Sheet5!$G$525)^2+(H140-Sheet5!$H$525)^2+(I140-Sheet5!$I$525)^2+(J140-Sheet5!$J$525)^2+(K140-Sheet5!$K$525)^2+(L140-Sheet5!$L$525)^2)</f>
        <v>3.9638692633506825</v>
      </c>
      <c r="O140" s="8">
        <f>SQRT((C140-Sheet5!$C$526)^2+(D140-Sheet5!$D$526)^2+(E140-Sheet5!$E$526)^2+(F140-Sheet5!$F$526)^2+(G140-Sheet5!$G$526)^2+(H140-Sheet5!$H$526)^2+(I140-Sheet5!$I$526)^2+(J140-Sheet5!$J$526)^2+(K140-Sheet5!$K$526)^2+(L140-Sheet5!$L$526)^2)</f>
        <v>1.041637238138186</v>
      </c>
      <c r="P140" s="12">
        <f t="shared" si="2"/>
        <v>1</v>
      </c>
      <c r="Q140" s="11">
        <f>IF(P140=Sheet1!$M140, 1, 0)</f>
        <v>0</v>
      </c>
    </row>
    <row r="141" spans="1:17" x14ac:dyDescent="0.35">
      <c r="A141" s="6" t="s">
        <v>144</v>
      </c>
      <c r="B141" s="6" t="s">
        <v>159</v>
      </c>
      <c r="C141" s="6">
        <v>-0.44865824003217064</v>
      </c>
      <c r="D141" s="6">
        <v>1.5549351041399058</v>
      </c>
      <c r="E141" s="6">
        <v>0.58618979607644195</v>
      </c>
      <c r="F141" s="6">
        <v>1.1652391797934625</v>
      </c>
      <c r="G141" s="6">
        <v>0.58162814689757625</v>
      </c>
      <c r="H141" s="6">
        <v>0.93925788562376</v>
      </c>
      <c r="I141" s="6">
        <v>0.59882440171482954</v>
      </c>
      <c r="J141" s="6">
        <v>-2.2583543068198139E-2</v>
      </c>
      <c r="K141" s="6">
        <v>-0.4310450213029402</v>
      </c>
      <c r="L141" s="6">
        <v>-0.36787124387990067</v>
      </c>
      <c r="N141" s="8">
        <f>SQRT((C141-Sheet5!$C$525)^2+(D141-Sheet5!$D$525)^2+(E141-Sheet5!$E$525)^2+(F141-Sheet5!$F$525)^2+(G141-Sheet5!$G$525)^2+(H141-Sheet5!$H$525)^2+(I141-Sheet5!$I$525)^2+(J141-Sheet5!$J$525)^2+(K141-Sheet5!$K$525)^2+(L141-Sheet5!$L$525)^2)</f>
        <v>3.3883934875457484</v>
      </c>
      <c r="O141" s="8">
        <f>SQRT((C141-Sheet5!$C$526)^2+(D141-Sheet5!$D$526)^2+(E141-Sheet5!$E$526)^2+(F141-Sheet5!$F$526)^2+(G141-Sheet5!$G$526)^2+(H141-Sheet5!$H$526)^2+(I141-Sheet5!$I$526)^2+(J141-Sheet5!$J$526)^2+(K141-Sheet5!$K$526)^2+(L141-Sheet5!$L$526)^2)</f>
        <v>1.6619348044947913</v>
      </c>
      <c r="P141" s="12">
        <f t="shared" si="2"/>
        <v>1</v>
      </c>
      <c r="Q141" s="11">
        <f>IF(P141=Sheet1!$M141, 1, 0)</f>
        <v>0</v>
      </c>
    </row>
    <row r="142" spans="1:17" x14ac:dyDescent="0.35">
      <c r="A142" s="6" t="s">
        <v>160</v>
      </c>
      <c r="B142" s="6" t="s">
        <v>161</v>
      </c>
      <c r="C142" s="6">
        <v>-1.0015712055877091</v>
      </c>
      <c r="D142" s="6">
        <v>-0.11453997603143964</v>
      </c>
      <c r="E142" s="6">
        <v>0.77333293272693093</v>
      </c>
      <c r="F142" s="6">
        <v>0.39028543568501156</v>
      </c>
      <c r="G142" s="6">
        <v>0.43064569564977895</v>
      </c>
      <c r="H142" s="6">
        <v>0.99796903544949589</v>
      </c>
      <c r="I142" s="6">
        <v>-1.3321505039979122</v>
      </c>
      <c r="J142" s="6">
        <v>0.34562126082134836</v>
      </c>
      <c r="K142" s="6">
        <v>-1.0617001876957779</v>
      </c>
      <c r="L142" s="6">
        <v>-0.23465894184464939</v>
      </c>
      <c r="N142" s="8">
        <f>SQRT((C142-Sheet5!$C$525)^2+(D142-Sheet5!$D$525)^2+(E142-Sheet5!$E$525)^2+(F142-Sheet5!$F$525)^2+(G142-Sheet5!$G$525)^2+(H142-Sheet5!$H$525)^2+(I142-Sheet5!$I$525)^2+(J142-Sheet5!$J$525)^2+(K142-Sheet5!$K$525)^2+(L142-Sheet5!$L$525)^2)</f>
        <v>3.0497698850623416</v>
      </c>
      <c r="O142" s="8">
        <f>SQRT((C142-Sheet5!$C$526)^2+(D142-Sheet5!$D$526)^2+(E142-Sheet5!$E$526)^2+(F142-Sheet5!$F$526)^2+(G142-Sheet5!$G$526)^2+(H142-Sheet5!$H$526)^2+(I142-Sheet5!$I$526)^2+(J142-Sheet5!$J$526)^2+(K142-Sheet5!$K$526)^2+(L142-Sheet5!$L$526)^2)</f>
        <v>2.7246023224500022</v>
      </c>
      <c r="P142" s="12">
        <f t="shared" si="2"/>
        <v>1</v>
      </c>
      <c r="Q142" s="11">
        <f>IF(P142=Sheet1!$M142, 1, 0)</f>
        <v>0</v>
      </c>
    </row>
    <row r="143" spans="1:17" x14ac:dyDescent="0.35">
      <c r="A143" s="6" t="s">
        <v>160</v>
      </c>
      <c r="B143" s="6" t="s">
        <v>162</v>
      </c>
      <c r="C143" s="6">
        <v>-0.68753811350034011</v>
      </c>
      <c r="D143" s="6">
        <v>2.0491096629478348E-2</v>
      </c>
      <c r="E143" s="6">
        <v>1.1929314221854093</v>
      </c>
      <c r="F143" s="6">
        <v>0.40723273426392392</v>
      </c>
      <c r="G143" s="6">
        <v>0.41903166093840805</v>
      </c>
      <c r="H143" s="6">
        <v>0.93548744480926282</v>
      </c>
      <c r="I143" s="6">
        <v>-1.2001888646837695</v>
      </c>
      <c r="J143" s="6">
        <v>-0.5881764892490482</v>
      </c>
      <c r="K143" s="6">
        <v>-0.49833577106693916</v>
      </c>
      <c r="L143" s="6">
        <v>-0.318734080294791</v>
      </c>
      <c r="N143" s="8">
        <f>SQRT((C143-Sheet5!$C$525)^2+(D143-Sheet5!$D$525)^2+(E143-Sheet5!$E$525)^2+(F143-Sheet5!$F$525)^2+(G143-Sheet5!$G$525)^2+(H143-Sheet5!$H$525)^2+(I143-Sheet5!$I$525)^2+(J143-Sheet5!$J$525)^2+(K143-Sheet5!$K$525)^2+(L143-Sheet5!$L$525)^2)</f>
        <v>2.7954918531365731</v>
      </c>
      <c r="O143" s="8">
        <f>SQRT((C143-Sheet5!$C$526)^2+(D143-Sheet5!$D$526)^2+(E143-Sheet5!$E$526)^2+(F143-Sheet5!$F$526)^2+(G143-Sheet5!$G$526)^2+(H143-Sheet5!$H$526)^2+(I143-Sheet5!$I$526)^2+(J143-Sheet5!$J$526)^2+(K143-Sheet5!$K$526)^2+(L143-Sheet5!$L$526)^2)</f>
        <v>2.8965551226796307</v>
      </c>
      <c r="P143" s="12">
        <f t="shared" si="2"/>
        <v>0</v>
      </c>
      <c r="Q143" s="11">
        <f>IF(P143=Sheet1!$M143, 1, 0)</f>
        <v>1</v>
      </c>
    </row>
    <row r="144" spans="1:17" x14ac:dyDescent="0.35">
      <c r="A144" s="6" t="s">
        <v>160</v>
      </c>
      <c r="B144" s="6" t="s">
        <v>163</v>
      </c>
      <c r="C144" s="6">
        <v>-1.2780276883654784</v>
      </c>
      <c r="D144" s="6">
        <v>-0.6116998344648179</v>
      </c>
      <c r="E144" s="6">
        <v>0.71623217252845495</v>
      </c>
      <c r="F144" s="6">
        <v>-5.0344327366711801E-2</v>
      </c>
      <c r="G144" s="6">
        <v>0.12287377579849693</v>
      </c>
      <c r="H144" s="6">
        <v>0.68879288866075861</v>
      </c>
      <c r="I144" s="6">
        <v>-0.31598213169480499</v>
      </c>
      <c r="J144" s="6">
        <v>-0.46670686322363059</v>
      </c>
      <c r="K144" s="6">
        <v>-0.54528280578600863</v>
      </c>
      <c r="L144" s="6">
        <v>-0.24305687950282431</v>
      </c>
      <c r="N144" s="8">
        <f>SQRT((C144-Sheet5!$C$525)^2+(D144-Sheet5!$D$525)^2+(E144-Sheet5!$E$525)^2+(F144-Sheet5!$F$525)^2+(G144-Sheet5!$G$525)^2+(H144-Sheet5!$H$525)^2+(I144-Sheet5!$I$525)^2+(J144-Sheet5!$J$525)^2+(K144-Sheet5!$K$525)^2+(L144-Sheet5!$L$525)^2)</f>
        <v>2.3645032962963399</v>
      </c>
      <c r="O144" s="8">
        <f>SQRT((C144-Sheet5!$C$526)^2+(D144-Sheet5!$D$526)^2+(E144-Sheet5!$E$526)^2+(F144-Sheet5!$F$526)^2+(G144-Sheet5!$G$526)^2+(H144-Sheet5!$H$526)^2+(I144-Sheet5!$I$526)^2+(J144-Sheet5!$J$526)^2+(K144-Sheet5!$K$526)^2+(L144-Sheet5!$L$526)^2)</f>
        <v>2.9065267080701509</v>
      </c>
      <c r="P144" s="12">
        <f t="shared" si="2"/>
        <v>0</v>
      </c>
      <c r="Q144" s="11">
        <f>IF(P144=Sheet1!$M144, 1, 0)</f>
        <v>1</v>
      </c>
    </row>
    <row r="145" spans="1:17" x14ac:dyDescent="0.35">
      <c r="A145" s="6" t="s">
        <v>160</v>
      </c>
      <c r="B145" s="6" t="s">
        <v>164</v>
      </c>
      <c r="C145" s="6">
        <v>-0.95862650923388082</v>
      </c>
      <c r="D145" s="6">
        <v>-0.75900645918581899</v>
      </c>
      <c r="E145" s="6">
        <v>0.96526516539406637</v>
      </c>
      <c r="F145" s="6">
        <v>0.14840126505871687</v>
      </c>
      <c r="G145" s="6">
        <v>0.5409790254077842</v>
      </c>
      <c r="H145" s="6">
        <v>0.83260827401370774</v>
      </c>
      <c r="I145" s="6">
        <v>-0.4976684466925379</v>
      </c>
      <c r="J145" s="6">
        <v>-4.1563172134669542E-2</v>
      </c>
      <c r="K145" s="6">
        <v>-0.50459537569614943</v>
      </c>
      <c r="L145" s="6">
        <v>-0.33384345600748666</v>
      </c>
      <c r="N145" s="8">
        <f>SQRT((C145-Sheet5!$C$525)^2+(D145-Sheet5!$D$525)^2+(E145-Sheet5!$E$525)^2+(F145-Sheet5!$F$525)^2+(G145-Sheet5!$G$525)^2+(H145-Sheet5!$H$525)^2+(I145-Sheet5!$I$525)^2+(J145-Sheet5!$J$525)^2+(K145-Sheet5!$K$525)^2+(L145-Sheet5!$L$525)^2)</f>
        <v>2.5715465552389372</v>
      </c>
      <c r="O145" s="8">
        <f>SQRT((C145-Sheet5!$C$526)^2+(D145-Sheet5!$D$526)^2+(E145-Sheet5!$E$526)^2+(F145-Sheet5!$F$526)^2+(G145-Sheet5!$G$526)^2+(H145-Sheet5!$H$526)^2+(I145-Sheet5!$I$526)^2+(J145-Sheet5!$J$526)^2+(K145-Sheet5!$K$526)^2+(L145-Sheet5!$L$526)^2)</f>
        <v>2.6829883473089962</v>
      </c>
      <c r="P145" s="12">
        <f t="shared" si="2"/>
        <v>0</v>
      </c>
      <c r="Q145" s="11">
        <f>IF(P145=Sheet1!$M145, 1, 0)</f>
        <v>1</v>
      </c>
    </row>
    <row r="146" spans="1:17" x14ac:dyDescent="0.35">
      <c r="A146" s="6" t="s">
        <v>160</v>
      </c>
      <c r="B146" s="6" t="s">
        <v>165</v>
      </c>
      <c r="C146" s="6">
        <v>-1.1518776428261079</v>
      </c>
      <c r="D146" s="6">
        <v>-1.0597574846578628</v>
      </c>
      <c r="E146" s="6">
        <v>0.53166777988692937</v>
      </c>
      <c r="F146" s="6">
        <v>-0.44167285818887053</v>
      </c>
      <c r="G146" s="6">
        <v>-0.37943322546821812</v>
      </c>
      <c r="H146" s="6">
        <v>0.3332941832939188</v>
      </c>
      <c r="I146" s="6">
        <v>-1.0191400455281341</v>
      </c>
      <c r="J146" s="6">
        <v>8.7498305517336422E-2</v>
      </c>
      <c r="K146" s="6">
        <v>-7.8942260909916143E-2</v>
      </c>
      <c r="L146" s="6">
        <v>-0.32781196274008217</v>
      </c>
      <c r="N146" s="8">
        <f>SQRT((C146-Sheet5!$C$525)^2+(D146-Sheet5!$D$525)^2+(E146-Sheet5!$E$525)^2+(F146-Sheet5!$F$525)^2+(G146-Sheet5!$G$525)^2+(H146-Sheet5!$H$525)^2+(I146-Sheet5!$I$525)^2+(J146-Sheet5!$J$525)^2+(K146-Sheet5!$K$525)^2+(L146-Sheet5!$L$525)^2)</f>
        <v>2.1490497442289263</v>
      </c>
      <c r="O146" s="8">
        <f>SQRT((C146-Sheet5!$C$526)^2+(D146-Sheet5!$D$526)^2+(E146-Sheet5!$E$526)^2+(F146-Sheet5!$F$526)^2+(G146-Sheet5!$G$526)^2+(H146-Sheet5!$H$526)^2+(I146-Sheet5!$I$526)^2+(J146-Sheet5!$J$526)^2+(K146-Sheet5!$K$526)^2+(L146-Sheet5!$L$526)^2)</f>
        <v>3.6184576440250003</v>
      </c>
      <c r="P146" s="12">
        <f t="shared" si="2"/>
        <v>0</v>
      </c>
      <c r="Q146" s="11">
        <f>IF(P146=Sheet1!$M146, 1, 0)</f>
        <v>1</v>
      </c>
    </row>
    <row r="147" spans="1:17" x14ac:dyDescent="0.35">
      <c r="A147" s="6" t="s">
        <v>160</v>
      </c>
      <c r="B147" s="6" t="s">
        <v>166</v>
      </c>
      <c r="C147" s="6">
        <v>-0.68082800469505445</v>
      </c>
      <c r="D147" s="6">
        <v>2.0491096629478348E-2</v>
      </c>
      <c r="E147" s="6">
        <v>0.52872064387668538</v>
      </c>
      <c r="F147" s="6">
        <v>0.23005643093893152</v>
      </c>
      <c r="G147" s="6">
        <v>0.70938252872263574</v>
      </c>
      <c r="H147" s="6">
        <v>0.66024526535099715</v>
      </c>
      <c r="I147" s="6">
        <v>-1.6018112452050728</v>
      </c>
      <c r="J147" s="6">
        <v>-0.48568649229010219</v>
      </c>
      <c r="K147" s="6">
        <v>-3.6689929662751655E-2</v>
      </c>
      <c r="L147" s="6">
        <v>-0.33955297793950889</v>
      </c>
      <c r="N147" s="8">
        <f>SQRT((C147-Sheet5!$C$525)^2+(D147-Sheet5!$D$525)^2+(E147-Sheet5!$E$525)^2+(F147-Sheet5!$F$525)^2+(G147-Sheet5!$G$525)^2+(H147-Sheet5!$H$525)^2+(I147-Sheet5!$I$525)^2+(J147-Sheet5!$J$525)^2+(K147-Sheet5!$K$525)^2+(L147-Sheet5!$L$525)^2)</f>
        <v>2.490191561377106</v>
      </c>
      <c r="O147" s="8">
        <f>SQRT((C147-Sheet5!$C$526)^2+(D147-Sheet5!$D$526)^2+(E147-Sheet5!$E$526)^2+(F147-Sheet5!$F$526)^2+(G147-Sheet5!$G$526)^2+(H147-Sheet5!$H$526)^2+(I147-Sheet5!$I$526)^2+(J147-Sheet5!$J$526)^2+(K147-Sheet5!$K$526)^2+(L147-Sheet5!$L$526)^2)</f>
        <v>3.2077750121279305</v>
      </c>
      <c r="P147" s="12">
        <f t="shared" si="2"/>
        <v>0</v>
      </c>
      <c r="Q147" s="11">
        <f>IF(P147=Sheet1!$M147, 1, 0)</f>
        <v>1</v>
      </c>
    </row>
    <row r="148" spans="1:17" x14ac:dyDescent="0.35">
      <c r="A148" s="6" t="s">
        <v>160</v>
      </c>
      <c r="B148" s="6" t="s">
        <v>167</v>
      </c>
      <c r="C148" s="6">
        <v>-1.0082813143929947</v>
      </c>
      <c r="D148" s="6">
        <v>1.0393619176164022</v>
      </c>
      <c r="E148" s="6">
        <v>1.9860794009423048</v>
      </c>
      <c r="F148" s="6">
        <v>1.3316308385682389</v>
      </c>
      <c r="G148" s="6">
        <v>1.0897421655199746</v>
      </c>
      <c r="H148" s="6">
        <v>1.0545256476669476</v>
      </c>
      <c r="I148" s="6">
        <v>0.71166116576605254</v>
      </c>
      <c r="J148" s="6">
        <v>0.66447902913806911</v>
      </c>
      <c r="K148" s="6">
        <v>-0.67360470068480072</v>
      </c>
      <c r="L148" s="6">
        <v>-0.25809932847223815</v>
      </c>
      <c r="N148" s="8">
        <f>SQRT((C148-Sheet5!$C$525)^2+(D148-Sheet5!$D$525)^2+(E148-Sheet5!$E$525)^2+(F148-Sheet5!$F$525)^2+(G148-Sheet5!$G$525)^2+(H148-Sheet5!$H$525)^2+(I148-Sheet5!$I$525)^2+(J148-Sheet5!$J$525)^2+(K148-Sheet5!$K$525)^2+(L148-Sheet5!$L$525)^2)</f>
        <v>4.3897482003244699</v>
      </c>
      <c r="O148" s="8">
        <f>SQRT((C148-Sheet5!$C$526)^2+(D148-Sheet5!$D$526)^2+(E148-Sheet5!$E$526)^2+(F148-Sheet5!$F$526)^2+(G148-Sheet5!$G$526)^2+(H148-Sheet5!$H$526)^2+(I148-Sheet5!$I$526)^2+(J148-Sheet5!$J$526)^2+(K148-Sheet5!$K$526)^2+(L148-Sheet5!$L$526)^2)</f>
        <v>1.4755188556518763</v>
      </c>
      <c r="P148" s="12">
        <f t="shared" si="2"/>
        <v>1</v>
      </c>
      <c r="Q148" s="11">
        <f>IF(P148=Sheet1!$M148, 1, 0)</f>
        <v>0</v>
      </c>
    </row>
    <row r="149" spans="1:17" x14ac:dyDescent="0.35">
      <c r="A149" s="6" t="s">
        <v>168</v>
      </c>
      <c r="B149" s="6" t="s">
        <v>169</v>
      </c>
      <c r="C149" s="6">
        <v>-0.72779876633205409</v>
      </c>
      <c r="D149" s="6">
        <v>-0.15750440824173179</v>
      </c>
      <c r="E149" s="6">
        <v>0.57255929202906375</v>
      </c>
      <c r="F149" s="6">
        <v>0.27319500913979972</v>
      </c>
      <c r="G149" s="6">
        <v>0.42193516961625177</v>
      </c>
      <c r="H149" s="6">
        <v>0.84445823085926897</v>
      </c>
      <c r="I149" s="6">
        <v>0.18891457524626096</v>
      </c>
      <c r="J149" s="6">
        <v>0.81252013585654681</v>
      </c>
      <c r="K149" s="6">
        <v>-1.3465121983248018</v>
      </c>
      <c r="L149" s="6">
        <v>-0.26393137879096173</v>
      </c>
      <c r="N149" s="8">
        <f>SQRT((C149-Sheet5!$C$525)^2+(D149-Sheet5!$D$525)^2+(E149-Sheet5!$E$525)^2+(F149-Sheet5!$F$525)^2+(G149-Sheet5!$G$525)^2+(H149-Sheet5!$H$525)^2+(I149-Sheet5!$I$525)^2+(J149-Sheet5!$J$525)^2+(K149-Sheet5!$K$525)^2+(L149-Sheet5!$L$525)^2)</f>
        <v>2.917459581502301</v>
      </c>
      <c r="O149" s="8">
        <f>SQRT((C149-Sheet5!$C$526)^2+(D149-Sheet5!$D$526)^2+(E149-Sheet5!$E$526)^2+(F149-Sheet5!$F$526)^2+(G149-Sheet5!$G$526)^2+(H149-Sheet5!$H$526)^2+(I149-Sheet5!$I$526)^2+(J149-Sheet5!$J$526)^2+(K149-Sheet5!$K$526)^2+(L149-Sheet5!$L$526)^2)</f>
        <v>1.9611667755363043</v>
      </c>
      <c r="P149" s="12">
        <f t="shared" si="2"/>
        <v>1</v>
      </c>
      <c r="Q149" s="11">
        <f>IF(P149=Sheet1!$M149, 1, 0)</f>
        <v>0</v>
      </c>
    </row>
    <row r="150" spans="1:17" x14ac:dyDescent="0.35">
      <c r="A150" s="6" t="s">
        <v>168</v>
      </c>
      <c r="B150" s="6" t="s">
        <v>170</v>
      </c>
      <c r="C150" s="6">
        <v>-0.7855057020575108</v>
      </c>
      <c r="D150" s="6">
        <v>0.1432466172303121</v>
      </c>
      <c r="E150" s="6">
        <v>1.4986967832482163</v>
      </c>
      <c r="F150" s="6">
        <v>0.7153654356986956</v>
      </c>
      <c r="G150" s="6">
        <v>0.23320710555650215</v>
      </c>
      <c r="H150" s="6">
        <v>0.13776989534215694</v>
      </c>
      <c r="I150" s="6">
        <v>-0.54165565979725194</v>
      </c>
      <c r="J150" s="6">
        <v>1.3515416013443362</v>
      </c>
      <c r="K150" s="6">
        <v>-0.9818902286733594</v>
      </c>
      <c r="L150" s="6">
        <v>-0.16779925067623339</v>
      </c>
      <c r="N150" s="8">
        <f>SQRT((C150-Sheet5!$C$525)^2+(D150-Sheet5!$D$525)^2+(E150-Sheet5!$E$525)^2+(F150-Sheet5!$F$525)^2+(G150-Sheet5!$G$525)^2+(H150-Sheet5!$H$525)^2+(I150-Sheet5!$I$525)^2+(J150-Sheet5!$J$525)^2+(K150-Sheet5!$K$525)^2+(L150-Sheet5!$L$525)^2)</f>
        <v>3.3895988263148946</v>
      </c>
      <c r="O150" s="8">
        <f>SQRT((C150-Sheet5!$C$526)^2+(D150-Sheet5!$D$526)^2+(E150-Sheet5!$E$526)^2+(F150-Sheet5!$F$526)^2+(G150-Sheet5!$G$526)^2+(H150-Sheet5!$H$526)^2+(I150-Sheet5!$I$526)^2+(J150-Sheet5!$J$526)^2+(K150-Sheet5!$K$526)^2+(L150-Sheet5!$L$526)^2)</f>
        <v>1.9958142046110994</v>
      </c>
      <c r="P150" s="12">
        <f t="shared" si="2"/>
        <v>1</v>
      </c>
      <c r="Q150" s="11">
        <f>IF(P150=Sheet1!$M150, 1, 0)</f>
        <v>0</v>
      </c>
    </row>
    <row r="151" spans="1:17" x14ac:dyDescent="0.35">
      <c r="A151" s="6" t="s">
        <v>168</v>
      </c>
      <c r="B151" s="6" t="s">
        <v>171</v>
      </c>
      <c r="C151" s="6">
        <v>-0.98278290093290921</v>
      </c>
      <c r="D151" s="6">
        <v>0.29669101798135483</v>
      </c>
      <c r="E151" s="6">
        <v>1.6158454396554121</v>
      </c>
      <c r="F151" s="6">
        <v>0.48734723663696611</v>
      </c>
      <c r="G151" s="6">
        <v>-1.262099863532268</v>
      </c>
      <c r="H151" s="6">
        <v>-0.34969423853207149</v>
      </c>
      <c r="I151" s="6">
        <v>-0.247132580748296</v>
      </c>
      <c r="J151" s="6">
        <v>3.4355344131216416E-2</v>
      </c>
      <c r="K151" s="6">
        <v>0.44529962678636542</v>
      </c>
      <c r="L151" s="6">
        <v>-0.15292389916733301</v>
      </c>
      <c r="N151" s="8">
        <f>SQRT((C151-Sheet5!$C$525)^2+(D151-Sheet5!$D$525)^2+(E151-Sheet5!$E$525)^2+(F151-Sheet5!$F$525)^2+(G151-Sheet5!$G$525)^2+(H151-Sheet5!$H$525)^2+(I151-Sheet5!$I$525)^2+(J151-Sheet5!$J$525)^2+(K151-Sheet5!$K$525)^2+(L151-Sheet5!$L$525)^2)</f>
        <v>2.8419644940018061</v>
      </c>
      <c r="O151" s="8">
        <f>SQRT((C151-Sheet5!$C$526)^2+(D151-Sheet5!$D$526)^2+(E151-Sheet5!$E$526)^2+(F151-Sheet5!$F$526)^2+(G151-Sheet5!$G$526)^2+(H151-Sheet5!$H$526)^2+(I151-Sheet5!$I$526)^2+(J151-Sheet5!$J$526)^2+(K151-Sheet5!$K$526)^2+(L151-Sheet5!$L$526)^2)</f>
        <v>3.1620648464973127</v>
      </c>
      <c r="P151" s="12">
        <f t="shared" si="2"/>
        <v>0</v>
      </c>
      <c r="Q151" s="11">
        <f>IF(P151=Sheet1!$M151, 1, 0)</f>
        <v>1</v>
      </c>
    </row>
    <row r="152" spans="1:17" x14ac:dyDescent="0.35">
      <c r="A152" s="6" t="s">
        <v>168</v>
      </c>
      <c r="B152" s="6" t="s">
        <v>172</v>
      </c>
      <c r="C152" s="6">
        <v>0.22235264049639553</v>
      </c>
      <c r="D152" s="6">
        <v>-0.95541529214715393</v>
      </c>
      <c r="E152" s="6">
        <v>0.59429442010461264</v>
      </c>
      <c r="F152" s="6">
        <v>-0.63117446957125567</v>
      </c>
      <c r="G152" s="6">
        <v>-2.1099243974622133</v>
      </c>
      <c r="H152" s="6">
        <v>-0.48596874225602615</v>
      </c>
      <c r="I152" s="6">
        <v>-0.24777007659039363</v>
      </c>
      <c r="J152" s="6">
        <v>-0.3148698306918587</v>
      </c>
      <c r="K152" s="6">
        <v>-0.77845307822405707</v>
      </c>
      <c r="L152" s="6">
        <v>-0.39684927001983133</v>
      </c>
      <c r="N152" s="8">
        <f>SQRT((C152-Sheet5!$C$525)^2+(D152-Sheet5!$D$525)^2+(E152-Sheet5!$E$525)^2+(F152-Sheet5!$F$525)^2+(G152-Sheet5!$G$525)^2+(H152-Sheet5!$H$525)^2+(I152-Sheet5!$I$525)^2+(J152-Sheet5!$J$525)^2+(K152-Sheet5!$K$525)^2+(L152-Sheet5!$L$525)^2)</f>
        <v>2.3656132076948286</v>
      </c>
      <c r="O152" s="8">
        <f>SQRT((C152-Sheet5!$C$526)^2+(D152-Sheet5!$D$526)^2+(E152-Sheet5!$E$526)^2+(F152-Sheet5!$F$526)^2+(G152-Sheet5!$G$526)^2+(H152-Sheet5!$H$526)^2+(I152-Sheet5!$I$526)^2+(J152-Sheet5!$J$526)^2+(K152-Sheet5!$K$526)^2+(L152-Sheet5!$L$526)^2)</f>
        <v>4.5813535978739761</v>
      </c>
      <c r="P152" s="12">
        <f t="shared" si="2"/>
        <v>0</v>
      </c>
      <c r="Q152" s="11">
        <f>IF(P152=Sheet1!$M152, 1, 0)</f>
        <v>1</v>
      </c>
    </row>
    <row r="153" spans="1:17" x14ac:dyDescent="0.35">
      <c r="A153" s="6" t="s">
        <v>168</v>
      </c>
      <c r="B153" s="6" t="s">
        <v>173</v>
      </c>
      <c r="C153" s="6">
        <v>-0.69559024406668291</v>
      </c>
      <c r="D153" s="6">
        <v>-0.67307759476523532</v>
      </c>
      <c r="E153" s="6">
        <v>0.59871512411997863</v>
      </c>
      <c r="F153" s="6">
        <v>-0.10734887713214306</v>
      </c>
      <c r="G153" s="6">
        <v>-0.66688058457460209</v>
      </c>
      <c r="H153" s="6">
        <v>-2.3377938165760215</v>
      </c>
      <c r="I153" s="6">
        <v>-4.1199198214894333</v>
      </c>
      <c r="J153" s="6">
        <v>-1.4384638714269702</v>
      </c>
      <c r="K153" s="6">
        <v>0.1307544941685965</v>
      </c>
      <c r="L153" s="6">
        <v>-0.22682776066002291</v>
      </c>
      <c r="N153" s="8">
        <f>SQRT((C153-Sheet5!$C$525)^2+(D153-Sheet5!$D$525)^2+(E153-Sheet5!$E$525)^2+(F153-Sheet5!$F$525)^2+(G153-Sheet5!$G$525)^2+(H153-Sheet5!$H$525)^2+(I153-Sheet5!$I$525)^2+(J153-Sheet5!$J$525)^2+(K153-Sheet5!$K$525)^2+(L153-Sheet5!$L$525)^2)</f>
        <v>4.7295388991380136</v>
      </c>
      <c r="O153" s="8">
        <f>SQRT((C153-Sheet5!$C$526)^2+(D153-Sheet5!$D$526)^2+(E153-Sheet5!$E$526)^2+(F153-Sheet5!$F$526)^2+(G153-Sheet5!$G$526)^2+(H153-Sheet5!$H$526)^2+(I153-Sheet5!$I$526)^2+(J153-Sheet5!$J$526)^2+(K153-Sheet5!$K$526)^2+(L153-Sheet5!$L$526)^2)</f>
        <v>6.7419916460106375</v>
      </c>
      <c r="P153" s="12">
        <f t="shared" si="2"/>
        <v>0</v>
      </c>
      <c r="Q153" s="11">
        <f>IF(P153=Sheet1!$M153, 1, 0)</f>
        <v>1</v>
      </c>
    </row>
    <row r="154" spans="1:17" x14ac:dyDescent="0.35">
      <c r="A154" s="6" t="s">
        <v>168</v>
      </c>
      <c r="B154" s="6" t="s">
        <v>174</v>
      </c>
      <c r="C154" s="6">
        <v>-0.96936268332233788</v>
      </c>
      <c r="D154" s="6">
        <v>1.6654150726806562</v>
      </c>
      <c r="E154" s="6">
        <v>2.8400120599104812</v>
      </c>
      <c r="F154" s="6">
        <v>1.7245000328975744</v>
      </c>
      <c r="G154" s="6">
        <v>1.0752246221307642</v>
      </c>
      <c r="H154" s="6">
        <v>1.1110822598843992</v>
      </c>
      <c r="I154" s="6">
        <v>0.66894894434553287</v>
      </c>
      <c r="J154" s="6">
        <v>2.497911196959214</v>
      </c>
      <c r="K154" s="6">
        <v>0.24968698212357429</v>
      </c>
      <c r="L154" s="6">
        <v>1.8618480370812447</v>
      </c>
      <c r="N154" s="8">
        <f>SQRT((C154-Sheet5!$C$525)^2+(D154-Sheet5!$D$525)^2+(E154-Sheet5!$E$525)^2+(F154-Sheet5!$F$525)^2+(G154-Sheet5!$G$525)^2+(H154-Sheet5!$H$525)^2+(I154-Sheet5!$I$525)^2+(J154-Sheet5!$J$525)^2+(K154-Sheet5!$K$525)^2+(L154-Sheet5!$L$525)^2)</f>
        <v>6.2154993341271085</v>
      </c>
      <c r="O154" s="8">
        <f>SQRT((C154-Sheet5!$C$526)^2+(D154-Sheet5!$D$526)^2+(E154-Sheet5!$E$526)^2+(F154-Sheet5!$F$526)^2+(G154-Sheet5!$G$526)^2+(H154-Sheet5!$H$526)^2+(I154-Sheet5!$I$526)^2+(J154-Sheet5!$J$526)^2+(K154-Sheet5!$K$526)^2+(L154-Sheet5!$L$526)^2)</f>
        <v>3.0281901606647179</v>
      </c>
      <c r="P154" s="12">
        <f t="shared" si="2"/>
        <v>1</v>
      </c>
      <c r="Q154" s="11">
        <f>IF(P154=Sheet1!$M154, 1, 0)</f>
        <v>0</v>
      </c>
    </row>
    <row r="155" spans="1:17" x14ac:dyDescent="0.35">
      <c r="A155" s="6" t="s">
        <v>168</v>
      </c>
      <c r="B155" s="6" t="s">
        <v>175</v>
      </c>
      <c r="C155" s="6">
        <v>-0.36276884732451409</v>
      </c>
      <c r="D155" s="6">
        <v>1.1191530060069437</v>
      </c>
      <c r="E155" s="6">
        <v>1.8840348165876091</v>
      </c>
      <c r="F155" s="6">
        <v>1.3870947248264998</v>
      </c>
      <c r="G155" s="6">
        <v>0.73261059814537755</v>
      </c>
      <c r="H155" s="6">
        <v>0.39146669871758344</v>
      </c>
      <c r="I155" s="6">
        <v>0.41586309503290225</v>
      </c>
      <c r="J155" s="6">
        <v>0.47468273847335435</v>
      </c>
      <c r="K155" s="6">
        <v>-1.3934592330438713</v>
      </c>
      <c r="L155" s="6">
        <v>-0.16598723469827575</v>
      </c>
      <c r="N155" s="8">
        <f>SQRT((C155-Sheet5!$C$525)^2+(D155-Sheet5!$D$525)^2+(E155-Sheet5!$E$525)^2+(F155-Sheet5!$F$525)^2+(G155-Sheet5!$G$525)^2+(H155-Sheet5!$H$525)^2+(I155-Sheet5!$I$525)^2+(J155-Sheet5!$J$525)^2+(K155-Sheet5!$K$525)^2+(L155-Sheet5!$L$525)^2)</f>
        <v>4.0911292171590494</v>
      </c>
      <c r="O155" s="8">
        <f>SQRT((C155-Sheet5!$C$526)^2+(D155-Sheet5!$D$526)^2+(E155-Sheet5!$E$526)^2+(F155-Sheet5!$F$526)^2+(G155-Sheet5!$G$526)^2+(H155-Sheet5!$H$526)^2+(I155-Sheet5!$I$526)^2+(J155-Sheet5!$J$526)^2+(K155-Sheet5!$K$526)^2+(L155-Sheet5!$L$526)^2)</f>
        <v>1.6215124794717157</v>
      </c>
      <c r="P155" s="12">
        <f t="shared" si="2"/>
        <v>1</v>
      </c>
      <c r="Q155" s="11">
        <f>IF(P155=Sheet1!$M155, 1, 0)</f>
        <v>0</v>
      </c>
    </row>
    <row r="156" spans="1:17" x14ac:dyDescent="0.35">
      <c r="A156" s="6" t="s">
        <v>176</v>
      </c>
      <c r="B156" s="6" t="s">
        <v>177</v>
      </c>
      <c r="C156" s="6">
        <v>0.37400109949585159</v>
      </c>
      <c r="D156" s="6">
        <v>0.22917548165089638</v>
      </c>
      <c r="E156" s="6">
        <v>0.83338082893565091</v>
      </c>
      <c r="F156" s="6">
        <v>0.33482154942675274</v>
      </c>
      <c r="G156" s="6">
        <v>-0.19360867008631225</v>
      </c>
      <c r="H156" s="6">
        <v>0.35268502176847366</v>
      </c>
      <c r="I156" s="6">
        <v>0.57906203060981287</v>
      </c>
      <c r="J156" s="6">
        <v>1.3363578980911595</v>
      </c>
      <c r="K156" s="6">
        <v>-0.62822256712303226</v>
      </c>
      <c r="L156" s="6">
        <v>-0.38269013704963545</v>
      </c>
      <c r="N156" s="8">
        <f>SQRT((C156-Sheet5!$C$525)^2+(D156-Sheet5!$D$525)^2+(E156-Sheet5!$E$525)^2+(F156-Sheet5!$F$525)^2+(G156-Sheet5!$G$525)^2+(H156-Sheet5!$H$525)^2+(I156-Sheet5!$I$525)^2+(J156-Sheet5!$J$525)^2+(K156-Sheet5!$K$525)^2+(L156-Sheet5!$L$525)^2)</f>
        <v>2.7338493123349226</v>
      </c>
      <c r="O156" s="8">
        <f>SQRT((C156-Sheet5!$C$526)^2+(D156-Sheet5!$D$526)^2+(E156-Sheet5!$E$526)^2+(F156-Sheet5!$F$526)^2+(G156-Sheet5!$G$526)^2+(H156-Sheet5!$H$526)^2+(I156-Sheet5!$I$526)^2+(J156-Sheet5!$J$526)^2+(K156-Sheet5!$K$526)^2+(L156-Sheet5!$L$526)^2)</f>
        <v>2.0750885853606258</v>
      </c>
      <c r="P156" s="12">
        <f t="shared" si="2"/>
        <v>1</v>
      </c>
      <c r="Q156" s="11">
        <f>IF(P156=Sheet1!$M156, 1, 0)</f>
        <v>0</v>
      </c>
    </row>
    <row r="157" spans="1:17" x14ac:dyDescent="0.35">
      <c r="A157" s="6" t="s">
        <v>176</v>
      </c>
      <c r="B157" s="6" t="s">
        <v>178</v>
      </c>
      <c r="C157" s="6">
        <v>-1.1693239257198504</v>
      </c>
      <c r="D157" s="6">
        <v>1.9661660981527</v>
      </c>
      <c r="E157" s="6">
        <v>4.9965788354064706</v>
      </c>
      <c r="F157" s="6">
        <v>2.3068708386092931</v>
      </c>
      <c r="G157" s="6">
        <v>1.3191193510695163</v>
      </c>
      <c r="H157" s="6">
        <v>1.0399825188110317</v>
      </c>
      <c r="I157" s="6">
        <v>0.94498464397366644</v>
      </c>
      <c r="J157" s="6">
        <v>0.86186717142937253</v>
      </c>
      <c r="K157" s="6">
        <v>-1.2557479312012669</v>
      </c>
      <c r="L157" s="6">
        <v>8.5133565675385334</v>
      </c>
      <c r="N157" s="8">
        <f>SQRT((C157-Sheet5!$C$525)^2+(D157-Sheet5!$D$525)^2+(E157-Sheet5!$E$525)^2+(F157-Sheet5!$F$525)^2+(G157-Sheet5!$G$525)^2+(H157-Sheet5!$H$525)^2+(I157-Sheet5!$I$525)^2+(J157-Sheet5!$J$525)^2+(K157-Sheet5!$K$525)^2+(L157-Sheet5!$L$525)^2)</f>
        <v>11.434480397723449</v>
      </c>
      <c r="O157" s="8">
        <f>SQRT((C157-Sheet5!$C$526)^2+(D157-Sheet5!$D$526)^2+(E157-Sheet5!$E$526)^2+(F157-Sheet5!$F$526)^2+(G157-Sheet5!$G$526)^2+(H157-Sheet5!$H$526)^2+(I157-Sheet5!$I$526)^2+(J157-Sheet5!$J$526)^2+(K157-Sheet5!$K$526)^2+(L157-Sheet5!$L$526)^2)</f>
        <v>9.0835871613382846</v>
      </c>
      <c r="P157" s="12">
        <f t="shared" si="2"/>
        <v>1</v>
      </c>
      <c r="Q157" s="11">
        <f>IF(P157=Sheet1!$M157, 1, 0)</f>
        <v>0</v>
      </c>
    </row>
    <row r="158" spans="1:17" x14ac:dyDescent="0.35">
      <c r="A158" s="6" t="s">
        <v>176</v>
      </c>
      <c r="B158" s="6" t="s">
        <v>179</v>
      </c>
      <c r="C158" s="6">
        <v>-1.0726983589237371</v>
      </c>
      <c r="D158" s="6">
        <v>1.9845794262428249</v>
      </c>
      <c r="E158" s="6">
        <v>2.7291260675250535</v>
      </c>
      <c r="F158" s="6">
        <v>2.0095227817247374</v>
      </c>
      <c r="G158" s="6">
        <v>1.4178386461161547</v>
      </c>
      <c r="H158" s="6">
        <v>1.0518324756565929</v>
      </c>
      <c r="I158" s="6">
        <v>0.92075980197396912</v>
      </c>
      <c r="J158" s="6">
        <v>1.2035004946258592</v>
      </c>
      <c r="K158" s="6">
        <v>-1.3480770994821039</v>
      </c>
      <c r="L158" s="6">
        <v>6.098797322843228</v>
      </c>
      <c r="N158" s="8">
        <f>SQRT((C158-Sheet5!$C$525)^2+(D158-Sheet5!$D$525)^2+(E158-Sheet5!$E$525)^2+(F158-Sheet5!$F$525)^2+(G158-Sheet5!$G$525)^2+(H158-Sheet5!$H$525)^2+(I158-Sheet5!$I$525)^2+(J158-Sheet5!$J$525)^2+(K158-Sheet5!$K$525)^2+(L158-Sheet5!$L$525)^2)</f>
        <v>8.6454492581015234</v>
      </c>
      <c r="O158" s="8">
        <f>SQRT((C158-Sheet5!$C$526)^2+(D158-Sheet5!$D$526)^2+(E158-Sheet5!$E$526)^2+(F158-Sheet5!$F$526)^2+(G158-Sheet5!$G$526)^2+(H158-Sheet5!$H$526)^2+(I158-Sheet5!$I$526)^2+(J158-Sheet5!$J$526)^2+(K158-Sheet5!$K$526)^2+(L158-Sheet5!$L$526)^2)</f>
        <v>6.0631483522237932</v>
      </c>
      <c r="P158" s="12">
        <f t="shared" si="2"/>
        <v>1</v>
      </c>
      <c r="Q158" s="11">
        <f>IF(P158=Sheet1!$M158, 1, 0)</f>
        <v>0</v>
      </c>
    </row>
    <row r="159" spans="1:17" x14ac:dyDescent="0.35">
      <c r="A159" s="6" t="s">
        <v>176</v>
      </c>
      <c r="B159" s="6" t="s">
        <v>180</v>
      </c>
      <c r="C159" s="6">
        <v>-0.98412492269396634</v>
      </c>
      <c r="D159" s="6">
        <v>1.8127216974016573</v>
      </c>
      <c r="E159" s="6">
        <v>2.5935578110538331</v>
      </c>
      <c r="F159" s="6">
        <v>1.7922892272132238</v>
      </c>
      <c r="G159" s="6">
        <v>1.3162158423916726</v>
      </c>
      <c r="H159" s="6">
        <v>0.66563160937170729</v>
      </c>
      <c r="I159" s="6">
        <v>0.94753462734205607</v>
      </c>
      <c r="J159" s="6">
        <v>1.0212960555877328</v>
      </c>
      <c r="K159" s="6">
        <v>-0.98502003098796342</v>
      </c>
      <c r="L159" s="6">
        <v>9.1544620291523184</v>
      </c>
      <c r="N159" s="8">
        <f>SQRT((C159-Sheet5!$C$525)^2+(D159-Sheet5!$D$525)^2+(E159-Sheet5!$E$525)^2+(F159-Sheet5!$F$525)^2+(G159-Sheet5!$G$525)^2+(H159-Sheet5!$H$525)^2+(I159-Sheet5!$I$525)^2+(J159-Sheet5!$J$525)^2+(K159-Sheet5!$K$525)^2+(L159-Sheet5!$L$525)^2)</f>
        <v>10.826962937069135</v>
      </c>
      <c r="O159" s="8">
        <f>SQRT((C159-Sheet5!$C$526)^2+(D159-Sheet5!$D$526)^2+(E159-Sheet5!$E$526)^2+(F159-Sheet5!$F$526)^2+(G159-Sheet5!$G$526)^2+(H159-Sheet5!$H$526)^2+(I159-Sheet5!$I$526)^2+(J159-Sheet5!$J$526)^2+(K159-Sheet5!$K$526)^2+(L159-Sheet5!$L$526)^2)</f>
        <v>8.8246341425568673</v>
      </c>
      <c r="P159" s="12">
        <f t="shared" si="2"/>
        <v>1</v>
      </c>
      <c r="Q159" s="11">
        <f>IF(P159=Sheet1!$M159, 1, 0)</f>
        <v>0</v>
      </c>
    </row>
    <row r="160" spans="1:17" x14ac:dyDescent="0.35">
      <c r="A160" s="6" t="s">
        <v>176</v>
      </c>
      <c r="B160" s="6" t="s">
        <v>181</v>
      </c>
      <c r="C160" s="6">
        <v>-1.0686722936405657</v>
      </c>
      <c r="D160" s="6">
        <v>1.4383173595691123</v>
      </c>
      <c r="E160" s="6">
        <v>3.8593527274535977</v>
      </c>
      <c r="F160" s="6">
        <v>1.8231024973567014</v>
      </c>
      <c r="G160" s="6">
        <v>1.1710404084995587</v>
      </c>
      <c r="H160" s="6">
        <v>1.1067731846678317</v>
      </c>
      <c r="I160" s="6">
        <v>0.94753462734205607</v>
      </c>
      <c r="J160" s="6">
        <v>1.5185623371292858</v>
      </c>
      <c r="K160" s="6">
        <v>-0.97876042635875427</v>
      </c>
      <c r="L160" s="6">
        <v>6.386729963153571</v>
      </c>
      <c r="N160" s="8">
        <f>SQRT((C160-Sheet5!$C$525)^2+(D160-Sheet5!$D$525)^2+(E160-Sheet5!$E$525)^2+(F160-Sheet5!$F$525)^2+(G160-Sheet5!$G$525)^2+(H160-Sheet5!$H$525)^2+(I160-Sheet5!$I$525)^2+(J160-Sheet5!$J$525)^2+(K160-Sheet5!$K$525)^2+(L160-Sheet5!$L$525)^2)</f>
        <v>9.1213578141320752</v>
      </c>
      <c r="O160" s="8">
        <f>SQRT((C160-Sheet5!$C$526)^2+(D160-Sheet5!$D$526)^2+(E160-Sheet5!$E$526)^2+(F160-Sheet5!$F$526)^2+(G160-Sheet5!$G$526)^2+(H160-Sheet5!$H$526)^2+(I160-Sheet5!$I$526)^2+(J160-Sheet5!$J$526)^2+(K160-Sheet5!$K$526)^2+(L160-Sheet5!$L$526)^2)</f>
        <v>6.6004011012915758</v>
      </c>
      <c r="P160" s="12">
        <f t="shared" si="2"/>
        <v>1</v>
      </c>
      <c r="Q160" s="11">
        <f>IF(P160=Sheet1!$M160, 1, 0)</f>
        <v>0</v>
      </c>
    </row>
    <row r="161" spans="1:17" x14ac:dyDescent="0.35">
      <c r="A161" s="6" t="s">
        <v>176</v>
      </c>
      <c r="B161" s="6" t="s">
        <v>182</v>
      </c>
      <c r="C161" s="6">
        <v>-0.67545991765082591</v>
      </c>
      <c r="D161" s="6">
        <v>1.4567306876592383</v>
      </c>
      <c r="E161" s="6">
        <v>3.1082014368426782</v>
      </c>
      <c r="F161" s="6">
        <v>1.6305195589599693</v>
      </c>
      <c r="G161" s="6">
        <v>1.0723211134529202</v>
      </c>
      <c r="H161" s="6">
        <v>0.72218822158915907</v>
      </c>
      <c r="I161" s="6">
        <v>0.94753462734205607</v>
      </c>
      <c r="J161" s="6">
        <v>1.8146445505662405</v>
      </c>
      <c r="K161" s="6">
        <v>-0.57501592777475252</v>
      </c>
      <c r="L161" s="6">
        <v>6.4551088266199272</v>
      </c>
      <c r="N161" s="8">
        <f>SQRT((C161-Sheet5!$C$525)^2+(D161-Sheet5!$D$525)^2+(E161-Sheet5!$E$525)^2+(F161-Sheet5!$F$525)^2+(G161-Sheet5!$G$525)^2+(H161-Sheet5!$H$525)^2+(I161-Sheet5!$I$525)^2+(J161-Sheet5!$J$525)^2+(K161-Sheet5!$K$525)^2+(L161-Sheet5!$L$525)^2)</f>
        <v>8.7067508393209856</v>
      </c>
      <c r="O161" s="8">
        <f>SQRT((C161-Sheet5!$C$526)^2+(D161-Sheet5!$D$526)^2+(E161-Sheet5!$E$526)^2+(F161-Sheet5!$F$526)^2+(G161-Sheet5!$G$526)^2+(H161-Sheet5!$H$526)^2+(I161-Sheet5!$I$526)^2+(J161-Sheet5!$J$526)^2+(K161-Sheet5!$K$526)^2+(L161-Sheet5!$L$526)^2)</f>
        <v>6.3419819467319201</v>
      </c>
      <c r="P161" s="12">
        <f t="shared" si="2"/>
        <v>1</v>
      </c>
      <c r="Q161" s="11">
        <f>IF(P161=Sheet1!$M161, 1, 0)</f>
        <v>0</v>
      </c>
    </row>
    <row r="162" spans="1:17" x14ac:dyDescent="0.35">
      <c r="A162" s="6" t="s">
        <v>183</v>
      </c>
      <c r="B162" s="6" t="s">
        <v>184</v>
      </c>
      <c r="C162" s="6">
        <v>-0.5560199809167411</v>
      </c>
      <c r="D162" s="6">
        <v>-7.771331985118908E-2</v>
      </c>
      <c r="E162" s="6">
        <v>3.139144214802362E-2</v>
      </c>
      <c r="F162" s="6">
        <v>0.10372202335067403</v>
      </c>
      <c r="G162" s="6">
        <v>0.49452288656230869</v>
      </c>
      <c r="H162" s="6">
        <v>-0.71596563194033092</v>
      </c>
      <c r="I162" s="6">
        <v>0.42670052434855654</v>
      </c>
      <c r="J162" s="6">
        <v>2.7180748941302828</v>
      </c>
      <c r="K162" s="6">
        <v>-1.0820439027407085</v>
      </c>
      <c r="L162" s="6">
        <v>2.875542472386635</v>
      </c>
      <c r="N162" s="8">
        <f>SQRT((C162-Sheet5!$C$525)^2+(D162-Sheet5!$D$525)^2+(E162-Sheet5!$E$525)^2+(F162-Sheet5!$F$525)^2+(G162-Sheet5!$G$525)^2+(H162-Sheet5!$H$525)^2+(I162-Sheet5!$I$525)^2+(J162-Sheet5!$J$525)^2+(K162-Sheet5!$K$525)^2+(L162-Sheet5!$L$525)^2)</f>
        <v>4.8800347976158838</v>
      </c>
      <c r="O162" s="8">
        <f>SQRT((C162-Sheet5!$C$526)^2+(D162-Sheet5!$D$526)^2+(E162-Sheet5!$E$526)^2+(F162-Sheet5!$F$526)^2+(G162-Sheet5!$G$526)^2+(H162-Sheet5!$H$526)^2+(I162-Sheet5!$I$526)^2+(J162-Sheet5!$J$526)^2+(K162-Sheet5!$K$526)^2+(L162-Sheet5!$L$526)^2)</f>
        <v>3.6749012575947879</v>
      </c>
      <c r="P162" s="12">
        <f t="shared" si="2"/>
        <v>1</v>
      </c>
      <c r="Q162" s="11">
        <f>IF(P162=Sheet1!$M162, 1, 0)</f>
        <v>0</v>
      </c>
    </row>
    <row r="163" spans="1:17" x14ac:dyDescent="0.35">
      <c r="A163" s="6" t="s">
        <v>183</v>
      </c>
      <c r="B163" s="6" t="s">
        <v>185</v>
      </c>
      <c r="C163" s="6">
        <v>-0.61372691664219781</v>
      </c>
      <c r="D163" s="6">
        <v>-0.82038421948623641</v>
      </c>
      <c r="E163" s="6">
        <v>-0.5433000798495411</v>
      </c>
      <c r="F163" s="6">
        <v>-0.44013219468169812</v>
      </c>
      <c r="G163" s="6">
        <v>0.45097025639467292</v>
      </c>
      <c r="H163" s="6">
        <v>-0.69226571824920835</v>
      </c>
      <c r="I163" s="6">
        <v>-0.24203261401151765</v>
      </c>
      <c r="J163" s="6">
        <v>1.6893789987275287</v>
      </c>
      <c r="K163" s="6">
        <v>-0.70959742730275266</v>
      </c>
      <c r="L163" s="6">
        <v>0.54263195304847733</v>
      </c>
      <c r="N163" s="8">
        <f>SQRT((C163-Sheet5!$C$525)^2+(D163-Sheet5!$D$525)^2+(E163-Sheet5!$E$525)^2+(F163-Sheet5!$F$525)^2+(G163-Sheet5!$G$525)^2+(H163-Sheet5!$H$525)^2+(I163-Sheet5!$I$525)^2+(J163-Sheet5!$J$525)^2+(K163-Sheet5!$K$525)^2+(L163-Sheet5!$L$525)^2)</f>
        <v>2.76951679768458</v>
      </c>
      <c r="O163" s="8">
        <f>SQRT((C163-Sheet5!$C$526)^2+(D163-Sheet5!$D$526)^2+(E163-Sheet5!$E$526)^2+(F163-Sheet5!$F$526)^2+(G163-Sheet5!$G$526)^2+(H163-Sheet5!$H$526)^2+(I163-Sheet5!$I$526)^2+(J163-Sheet5!$J$526)^2+(K163-Sheet5!$K$526)^2+(L163-Sheet5!$L$526)^2)</f>
        <v>3.3315159868776862</v>
      </c>
      <c r="P163" s="12">
        <f t="shared" si="2"/>
        <v>0</v>
      </c>
      <c r="Q163" s="11">
        <f>IF(P163=Sheet1!$M163, 1, 0)</f>
        <v>1</v>
      </c>
    </row>
    <row r="164" spans="1:17" x14ac:dyDescent="0.35">
      <c r="A164" s="6" t="s">
        <v>183</v>
      </c>
      <c r="B164" s="6" t="s">
        <v>186</v>
      </c>
      <c r="C164" s="6">
        <v>-0.14670334379431585</v>
      </c>
      <c r="D164" s="6">
        <v>-0.76514423521586061</v>
      </c>
      <c r="E164" s="6">
        <v>-0.8372768968713723</v>
      </c>
      <c r="F164" s="6">
        <v>-0.67277238426494923</v>
      </c>
      <c r="G164" s="6">
        <v>0.1925579840667101</v>
      </c>
      <c r="H164" s="6">
        <v>-1.0062895746565834</v>
      </c>
      <c r="I164" s="6">
        <v>7.0977844458259623E-2</v>
      </c>
      <c r="J164" s="6">
        <v>1.6172564082749372</v>
      </c>
      <c r="K164" s="6">
        <v>-0.2323025743255428</v>
      </c>
      <c r="L164" s="6">
        <v>0.22845441766329597</v>
      </c>
      <c r="N164" s="8">
        <f>SQRT((C164-Sheet5!$C$525)^2+(D164-Sheet5!$D$525)^2+(E164-Sheet5!$E$525)^2+(F164-Sheet5!$F$525)^2+(G164-Sheet5!$G$525)^2+(H164-Sheet5!$H$525)^2+(I164-Sheet5!$I$525)^2+(J164-Sheet5!$J$525)^2+(K164-Sheet5!$K$525)^2+(L164-Sheet5!$L$525)^2)</f>
        <v>2.4557888797404863</v>
      </c>
      <c r="O164" s="8">
        <f>SQRT((C164-Sheet5!$C$526)^2+(D164-Sheet5!$D$526)^2+(E164-Sheet5!$E$526)^2+(F164-Sheet5!$F$526)^2+(G164-Sheet5!$G$526)^2+(H164-Sheet5!$H$526)^2+(I164-Sheet5!$I$526)^2+(J164-Sheet5!$J$526)^2+(K164-Sheet5!$K$526)^2+(L164-Sheet5!$L$526)^2)</f>
        <v>3.7085250349937757</v>
      </c>
      <c r="P164" s="12">
        <f t="shared" si="2"/>
        <v>0</v>
      </c>
      <c r="Q164" s="11">
        <f>IF(P164=Sheet1!$M164, 1, 0)</f>
        <v>1</v>
      </c>
    </row>
    <row r="165" spans="1:17" x14ac:dyDescent="0.35">
      <c r="A165" s="6" t="s">
        <v>183</v>
      </c>
      <c r="B165" s="6" t="s">
        <v>187</v>
      </c>
      <c r="C165" s="6">
        <v>-0.68753811350034011</v>
      </c>
      <c r="D165" s="6">
        <v>0.38875765843198068</v>
      </c>
      <c r="E165" s="6">
        <v>-6.5529339838668712E-3</v>
      </c>
      <c r="F165" s="6">
        <v>0.43188335037870729</v>
      </c>
      <c r="G165" s="6">
        <v>1.1797509345330859</v>
      </c>
      <c r="H165" s="6">
        <v>-0.68364756781607228</v>
      </c>
      <c r="I165" s="6">
        <v>0.88824751402700619</v>
      </c>
      <c r="J165" s="6">
        <v>1.2376638269455078</v>
      </c>
      <c r="K165" s="6">
        <v>-0.67986430531400877</v>
      </c>
      <c r="L165" s="6">
        <v>1.295137407202702</v>
      </c>
      <c r="N165" s="8">
        <f>SQRT((C165-Sheet5!$C$525)^2+(D165-Sheet5!$D$525)^2+(E165-Sheet5!$E$525)^2+(F165-Sheet5!$F$525)^2+(G165-Sheet5!$G$525)^2+(H165-Sheet5!$H$525)^2+(I165-Sheet5!$I$525)^2+(J165-Sheet5!$J$525)^2+(K165-Sheet5!$K$525)^2+(L165-Sheet5!$L$525)^2)</f>
        <v>3.4845737900240157</v>
      </c>
      <c r="O165" s="8">
        <f>SQRT((C165-Sheet5!$C$526)^2+(D165-Sheet5!$D$526)^2+(E165-Sheet5!$E$526)^2+(F165-Sheet5!$F$526)^2+(G165-Sheet5!$G$526)^2+(H165-Sheet5!$H$526)^2+(I165-Sheet5!$I$526)^2+(J165-Sheet5!$J$526)^2+(K165-Sheet5!$K$526)^2+(L165-Sheet5!$L$526)^2)</f>
        <v>2.0682218839456437</v>
      </c>
      <c r="P165" s="12">
        <f t="shared" si="2"/>
        <v>1</v>
      </c>
      <c r="Q165" s="11">
        <f>IF(P165=Sheet1!$M165, 1, 0)</f>
        <v>0</v>
      </c>
    </row>
    <row r="166" spans="1:17" x14ac:dyDescent="0.35">
      <c r="A166" s="6" t="s">
        <v>183</v>
      </c>
      <c r="B166" s="6" t="s">
        <v>188</v>
      </c>
      <c r="C166" s="6">
        <v>-0.21783049713034378</v>
      </c>
      <c r="D166" s="6">
        <v>-0.55645985019444255</v>
      </c>
      <c r="E166" s="6">
        <v>-0.87080056898789693</v>
      </c>
      <c r="F166" s="6">
        <v>-0.53565333212647581</v>
      </c>
      <c r="G166" s="6">
        <v>0.56130358615268228</v>
      </c>
      <c r="H166" s="6">
        <v>-1.8029298553195483</v>
      </c>
      <c r="I166" s="6">
        <v>-0.49639345500834353</v>
      </c>
      <c r="J166" s="6">
        <v>1.3743171562241023</v>
      </c>
      <c r="K166" s="6">
        <v>-1.0491809784373596</v>
      </c>
      <c r="L166" s="6">
        <v>0.37646791478787001</v>
      </c>
      <c r="N166" s="8">
        <f>SQRT((C166-Sheet5!$C$525)^2+(D166-Sheet5!$D$525)^2+(E166-Sheet5!$E$525)^2+(F166-Sheet5!$F$525)^2+(G166-Sheet5!$G$525)^2+(H166-Sheet5!$H$525)^2+(I166-Sheet5!$I$525)^2+(J166-Sheet5!$J$525)^2+(K166-Sheet5!$K$525)^2+(L166-Sheet5!$L$525)^2)</f>
        <v>2.9805850055872836</v>
      </c>
      <c r="O166" s="8">
        <f>SQRT((C166-Sheet5!$C$526)^2+(D166-Sheet5!$D$526)^2+(E166-Sheet5!$E$526)^2+(F166-Sheet5!$F$526)^2+(G166-Sheet5!$G$526)^2+(H166-Sheet5!$H$526)^2+(I166-Sheet5!$I$526)^2+(J166-Sheet5!$J$526)^2+(K166-Sheet5!$K$526)^2+(L166-Sheet5!$L$526)^2)</f>
        <v>4.0562173608562366</v>
      </c>
      <c r="P166" s="12">
        <f t="shared" si="2"/>
        <v>0</v>
      </c>
      <c r="Q166" s="11">
        <f>IF(P166=Sheet1!$M166, 1, 0)</f>
        <v>1</v>
      </c>
    </row>
    <row r="167" spans="1:17" x14ac:dyDescent="0.35">
      <c r="A167" s="6" t="s">
        <v>183</v>
      </c>
      <c r="B167" s="6" t="s">
        <v>189</v>
      </c>
      <c r="C167" s="6">
        <v>-0.15072940907748716</v>
      </c>
      <c r="D167" s="6">
        <v>-0.58714873034465098</v>
      </c>
      <c r="E167" s="6">
        <v>-0.91942831315692164</v>
      </c>
      <c r="F167" s="6">
        <v>-0.62038982502103757</v>
      </c>
      <c r="G167" s="6">
        <v>3.8299200069645666E-3</v>
      </c>
      <c r="H167" s="6">
        <v>-1.5002173213556629</v>
      </c>
      <c r="I167" s="6">
        <v>7.8657560906266067E-3</v>
      </c>
      <c r="J167" s="6">
        <v>0.41774385127394009</v>
      </c>
      <c r="K167" s="6">
        <v>-0.20100455117949576</v>
      </c>
      <c r="L167" s="6">
        <v>6.7185789635758039E-2</v>
      </c>
      <c r="N167" s="8">
        <f>SQRT((C167-Sheet5!$C$525)^2+(D167-Sheet5!$D$525)^2+(E167-Sheet5!$E$525)^2+(F167-Sheet5!$F$525)^2+(G167-Sheet5!$G$525)^2+(H167-Sheet5!$H$525)^2+(I167-Sheet5!$I$525)^2+(J167-Sheet5!$J$525)^2+(K167-Sheet5!$K$525)^2+(L167-Sheet5!$L$525)^2)</f>
        <v>1.7825377310188404</v>
      </c>
      <c r="O167" s="8">
        <f>SQRT((C167-Sheet5!$C$526)^2+(D167-Sheet5!$D$526)^2+(E167-Sheet5!$E$526)^2+(F167-Sheet5!$F$526)^2+(G167-Sheet5!$G$526)^2+(H167-Sheet5!$H$526)^2+(I167-Sheet5!$I$526)^2+(J167-Sheet5!$J$526)^2+(K167-Sheet5!$K$526)^2+(L167-Sheet5!$L$526)^2)</f>
        <v>3.9591650894639221</v>
      </c>
      <c r="P167" s="12">
        <f t="shared" si="2"/>
        <v>0</v>
      </c>
      <c r="Q167" s="11">
        <f>IF(P167=Sheet1!$M167, 1, 0)</f>
        <v>1</v>
      </c>
    </row>
    <row r="168" spans="1:17" x14ac:dyDescent="0.35">
      <c r="A168" s="6" t="s">
        <v>183</v>
      </c>
      <c r="B168" s="6" t="s">
        <v>190</v>
      </c>
      <c r="C168" s="6">
        <v>-0.57749232909365533</v>
      </c>
      <c r="D168" s="6">
        <v>-0.32936213708289924</v>
      </c>
      <c r="E168" s="6">
        <v>-0.39262775132582062</v>
      </c>
      <c r="F168" s="6">
        <v>0.15456391908741327</v>
      </c>
      <c r="G168" s="6">
        <v>0.68615445929989805</v>
      </c>
      <c r="H168" s="6">
        <v>-0.57161161218531054</v>
      </c>
      <c r="I168" s="6">
        <v>0.31768873534991754</v>
      </c>
      <c r="J168" s="6">
        <v>1.9201181156748245E-4</v>
      </c>
      <c r="K168" s="6">
        <v>5.72041397753872E-2</v>
      </c>
      <c r="L168" s="6">
        <v>1.6942861687715773E-2</v>
      </c>
      <c r="N168" s="8">
        <f>SQRT((C168-Sheet5!$C$525)^2+(D168-Sheet5!$D$525)^2+(E168-Sheet5!$E$525)^2+(F168-Sheet5!$F$525)^2+(G168-Sheet5!$G$525)^2+(H168-Sheet5!$H$525)^2+(I168-Sheet5!$I$525)^2+(J168-Sheet5!$J$525)^2+(K168-Sheet5!$K$525)^2+(L168-Sheet5!$L$525)^2)</f>
        <v>1.6798476048583857</v>
      </c>
      <c r="O168" s="8">
        <f>SQRT((C168-Sheet5!$C$526)^2+(D168-Sheet5!$D$526)^2+(E168-Sheet5!$E$526)^2+(F168-Sheet5!$F$526)^2+(G168-Sheet5!$G$526)^2+(H168-Sheet5!$H$526)^2+(I168-Sheet5!$I$526)^2+(J168-Sheet5!$J$526)^2+(K168-Sheet5!$K$526)^2+(L168-Sheet5!$L$526)^2)</f>
        <v>2.7863668023038946</v>
      </c>
      <c r="P168" s="12">
        <f t="shared" si="2"/>
        <v>0</v>
      </c>
      <c r="Q168" s="11">
        <f>IF(P168=Sheet1!$M168, 1, 0)</f>
        <v>1</v>
      </c>
    </row>
    <row r="169" spans="1:17" x14ac:dyDescent="0.35">
      <c r="A169" s="6" t="s">
        <v>183</v>
      </c>
      <c r="B169" s="6" t="s">
        <v>191</v>
      </c>
      <c r="C169" s="6">
        <v>0.11096483432865353</v>
      </c>
      <c r="D169" s="6">
        <v>-0.39073989738331666</v>
      </c>
      <c r="E169" s="6">
        <v>-0.3373689511337471</v>
      </c>
      <c r="F169" s="6">
        <v>-3.3397028787799446E-2</v>
      </c>
      <c r="G169" s="6">
        <v>1.1971719866001402</v>
      </c>
      <c r="H169" s="6">
        <v>0.20348329239481522</v>
      </c>
      <c r="I169" s="6">
        <v>0.59053695576756482</v>
      </c>
      <c r="J169" s="6">
        <v>2.5130949002123906</v>
      </c>
      <c r="K169" s="6">
        <v>-0.8833014557633122</v>
      </c>
      <c r="L169" s="6">
        <v>-9.363169405390992E-2</v>
      </c>
      <c r="N169" s="8">
        <f>SQRT((C169-Sheet5!$C$525)^2+(D169-Sheet5!$D$525)^2+(E169-Sheet5!$E$525)^2+(F169-Sheet5!$F$525)^2+(G169-Sheet5!$G$525)^2+(H169-Sheet5!$H$525)^2+(I169-Sheet5!$I$525)^2+(J169-Sheet5!$J$525)^2+(K169-Sheet5!$K$525)^2+(L169-Sheet5!$L$525)^2)</f>
        <v>3.6512109068858454</v>
      </c>
      <c r="O169" s="8">
        <f>SQRT((C169-Sheet5!$C$526)^2+(D169-Sheet5!$D$526)^2+(E169-Sheet5!$E$526)^2+(F169-Sheet5!$F$526)^2+(G169-Sheet5!$G$526)^2+(H169-Sheet5!$H$526)^2+(I169-Sheet5!$I$526)^2+(J169-Sheet5!$J$526)^2+(K169-Sheet5!$K$526)^2+(L169-Sheet5!$L$526)^2)</f>
        <v>2.9211043349915764</v>
      </c>
      <c r="P169" s="12">
        <f t="shared" si="2"/>
        <v>1</v>
      </c>
      <c r="Q169" s="11">
        <f>IF(P169=Sheet1!$M169, 1, 0)</f>
        <v>0</v>
      </c>
    </row>
    <row r="170" spans="1:17" x14ac:dyDescent="0.35">
      <c r="A170" s="6" t="s">
        <v>183</v>
      </c>
      <c r="B170" s="6" t="s">
        <v>192</v>
      </c>
      <c r="C170" s="6">
        <v>3.6030934440831001E-3</v>
      </c>
      <c r="D170" s="6">
        <v>-0.82038421948623641</v>
      </c>
      <c r="E170" s="6">
        <v>1.5918978094243034E-2</v>
      </c>
      <c r="F170" s="6">
        <v>-0.12429617571105542</v>
      </c>
      <c r="G170" s="6">
        <v>0.73261059814537755</v>
      </c>
      <c r="H170" s="6">
        <v>0.33437145209806052</v>
      </c>
      <c r="I170" s="6">
        <v>0.72696106597638843</v>
      </c>
      <c r="J170" s="6">
        <v>2.0196245444841328</v>
      </c>
      <c r="K170" s="6">
        <v>-0.77845307822405707</v>
      </c>
      <c r="L170" s="6">
        <v>0.25417695817825253</v>
      </c>
      <c r="N170" s="8">
        <f>SQRT((C170-Sheet5!$C$525)^2+(D170-Sheet5!$D$525)^2+(E170-Sheet5!$E$525)^2+(F170-Sheet5!$F$525)^2+(G170-Sheet5!$G$525)^2+(H170-Sheet5!$H$525)^2+(I170-Sheet5!$I$525)^2+(J170-Sheet5!$J$525)^2+(K170-Sheet5!$K$525)^2+(L170-Sheet5!$L$525)^2)</f>
        <v>3.1977735979608175</v>
      </c>
      <c r="O170" s="8">
        <f>SQRT((C170-Sheet5!$C$526)^2+(D170-Sheet5!$D$526)^2+(E170-Sheet5!$E$526)^2+(F170-Sheet5!$F$526)^2+(G170-Sheet5!$G$526)^2+(H170-Sheet5!$H$526)^2+(I170-Sheet5!$I$526)^2+(J170-Sheet5!$J$526)^2+(K170-Sheet5!$K$526)^2+(L170-Sheet5!$L$526)^2)</f>
        <v>2.6826387579072484</v>
      </c>
      <c r="P170" s="12">
        <f t="shared" si="2"/>
        <v>1</v>
      </c>
      <c r="Q170" s="11">
        <f>IF(P170=Sheet1!$M170, 1, 0)</f>
        <v>0</v>
      </c>
    </row>
    <row r="171" spans="1:17" x14ac:dyDescent="0.35">
      <c r="A171" s="6" t="s">
        <v>183</v>
      </c>
      <c r="B171" s="6" t="s">
        <v>193</v>
      </c>
      <c r="C171" s="6">
        <v>7.6291587272544108E-3</v>
      </c>
      <c r="D171" s="6">
        <v>-0.69149092285536051</v>
      </c>
      <c r="E171" s="6">
        <v>-0.2703216069006979</v>
      </c>
      <c r="F171" s="6">
        <v>-0.32612309515083121</v>
      </c>
      <c r="G171" s="6">
        <v>0.23320710555650215</v>
      </c>
      <c r="H171" s="6">
        <v>0.18247655071404736</v>
      </c>
      <c r="I171" s="6">
        <v>0.74353595787091786</v>
      </c>
      <c r="J171" s="6">
        <v>0.24692718967569677</v>
      </c>
      <c r="K171" s="6">
        <v>-0.28707411483112566</v>
      </c>
      <c r="L171" s="6">
        <v>1.7231630839184574E-2</v>
      </c>
      <c r="N171" s="8">
        <f>SQRT((C171-Sheet5!$C$525)^2+(D171-Sheet5!$D$525)^2+(E171-Sheet5!$E$525)^2+(F171-Sheet5!$F$525)^2+(G171-Sheet5!$G$525)^2+(H171-Sheet5!$H$525)^2+(I171-Sheet5!$I$525)^2+(J171-Sheet5!$J$525)^2+(K171-Sheet5!$K$525)^2+(L171-Sheet5!$L$525)^2)</f>
        <v>1.5922528029848997</v>
      </c>
      <c r="O171" s="8">
        <f>SQRT((C171-Sheet5!$C$526)^2+(D171-Sheet5!$D$526)^2+(E171-Sheet5!$E$526)^2+(F171-Sheet5!$F$526)^2+(G171-Sheet5!$G$526)^2+(H171-Sheet5!$H$526)^2+(I171-Sheet5!$I$526)^2+(J171-Sheet5!$J$526)^2+(K171-Sheet5!$K$526)^2+(L171-Sheet5!$L$526)^2)</f>
        <v>2.8616958625239985</v>
      </c>
      <c r="P171" s="12">
        <f t="shared" si="2"/>
        <v>0</v>
      </c>
      <c r="Q171" s="11">
        <f>IF(P171=Sheet1!$M171, 1, 0)</f>
        <v>1</v>
      </c>
    </row>
    <row r="172" spans="1:17" x14ac:dyDescent="0.35">
      <c r="A172" s="6" t="s">
        <v>183</v>
      </c>
      <c r="B172" s="6" t="s">
        <v>194</v>
      </c>
      <c r="C172" s="6">
        <v>-0.20977836656400092</v>
      </c>
      <c r="D172" s="6">
        <v>5.1179976779686241E-2</v>
      </c>
      <c r="E172" s="6">
        <v>-2.3130574041488931E-2</v>
      </c>
      <c r="F172" s="6">
        <v>0.28860164421153744</v>
      </c>
      <c r="G172" s="6">
        <v>0.86036497997043715</v>
      </c>
      <c r="H172" s="6">
        <v>0.57460239542171354</v>
      </c>
      <c r="I172" s="6">
        <v>0.57523705555722882</v>
      </c>
      <c r="J172" s="6">
        <v>1.5641134468888169</v>
      </c>
      <c r="K172" s="6">
        <v>-0.14936281298851917</v>
      </c>
      <c r="L172" s="6">
        <v>5.1205028979234367E-2</v>
      </c>
      <c r="N172" s="8">
        <f>SQRT((C172-Sheet5!$C$525)^2+(D172-Sheet5!$D$525)^2+(E172-Sheet5!$E$525)^2+(F172-Sheet5!$F$525)^2+(G172-Sheet5!$G$525)^2+(H172-Sheet5!$H$525)^2+(I172-Sheet5!$I$525)^2+(J172-Sheet5!$J$525)^2+(K172-Sheet5!$K$525)^2+(L172-Sheet5!$L$525)^2)</f>
        <v>2.8435657332122299</v>
      </c>
      <c r="O172" s="8">
        <f>SQRT((C172-Sheet5!$C$526)^2+(D172-Sheet5!$D$526)^2+(E172-Sheet5!$E$526)^2+(F172-Sheet5!$F$526)^2+(G172-Sheet5!$G$526)^2+(H172-Sheet5!$H$526)^2+(I172-Sheet5!$I$526)^2+(J172-Sheet5!$J$526)^2+(K172-Sheet5!$K$526)^2+(L172-Sheet5!$L$526)^2)</f>
        <v>1.8514110767014842</v>
      </c>
      <c r="P172" s="12">
        <f t="shared" si="2"/>
        <v>1</v>
      </c>
      <c r="Q172" s="11">
        <f>IF(P172=Sheet1!$M172, 1, 0)</f>
        <v>0</v>
      </c>
    </row>
    <row r="173" spans="1:17" x14ac:dyDescent="0.35">
      <c r="A173" s="6" t="s">
        <v>183</v>
      </c>
      <c r="B173" s="6" t="s">
        <v>195</v>
      </c>
      <c r="C173" s="6">
        <v>0.10291270376231068</v>
      </c>
      <c r="D173" s="6">
        <v>-1.1763752292286556</v>
      </c>
      <c r="E173" s="6">
        <v>-0.18964375862027052</v>
      </c>
      <c r="F173" s="6">
        <v>-0.35231437477278704</v>
      </c>
      <c r="G173" s="6">
        <v>0.6338913030987392</v>
      </c>
      <c r="H173" s="6">
        <v>0.67586566301105566</v>
      </c>
      <c r="I173" s="6">
        <v>0.81684797971210843</v>
      </c>
      <c r="J173" s="6">
        <v>1.2300719753189193</v>
      </c>
      <c r="K173" s="6">
        <v>6.1898843247294361E-2</v>
      </c>
      <c r="L173" s="6">
        <v>0.7852512598936161</v>
      </c>
      <c r="N173" s="8">
        <f>SQRT((C173-Sheet5!$C$525)^2+(D173-Sheet5!$D$525)^2+(E173-Sheet5!$E$525)^2+(F173-Sheet5!$F$525)^2+(G173-Sheet5!$G$525)^2+(H173-Sheet5!$H$525)^2+(I173-Sheet5!$I$525)^2+(J173-Sheet5!$J$525)^2+(K173-Sheet5!$K$525)^2+(L173-Sheet5!$L$525)^2)</f>
        <v>2.7436291323173525</v>
      </c>
      <c r="O173" s="8">
        <f>SQRT((C173-Sheet5!$C$526)^2+(D173-Sheet5!$D$526)^2+(E173-Sheet5!$E$526)^2+(F173-Sheet5!$F$526)^2+(G173-Sheet5!$G$526)^2+(H173-Sheet5!$H$526)^2+(I173-Sheet5!$I$526)^2+(J173-Sheet5!$J$526)^2+(K173-Sheet5!$K$526)^2+(L173-Sheet5!$L$526)^2)</f>
        <v>2.9953899734861005</v>
      </c>
      <c r="P173" s="12">
        <f t="shared" si="2"/>
        <v>0</v>
      </c>
      <c r="Q173" s="11">
        <f>IF(P173=Sheet1!$M173, 1, 0)</f>
        <v>1</v>
      </c>
    </row>
    <row r="174" spans="1:17" x14ac:dyDescent="0.35">
      <c r="A174" s="6" t="s">
        <v>183</v>
      </c>
      <c r="B174" s="6" t="s">
        <v>196</v>
      </c>
      <c r="C174" s="6">
        <v>-0.30103584631588609</v>
      </c>
      <c r="D174" s="6">
        <v>-0.81424644345619435</v>
      </c>
      <c r="E174" s="6">
        <v>0.19495749071656129</v>
      </c>
      <c r="F174" s="6">
        <v>-0.12275551220388296</v>
      </c>
      <c r="G174" s="6">
        <v>0.84875094525906614</v>
      </c>
      <c r="H174" s="6">
        <v>0.4641823429971641</v>
      </c>
      <c r="I174" s="6">
        <v>0.86784764707989281</v>
      </c>
      <c r="J174" s="6">
        <v>1.7880730698731804</v>
      </c>
      <c r="K174" s="6">
        <v>-0.26360059747158981</v>
      </c>
      <c r="L174" s="6">
        <v>0.14750036808109171</v>
      </c>
      <c r="N174" s="8">
        <f>SQRT((C174-Sheet5!$C$525)^2+(D174-Sheet5!$D$525)^2+(E174-Sheet5!$E$525)^2+(F174-Sheet5!$F$525)^2+(G174-Sheet5!$G$525)^2+(H174-Sheet5!$H$525)^2+(I174-Sheet5!$I$525)^2+(J174-Sheet5!$J$525)^2+(K174-Sheet5!$K$525)^2+(L174-Sheet5!$L$525)^2)</f>
        <v>3.076849881594196</v>
      </c>
      <c r="O174" s="8">
        <f>SQRT((C174-Sheet5!$C$526)^2+(D174-Sheet5!$D$526)^2+(E174-Sheet5!$E$526)^2+(F174-Sheet5!$F$526)^2+(G174-Sheet5!$G$526)^2+(H174-Sheet5!$H$526)^2+(I174-Sheet5!$I$526)^2+(J174-Sheet5!$J$526)^2+(K174-Sheet5!$K$526)^2+(L174-Sheet5!$L$526)^2)</f>
        <v>2.4876322700942253</v>
      </c>
      <c r="P174" s="12">
        <f t="shared" si="2"/>
        <v>1</v>
      </c>
      <c r="Q174" s="11">
        <f>IF(P174=Sheet1!$M174, 1, 0)</f>
        <v>0</v>
      </c>
    </row>
    <row r="175" spans="1:17" x14ac:dyDescent="0.35">
      <c r="A175" s="6" t="s">
        <v>183</v>
      </c>
      <c r="B175" s="6" t="s">
        <v>197</v>
      </c>
      <c r="C175" s="6">
        <v>-0.46207845764274191</v>
      </c>
      <c r="D175" s="6">
        <v>-0.20660661648206549</v>
      </c>
      <c r="E175" s="6">
        <v>0.49519697176016081</v>
      </c>
      <c r="F175" s="6">
        <v>0.16226723662328213</v>
      </c>
      <c r="G175" s="6">
        <v>0.44225973036114985</v>
      </c>
      <c r="H175" s="6">
        <v>-0.24735370213858687</v>
      </c>
      <c r="I175" s="6">
        <v>-0.23183268053796097</v>
      </c>
      <c r="J175" s="6">
        <v>2.1410941705095494</v>
      </c>
      <c r="K175" s="6">
        <v>-1.3042598670776384</v>
      </c>
      <c r="L175" s="6">
        <v>0.51978596700351043</v>
      </c>
      <c r="N175" s="8">
        <f>SQRT((C175-Sheet5!$C$525)^2+(D175-Sheet5!$D$525)^2+(E175-Sheet5!$E$525)^2+(F175-Sheet5!$F$525)^2+(G175-Sheet5!$G$525)^2+(H175-Sheet5!$H$525)^2+(I175-Sheet5!$I$525)^2+(J175-Sheet5!$J$525)^2+(K175-Sheet5!$K$525)^2+(L175-Sheet5!$L$525)^2)</f>
        <v>3.4314439336015288</v>
      </c>
      <c r="O175" s="8">
        <f>SQRT((C175-Sheet5!$C$526)^2+(D175-Sheet5!$D$526)^2+(E175-Sheet5!$E$526)^2+(F175-Sheet5!$F$526)^2+(G175-Sheet5!$G$526)^2+(H175-Sheet5!$H$526)^2+(I175-Sheet5!$I$526)^2+(J175-Sheet5!$J$526)^2+(K175-Sheet5!$K$526)^2+(L175-Sheet5!$L$526)^2)</f>
        <v>2.4673567034539481</v>
      </c>
      <c r="P175" s="12">
        <f t="shared" si="2"/>
        <v>1</v>
      </c>
      <c r="Q175" s="11">
        <f>IF(P175=Sheet1!$M175, 1, 0)</f>
        <v>0</v>
      </c>
    </row>
    <row r="176" spans="1:17" x14ac:dyDescent="0.35">
      <c r="A176" s="6" t="s">
        <v>183</v>
      </c>
      <c r="B176" s="6" t="s">
        <v>198</v>
      </c>
      <c r="C176" s="6">
        <v>-0.44597419651005643</v>
      </c>
      <c r="D176" s="6">
        <v>-0.40301544944339984</v>
      </c>
      <c r="E176" s="6">
        <v>0.44104334757192876</v>
      </c>
      <c r="F176" s="6">
        <v>0.15610458259458573</v>
      </c>
      <c r="G176" s="6">
        <v>0.77616322831300921</v>
      </c>
      <c r="H176" s="6">
        <v>-6.5914599008273019E-4</v>
      </c>
      <c r="I176" s="6">
        <v>0.73269852855526352</v>
      </c>
      <c r="J176" s="6">
        <v>2.5700337874118051</v>
      </c>
      <c r="K176" s="6">
        <v>-0.82540011294312643</v>
      </c>
      <c r="L176" s="6">
        <v>3.0293057143532587</v>
      </c>
      <c r="N176" s="8">
        <f>SQRT((C176-Sheet5!$C$525)^2+(D176-Sheet5!$D$525)^2+(E176-Sheet5!$E$525)^2+(F176-Sheet5!$F$525)^2+(G176-Sheet5!$G$525)^2+(H176-Sheet5!$H$525)^2+(I176-Sheet5!$I$525)^2+(J176-Sheet5!$J$525)^2+(K176-Sheet5!$K$525)^2+(L176-Sheet5!$L$525)^2)</f>
        <v>4.9576368012067888</v>
      </c>
      <c r="O176" s="8">
        <f>SQRT((C176-Sheet5!$C$526)^2+(D176-Sheet5!$D$526)^2+(E176-Sheet5!$E$526)^2+(F176-Sheet5!$F$526)^2+(G176-Sheet5!$G$526)^2+(H176-Sheet5!$H$526)^2+(I176-Sheet5!$I$526)^2+(J176-Sheet5!$J$526)^2+(K176-Sheet5!$K$526)^2+(L176-Sheet5!$L$526)^2)</f>
        <v>3.4556207311764551</v>
      </c>
      <c r="P176" s="12">
        <f t="shared" si="2"/>
        <v>1</v>
      </c>
      <c r="Q176" s="11">
        <f>IF(P176=Sheet1!$M176, 1, 0)</f>
        <v>0</v>
      </c>
    </row>
    <row r="177" spans="1:17" x14ac:dyDescent="0.35">
      <c r="A177" s="6" t="s">
        <v>183</v>
      </c>
      <c r="B177" s="6" t="s">
        <v>199</v>
      </c>
      <c r="C177" s="6">
        <v>-0.94789033514542376</v>
      </c>
      <c r="D177" s="6">
        <v>0.5299265071229402</v>
      </c>
      <c r="E177" s="6">
        <v>0.37436439534016003</v>
      </c>
      <c r="F177" s="6">
        <v>0.69687747361261076</v>
      </c>
      <c r="G177" s="6">
        <v>1.2058825126336674</v>
      </c>
      <c r="H177" s="6">
        <v>0.20563783000309868</v>
      </c>
      <c r="I177" s="6">
        <v>0.63006169797759715</v>
      </c>
      <c r="J177" s="6">
        <v>1.9095426958985979</v>
      </c>
      <c r="K177" s="6">
        <v>-0.56249671851633409</v>
      </c>
      <c r="L177" s="6">
        <v>4.8030228582441232</v>
      </c>
      <c r="N177" s="8">
        <f>SQRT((C177-Sheet5!$C$525)^2+(D177-Sheet5!$D$525)^2+(E177-Sheet5!$E$525)^2+(F177-Sheet5!$F$525)^2+(G177-Sheet5!$G$525)^2+(H177-Sheet5!$H$525)^2+(I177-Sheet5!$I$525)^2+(J177-Sheet5!$J$525)^2+(K177-Sheet5!$K$525)^2+(L177-Sheet5!$L$525)^2)</f>
        <v>6.2478272413597526</v>
      </c>
      <c r="O177" s="8">
        <f>SQRT((C177-Sheet5!$C$526)^2+(D177-Sheet5!$D$526)^2+(E177-Sheet5!$E$526)^2+(F177-Sheet5!$F$526)^2+(G177-Sheet5!$G$526)^2+(H177-Sheet5!$H$526)^2+(I177-Sheet5!$I$526)^2+(J177-Sheet5!$J$526)^2+(K177-Sheet5!$K$526)^2+(L177-Sheet5!$L$526)^2)</f>
        <v>4.4510317282915315</v>
      </c>
      <c r="P177" s="12">
        <f t="shared" si="2"/>
        <v>1</v>
      </c>
      <c r="Q177" s="11">
        <f>IF(P177=Sheet1!$M177, 1, 0)</f>
        <v>0</v>
      </c>
    </row>
    <row r="178" spans="1:17" x14ac:dyDescent="0.35">
      <c r="A178" s="6" t="s">
        <v>183</v>
      </c>
      <c r="B178" s="6" t="s">
        <v>200</v>
      </c>
      <c r="C178" s="6">
        <v>-0.13059908266163012</v>
      </c>
      <c r="D178" s="6">
        <v>-0.14522885618164863</v>
      </c>
      <c r="E178" s="6">
        <v>-0.65529124823881013</v>
      </c>
      <c r="F178" s="6">
        <v>-0.25217124680648539</v>
      </c>
      <c r="G178" s="6">
        <v>0.83132989319201189</v>
      </c>
      <c r="H178" s="6">
        <v>-0.72296787916725325</v>
      </c>
      <c r="I178" s="6">
        <v>0.46750025824278418</v>
      </c>
      <c r="J178" s="6">
        <v>2.5017071227725078</v>
      </c>
      <c r="K178" s="6">
        <v>-1.3637261110551273</v>
      </c>
      <c r="L178" s="6">
        <v>0.20346959666076761</v>
      </c>
      <c r="N178" s="8">
        <f>SQRT((C178-Sheet5!$C$525)^2+(D178-Sheet5!$D$525)^2+(E178-Sheet5!$E$525)^2+(F178-Sheet5!$F$525)^2+(G178-Sheet5!$G$525)^2+(H178-Sheet5!$H$525)^2+(I178-Sheet5!$I$525)^2+(J178-Sheet5!$J$525)^2+(K178-Sheet5!$K$525)^2+(L178-Sheet5!$L$525)^2)</f>
        <v>3.6918721843939704</v>
      </c>
      <c r="O178" s="8">
        <f>SQRT((C178-Sheet5!$C$526)^2+(D178-Sheet5!$D$526)^2+(E178-Sheet5!$E$526)^2+(F178-Sheet5!$F$526)^2+(G178-Sheet5!$G$526)^2+(H178-Sheet5!$H$526)^2+(I178-Sheet5!$I$526)^2+(J178-Sheet5!$J$526)^2+(K178-Sheet5!$K$526)^2+(L178-Sheet5!$L$526)^2)</f>
        <v>3.3104044778103847</v>
      </c>
      <c r="P178" s="12">
        <f t="shared" si="2"/>
        <v>1</v>
      </c>
      <c r="Q178" s="11">
        <f>IF(P178=Sheet1!$M178, 1, 0)</f>
        <v>0</v>
      </c>
    </row>
    <row r="179" spans="1:17" x14ac:dyDescent="0.35">
      <c r="A179" s="6" t="s">
        <v>183</v>
      </c>
      <c r="B179" s="6" t="s">
        <v>201</v>
      </c>
      <c r="C179" s="6">
        <v>-0.35203267323605703</v>
      </c>
      <c r="D179" s="6">
        <v>-0.36005101723310823</v>
      </c>
      <c r="E179" s="6">
        <v>-0.46409579957423575</v>
      </c>
      <c r="F179" s="6">
        <v>-0.25371191031366003</v>
      </c>
      <c r="G179" s="6">
        <v>0.56420709483052189</v>
      </c>
      <c r="H179" s="6">
        <v>0.23095364690043418</v>
      </c>
      <c r="I179" s="6">
        <v>-0.27773238116896698</v>
      </c>
      <c r="J179" s="6">
        <v>-0.68687056039469974</v>
      </c>
      <c r="K179" s="6">
        <v>0.82713550916813339</v>
      </c>
      <c r="L179" s="6">
        <v>-0.29130364367754757</v>
      </c>
      <c r="N179" s="8">
        <f>SQRT((C179-Sheet5!$C$525)^2+(D179-Sheet5!$D$525)^2+(E179-Sheet5!$E$525)^2+(F179-Sheet5!$F$525)^2+(G179-Sheet5!$G$525)^2+(H179-Sheet5!$H$525)^2+(I179-Sheet5!$I$525)^2+(J179-Sheet5!$J$525)^2+(K179-Sheet5!$K$525)^2+(L179-Sheet5!$L$525)^2)</f>
        <v>1.3901548496609606</v>
      </c>
      <c r="O179" s="8">
        <f>SQRT((C179-Sheet5!$C$526)^2+(D179-Sheet5!$D$526)^2+(E179-Sheet5!$E$526)^2+(F179-Sheet5!$F$526)^2+(G179-Sheet5!$G$526)^2+(H179-Sheet5!$H$526)^2+(I179-Sheet5!$I$526)^2+(J179-Sheet5!$J$526)^2+(K179-Sheet5!$K$526)^2+(L179-Sheet5!$L$526)^2)</f>
        <v>3.5157115760417801</v>
      </c>
      <c r="P179" s="12">
        <f t="shared" si="2"/>
        <v>0</v>
      </c>
      <c r="Q179" s="11">
        <f>IF(P179=Sheet1!$M179, 1, 0)</f>
        <v>1</v>
      </c>
    </row>
    <row r="180" spans="1:17" x14ac:dyDescent="0.35">
      <c r="A180" s="6" t="s">
        <v>183</v>
      </c>
      <c r="B180" s="6" t="s">
        <v>202</v>
      </c>
      <c r="C180" s="6">
        <v>-0.67545991765082591</v>
      </c>
      <c r="D180" s="6">
        <v>1.2848729588180696</v>
      </c>
      <c r="E180" s="6">
        <v>0.51251139582034388</v>
      </c>
      <c r="F180" s="6">
        <v>1.0265794641478165</v>
      </c>
      <c r="G180" s="6">
        <v>1.2087860213115069</v>
      </c>
      <c r="H180" s="6">
        <v>-9.9767875971141382E-2</v>
      </c>
      <c r="I180" s="6">
        <v>0.82896040071195709</v>
      </c>
      <c r="J180" s="6">
        <v>2.5548500841586277</v>
      </c>
      <c r="K180" s="6">
        <v>-1.2041061930102892</v>
      </c>
      <c r="L180" s="6">
        <v>0.23837869461065275</v>
      </c>
      <c r="N180" s="8">
        <f>SQRT((C180-Sheet5!$C$525)^2+(D180-Sheet5!$D$525)^2+(E180-Sheet5!$E$525)^2+(F180-Sheet5!$F$525)^2+(G180-Sheet5!$G$525)^2+(H180-Sheet5!$H$525)^2+(I180-Sheet5!$I$525)^2+(J180-Sheet5!$J$525)^2+(K180-Sheet5!$K$525)^2+(L180-Sheet5!$L$525)^2)</f>
        <v>4.6209974620867689</v>
      </c>
      <c r="O180" s="8">
        <f>SQRT((C180-Sheet5!$C$526)^2+(D180-Sheet5!$D$526)^2+(E180-Sheet5!$E$526)^2+(F180-Sheet5!$F$526)^2+(G180-Sheet5!$G$526)^2+(H180-Sheet5!$H$526)^2+(I180-Sheet5!$I$526)^2+(J180-Sheet5!$J$526)^2+(K180-Sheet5!$K$526)^2+(L180-Sheet5!$L$526)^2)</f>
        <v>2.0216604037601118</v>
      </c>
      <c r="P180" s="12">
        <f t="shared" si="2"/>
        <v>1</v>
      </c>
      <c r="Q180" s="11">
        <f>IF(P180=Sheet1!$M180, 1, 0)</f>
        <v>0</v>
      </c>
    </row>
    <row r="181" spans="1:17" x14ac:dyDescent="0.35">
      <c r="A181" s="6" t="s">
        <v>183</v>
      </c>
      <c r="B181" s="6" t="s">
        <v>203</v>
      </c>
      <c r="C181" s="6">
        <v>-0.53991571978405561</v>
      </c>
      <c r="D181" s="6">
        <v>0.84295308465506735</v>
      </c>
      <c r="E181" s="6">
        <v>0.22737598682924443</v>
      </c>
      <c r="F181" s="6">
        <v>0.71998742622021727</v>
      </c>
      <c r="G181" s="6">
        <v>0.84875094525906614</v>
      </c>
      <c r="H181" s="6">
        <v>-2.0232313257665746</v>
      </c>
      <c r="I181" s="6">
        <v>0.84362280508019538</v>
      </c>
      <c r="J181" s="6">
        <v>2.1714615770159038</v>
      </c>
      <c r="K181" s="6">
        <v>-1.9724726612457335</v>
      </c>
      <c r="L181" s="6">
        <v>-0.2739969269563417</v>
      </c>
      <c r="N181" s="8">
        <f>SQRT((C181-Sheet5!$C$525)^2+(D181-Sheet5!$D$525)^2+(E181-Sheet5!$E$525)^2+(F181-Sheet5!$F$525)^2+(G181-Sheet5!$G$525)^2+(H181-Sheet5!$H$525)^2+(I181-Sheet5!$I$525)^2+(J181-Sheet5!$J$525)^2+(K181-Sheet5!$K$525)^2+(L181-Sheet5!$L$525)^2)</f>
        <v>4.5969433303216123</v>
      </c>
      <c r="O181" s="8">
        <f>SQRT((C181-Sheet5!$C$526)^2+(D181-Sheet5!$D$526)^2+(E181-Sheet5!$E$526)^2+(F181-Sheet5!$F$526)^2+(G181-Sheet5!$G$526)^2+(H181-Sheet5!$H$526)^2+(I181-Sheet5!$I$526)^2+(J181-Sheet5!$J$526)^2+(K181-Sheet5!$K$526)^2+(L181-Sheet5!$L$526)^2)</f>
        <v>3.4772144920968451</v>
      </c>
      <c r="P181" s="12">
        <f t="shared" si="2"/>
        <v>1</v>
      </c>
      <c r="Q181" s="11">
        <f>IF(P181=Sheet1!$M181, 1, 0)</f>
        <v>0</v>
      </c>
    </row>
    <row r="182" spans="1:17" x14ac:dyDescent="0.35">
      <c r="A182" s="6" t="s">
        <v>183</v>
      </c>
      <c r="B182" s="6" t="s">
        <v>204</v>
      </c>
      <c r="C182" s="6">
        <v>-1.0606201630742229</v>
      </c>
      <c r="D182" s="6">
        <v>1.5672106561999888</v>
      </c>
      <c r="E182" s="6">
        <v>2.4576211625813325</v>
      </c>
      <c r="F182" s="6">
        <v>1.8539157675001769</v>
      </c>
      <c r="G182" s="6">
        <v>1.3946105766934129</v>
      </c>
      <c r="H182" s="6">
        <v>-1.5244558694488566</v>
      </c>
      <c r="I182" s="6">
        <v>0.91629733107928835</v>
      </c>
      <c r="J182" s="6">
        <v>2.4295845323199168</v>
      </c>
      <c r="K182" s="6">
        <v>-0.65013118332526487</v>
      </c>
      <c r="L182" s="6">
        <v>3.7287151094048494</v>
      </c>
      <c r="N182" s="8">
        <f>SQRT((C182-Sheet5!$C$525)^2+(D182-Sheet5!$D$525)^2+(E182-Sheet5!$E$525)^2+(F182-Sheet5!$F$525)^2+(G182-Sheet5!$G$525)^2+(H182-Sheet5!$H$525)^2+(I182-Sheet5!$I$525)^2+(J182-Sheet5!$J$525)^2+(K182-Sheet5!$K$525)^2+(L182-Sheet5!$L$525)^2)</f>
        <v>7.044195385290001</v>
      </c>
      <c r="O182" s="8">
        <f>SQRT((C182-Sheet5!$C$526)^2+(D182-Sheet5!$D$526)^2+(E182-Sheet5!$E$526)^2+(F182-Sheet5!$F$526)^2+(G182-Sheet5!$G$526)^2+(H182-Sheet5!$H$526)^2+(I182-Sheet5!$I$526)^2+(J182-Sheet5!$J$526)^2+(K182-Sheet5!$K$526)^2+(L182-Sheet5!$L$526)^2)</f>
        <v>4.5080978833169869</v>
      </c>
      <c r="P182" s="12">
        <f t="shared" si="2"/>
        <v>1</v>
      </c>
      <c r="Q182" s="11">
        <f>IF(P182=Sheet1!$M182, 1, 0)</f>
        <v>0</v>
      </c>
    </row>
    <row r="183" spans="1:17" x14ac:dyDescent="0.35">
      <c r="A183" s="6" t="s">
        <v>183</v>
      </c>
      <c r="B183" s="6" t="s">
        <v>205</v>
      </c>
      <c r="C183" s="6">
        <v>-0.30103584631588609</v>
      </c>
      <c r="D183" s="6">
        <v>1.0332241415863594</v>
      </c>
      <c r="E183" s="6">
        <v>0.54714024394070992</v>
      </c>
      <c r="F183" s="6">
        <v>0.82013055418651892</v>
      </c>
      <c r="G183" s="6">
        <v>0.80810182376927409</v>
      </c>
      <c r="H183" s="6">
        <v>0.83530144602406242</v>
      </c>
      <c r="I183" s="6">
        <v>0.90545990176363411</v>
      </c>
      <c r="J183" s="6">
        <v>2.0765634316835468</v>
      </c>
      <c r="K183" s="6">
        <v>-1.0319670657070339</v>
      </c>
      <c r="L183" s="6">
        <v>-0.10049512247078837</v>
      </c>
      <c r="N183" s="8">
        <f>SQRT((C183-Sheet5!$C$525)^2+(D183-Sheet5!$D$525)^2+(E183-Sheet5!$E$525)^2+(F183-Sheet5!$F$525)^2+(G183-Sheet5!$G$525)^2+(H183-Sheet5!$H$525)^2+(I183-Sheet5!$I$525)^2+(J183-Sheet5!$J$525)^2+(K183-Sheet5!$K$525)^2+(L183-Sheet5!$L$525)^2)</f>
        <v>4.0653822180995061</v>
      </c>
      <c r="O183" s="8">
        <f>SQRT((C183-Sheet5!$C$526)^2+(D183-Sheet5!$D$526)^2+(E183-Sheet5!$E$526)^2+(F183-Sheet5!$F$526)^2+(G183-Sheet5!$G$526)^2+(H183-Sheet5!$H$526)^2+(I183-Sheet5!$I$526)^2+(J183-Sheet5!$J$526)^2+(K183-Sheet5!$K$526)^2+(L183-Sheet5!$L$526)^2)</f>
        <v>1.5361141014585002</v>
      </c>
      <c r="P183" s="12">
        <f t="shared" si="2"/>
        <v>1</v>
      </c>
      <c r="Q183" s="11">
        <f>IF(P183=Sheet1!$M183, 1, 0)</f>
        <v>0</v>
      </c>
    </row>
    <row r="184" spans="1:17" x14ac:dyDescent="0.35">
      <c r="A184" s="6" t="s">
        <v>183</v>
      </c>
      <c r="B184" s="6" t="s">
        <v>206</v>
      </c>
      <c r="C184" s="6">
        <v>-1.010965357915109</v>
      </c>
      <c r="D184" s="6">
        <v>1.7636194891613237</v>
      </c>
      <c r="E184" s="6">
        <v>2.0549687051817567</v>
      </c>
      <c r="F184" s="6">
        <v>1.8523751039930043</v>
      </c>
      <c r="G184" s="6">
        <v>1.6065667101759002</v>
      </c>
      <c r="H184" s="6">
        <v>1.0954618622243415</v>
      </c>
      <c r="I184" s="6">
        <v>0.94753462734205607</v>
      </c>
      <c r="J184" s="6">
        <v>2.2094208351488476</v>
      </c>
      <c r="K184" s="6">
        <v>-0.73620074697689253</v>
      </c>
      <c r="L184" s="6">
        <v>0.99946844909034249</v>
      </c>
      <c r="N184" s="8">
        <f>SQRT((C184-Sheet5!$C$525)^2+(D184-Sheet5!$D$525)^2+(E184-Sheet5!$E$525)^2+(F184-Sheet5!$F$525)^2+(G184-Sheet5!$G$525)^2+(H184-Sheet5!$H$525)^2+(I184-Sheet5!$I$525)^2+(J184-Sheet5!$J$525)^2+(K184-Sheet5!$K$525)^2+(L184-Sheet5!$L$525)^2)</f>
        <v>5.8329836202416478</v>
      </c>
      <c r="O184" s="8">
        <f>SQRT((C184-Sheet5!$C$526)^2+(D184-Sheet5!$D$526)^2+(E184-Sheet5!$E$526)^2+(F184-Sheet5!$F$526)^2+(G184-Sheet5!$G$526)^2+(H184-Sheet5!$H$526)^2+(I184-Sheet5!$I$526)^2+(J184-Sheet5!$J$526)^2+(K184-Sheet5!$K$526)^2+(L184-Sheet5!$L$526)^2)</f>
        <v>2.243911265359591</v>
      </c>
      <c r="P184" s="12">
        <f t="shared" si="2"/>
        <v>1</v>
      </c>
      <c r="Q184" s="11">
        <f>IF(P184=Sheet1!$M184, 1, 0)</f>
        <v>0</v>
      </c>
    </row>
    <row r="185" spans="1:17" x14ac:dyDescent="0.35">
      <c r="A185" s="6" t="s">
        <v>183</v>
      </c>
      <c r="B185" s="6" t="s">
        <v>207</v>
      </c>
      <c r="C185" s="6">
        <v>-1.3008420583034497</v>
      </c>
      <c r="D185" s="6">
        <v>1.8556861296119496</v>
      </c>
      <c r="E185" s="6">
        <v>1.8770353685632797</v>
      </c>
      <c r="F185" s="6">
        <v>1.7630166205769209</v>
      </c>
      <c r="G185" s="6">
        <v>1.4410667155388925</v>
      </c>
      <c r="H185" s="6">
        <v>1.0696074109249347</v>
      </c>
      <c r="I185" s="6">
        <v>0.91693482692138517</v>
      </c>
      <c r="J185" s="6">
        <v>1.7842771440598861</v>
      </c>
      <c r="K185" s="6">
        <v>-1.0710895946395922</v>
      </c>
      <c r="L185" s="6">
        <v>0.58470214984446123</v>
      </c>
      <c r="N185" s="8">
        <f>SQRT((C185-Sheet5!$C$525)^2+(D185-Sheet5!$D$525)^2+(E185-Sheet5!$E$525)^2+(F185-Sheet5!$F$525)^2+(G185-Sheet5!$G$525)^2+(H185-Sheet5!$H$525)^2+(I185-Sheet5!$I$525)^2+(J185-Sheet5!$J$525)^2+(K185-Sheet5!$K$525)^2+(L185-Sheet5!$L$525)^2)</f>
        <v>5.5759666674233861</v>
      </c>
      <c r="O185" s="8">
        <f>SQRT((C185-Sheet5!$C$526)^2+(D185-Sheet5!$D$526)^2+(E185-Sheet5!$E$526)^2+(F185-Sheet5!$F$526)^2+(G185-Sheet5!$G$526)^2+(H185-Sheet5!$H$526)^2+(I185-Sheet5!$I$526)^2+(J185-Sheet5!$J$526)^2+(K185-Sheet5!$K$526)^2+(L185-Sheet5!$L$526)^2)</f>
        <v>1.9964339196895433</v>
      </c>
      <c r="P185" s="12">
        <f t="shared" si="2"/>
        <v>1</v>
      </c>
      <c r="Q185" s="11">
        <f>IF(P185=Sheet1!$M185, 1, 0)</f>
        <v>0</v>
      </c>
    </row>
    <row r="186" spans="1:17" x14ac:dyDescent="0.35">
      <c r="A186" s="6" t="s">
        <v>183</v>
      </c>
      <c r="B186" s="6" t="s">
        <v>208</v>
      </c>
      <c r="C186" s="6">
        <v>-0.92910203049062401</v>
      </c>
      <c r="D186" s="6">
        <v>1.622450640470364</v>
      </c>
      <c r="E186" s="6">
        <v>0.62413417220833245</v>
      </c>
      <c r="F186" s="6">
        <v>1.2530569997023735</v>
      </c>
      <c r="G186" s="6">
        <v>1.322022859747356</v>
      </c>
      <c r="H186" s="6">
        <v>7.9058745516421031E-2</v>
      </c>
      <c r="I186" s="6">
        <v>0.81557298802791411</v>
      </c>
      <c r="J186" s="6">
        <v>3.0407285882602983</v>
      </c>
      <c r="K186" s="6">
        <v>-1.2009763906956852</v>
      </c>
      <c r="L186" s="6">
        <v>2.7408027076094358E-2</v>
      </c>
      <c r="N186" s="8">
        <f>SQRT((C186-Sheet5!$C$525)^2+(D186-Sheet5!$D$525)^2+(E186-Sheet5!$E$525)^2+(F186-Sheet5!$F$525)^2+(G186-Sheet5!$G$525)^2+(H186-Sheet5!$H$525)^2+(I186-Sheet5!$I$525)^2+(J186-Sheet5!$J$525)^2+(K186-Sheet5!$K$525)^2+(L186-Sheet5!$L$525)^2)</f>
        <v>5.2379851731120919</v>
      </c>
      <c r="O186" s="8">
        <f>SQRT((C186-Sheet5!$C$526)^2+(D186-Sheet5!$D$526)^2+(E186-Sheet5!$E$526)^2+(F186-Sheet5!$F$526)^2+(G186-Sheet5!$G$526)^2+(H186-Sheet5!$H$526)^2+(I186-Sheet5!$I$526)^2+(J186-Sheet5!$J$526)^2+(K186-Sheet5!$K$526)^2+(L186-Sheet5!$L$526)^2)</f>
        <v>2.5007534533573543</v>
      </c>
      <c r="P186" s="12">
        <f t="shared" si="2"/>
        <v>1</v>
      </c>
      <c r="Q186" s="11">
        <f>IF(P186=Sheet1!$M186, 1, 0)</f>
        <v>0</v>
      </c>
    </row>
    <row r="187" spans="1:17" x14ac:dyDescent="0.35">
      <c r="A187" s="6" t="s">
        <v>183</v>
      </c>
      <c r="B187" s="6" t="s">
        <v>209</v>
      </c>
      <c r="C187" s="6">
        <v>0.11499089961182508</v>
      </c>
      <c r="D187" s="6">
        <v>0.66495757978385717</v>
      </c>
      <c r="E187" s="6">
        <v>-4.1181782104232956E-2</v>
      </c>
      <c r="F187" s="6">
        <v>0.52124183379479083</v>
      </c>
      <c r="G187" s="6">
        <v>0.77906673699085305</v>
      </c>
      <c r="H187" s="6">
        <v>-1.324083871878456</v>
      </c>
      <c r="I187" s="6">
        <v>0.59053695576756482</v>
      </c>
      <c r="J187" s="6">
        <v>0.98713272326808432</v>
      </c>
      <c r="K187" s="6">
        <v>-0.58127553240396279</v>
      </c>
      <c r="L187" s="6">
        <v>-0.12501126821518033</v>
      </c>
      <c r="N187" s="8">
        <f>SQRT((C187-Sheet5!$C$525)^2+(D187-Sheet5!$D$525)^2+(E187-Sheet5!$E$525)^2+(F187-Sheet5!$F$525)^2+(G187-Sheet5!$G$525)^2+(H187-Sheet5!$H$525)^2+(I187-Sheet5!$I$525)^2+(J187-Sheet5!$J$525)^2+(K187-Sheet5!$K$525)^2+(L187-Sheet5!$L$525)^2)</f>
        <v>2.8127682261798359</v>
      </c>
      <c r="O187" s="8">
        <f>SQRT((C187-Sheet5!$C$526)^2+(D187-Sheet5!$D$526)^2+(E187-Sheet5!$E$526)^2+(F187-Sheet5!$F$526)^2+(G187-Sheet5!$G$526)^2+(H187-Sheet5!$H$526)^2+(I187-Sheet5!$I$526)^2+(J187-Sheet5!$J$526)^2+(K187-Sheet5!$K$526)^2+(L187-Sheet5!$L$526)^2)</f>
        <v>2.5465116288356073</v>
      </c>
      <c r="P187" s="12">
        <f t="shared" si="2"/>
        <v>1</v>
      </c>
      <c r="Q187" s="11">
        <f>IF(P187=Sheet1!$M187, 1, 0)</f>
        <v>0</v>
      </c>
    </row>
    <row r="188" spans="1:17" x14ac:dyDescent="0.35">
      <c r="A188" s="6" t="s">
        <v>183</v>
      </c>
      <c r="B188" s="6" t="s">
        <v>210</v>
      </c>
      <c r="C188" s="6">
        <v>-0.69290620054456864</v>
      </c>
      <c r="D188" s="6">
        <v>0.20462437753072898</v>
      </c>
      <c r="E188" s="6">
        <v>5.5705314232535975E-2</v>
      </c>
      <c r="F188" s="6">
        <v>0.30708960629762444</v>
      </c>
      <c r="G188" s="6">
        <v>0.44516323903898952</v>
      </c>
      <c r="H188" s="6">
        <v>0.25411492618948628</v>
      </c>
      <c r="I188" s="6">
        <v>0.76967328739690721</v>
      </c>
      <c r="J188" s="6">
        <v>0.39117237058087995</v>
      </c>
      <c r="K188" s="6">
        <v>-0.84417892683075513</v>
      </c>
      <c r="L188" s="6">
        <v>-0.38864350384400503</v>
      </c>
      <c r="N188" s="8">
        <f>SQRT((C188-Sheet5!$C$525)^2+(D188-Sheet5!$D$525)^2+(E188-Sheet5!$E$525)^2+(F188-Sheet5!$F$525)^2+(G188-Sheet5!$G$525)^2+(H188-Sheet5!$H$525)^2+(I188-Sheet5!$I$525)^2+(J188-Sheet5!$J$525)^2+(K188-Sheet5!$K$525)^2+(L188-Sheet5!$L$525)^2)</f>
        <v>2.4123563422094367</v>
      </c>
      <c r="O188" s="8">
        <f>SQRT((C188-Sheet5!$C$526)^2+(D188-Sheet5!$D$526)^2+(E188-Sheet5!$E$526)^2+(F188-Sheet5!$F$526)^2+(G188-Sheet5!$G$526)^2+(H188-Sheet5!$H$526)^2+(I188-Sheet5!$I$526)^2+(J188-Sheet5!$J$526)^2+(K188-Sheet5!$K$526)^2+(L188-Sheet5!$L$526)^2)</f>
        <v>1.9401371478458749</v>
      </c>
      <c r="P188" s="12">
        <f t="shared" si="2"/>
        <v>1</v>
      </c>
      <c r="Q188" s="11">
        <f>IF(P188=Sheet1!$M188, 1, 0)</f>
        <v>0</v>
      </c>
    </row>
    <row r="189" spans="1:17" x14ac:dyDescent="0.35">
      <c r="A189" s="6" t="s">
        <v>211</v>
      </c>
      <c r="B189" s="6" t="s">
        <v>212</v>
      </c>
      <c r="C189" s="6">
        <v>-8.0944277502516343E-2</v>
      </c>
      <c r="D189" s="6">
        <v>-0.82652199551627803</v>
      </c>
      <c r="E189" s="6">
        <v>7.7072050306804418E-2</v>
      </c>
      <c r="F189" s="6">
        <v>7.5990080221545714E-2</v>
      </c>
      <c r="G189" s="6">
        <v>1.2320140907342489</v>
      </c>
      <c r="H189" s="6">
        <v>-4.2133994949547199E-2</v>
      </c>
      <c r="I189" s="6">
        <v>0.52487488403154214</v>
      </c>
      <c r="J189" s="6">
        <v>1.8639915861390666</v>
      </c>
      <c r="K189" s="6">
        <v>-1.0257074610778247</v>
      </c>
      <c r="L189" s="6">
        <v>1.4622440406291495</v>
      </c>
      <c r="N189" s="8">
        <f>SQRT((C189-Sheet5!$C$525)^2+(D189-Sheet5!$D$525)^2+(E189-Sheet5!$E$525)^2+(F189-Sheet5!$F$525)^2+(G189-Sheet5!$G$525)^2+(H189-Sheet5!$H$525)^2+(I189-Sheet5!$I$525)^2+(J189-Sheet5!$J$525)^2+(K189-Sheet5!$K$525)^2+(L189-Sheet5!$L$525)^2)</f>
        <v>3.69174388752712</v>
      </c>
      <c r="O189" s="8">
        <f>SQRT((C189-Sheet5!$C$526)^2+(D189-Sheet5!$D$526)^2+(E189-Sheet5!$E$526)^2+(F189-Sheet5!$F$526)^2+(G189-Sheet5!$G$526)^2+(H189-Sheet5!$H$526)^2+(I189-Sheet5!$I$526)^2+(J189-Sheet5!$J$526)^2+(K189-Sheet5!$K$526)^2+(L189-Sheet5!$L$526)^2)</f>
        <v>2.7645426101873269</v>
      </c>
      <c r="P189" s="12">
        <f t="shared" si="2"/>
        <v>1</v>
      </c>
      <c r="Q189" s="11">
        <f>IF(P189=Sheet1!$M189, 1, 0)</f>
        <v>0</v>
      </c>
    </row>
    <row r="190" spans="1:17" x14ac:dyDescent="0.35">
      <c r="A190" s="6" t="s">
        <v>211</v>
      </c>
      <c r="B190" s="6" t="s">
        <v>213</v>
      </c>
      <c r="C190" s="6">
        <v>0.18611805294785302</v>
      </c>
      <c r="D190" s="6">
        <v>-0.49508208989402569</v>
      </c>
      <c r="E190" s="6">
        <v>0.4498847556026605</v>
      </c>
      <c r="F190" s="6">
        <v>0.38720410867066446</v>
      </c>
      <c r="G190" s="6">
        <v>1.2029790039558237</v>
      </c>
      <c r="H190" s="6">
        <v>0.14908121778564698</v>
      </c>
      <c r="I190" s="6">
        <v>0.40502566571724791</v>
      </c>
      <c r="J190" s="6">
        <v>0.37598866732770275</v>
      </c>
      <c r="K190" s="6">
        <v>-0.68768881110052227</v>
      </c>
      <c r="L190" s="6">
        <v>0.39121179484228114</v>
      </c>
      <c r="N190" s="8">
        <f>SQRT((C190-Sheet5!$C$525)^2+(D190-Sheet5!$D$525)^2+(E190-Sheet5!$E$525)^2+(F190-Sheet5!$F$525)^2+(G190-Sheet5!$G$525)^2+(H190-Sheet5!$H$525)^2+(I190-Sheet5!$I$525)^2+(J190-Sheet5!$J$525)^2+(K190-Sheet5!$K$525)^2+(L190-Sheet5!$L$525)^2)</f>
        <v>2.5181906877779157</v>
      </c>
      <c r="O190" s="8">
        <f>SQRT((C190-Sheet5!$C$526)^2+(D190-Sheet5!$D$526)^2+(E190-Sheet5!$E$526)^2+(F190-Sheet5!$F$526)^2+(G190-Sheet5!$G$526)^2+(H190-Sheet5!$H$526)^2+(I190-Sheet5!$I$526)^2+(J190-Sheet5!$J$526)^2+(K190-Sheet5!$K$526)^2+(L190-Sheet5!$L$526)^2)</f>
        <v>2.0866618230300462</v>
      </c>
      <c r="P190" s="12">
        <f t="shared" si="2"/>
        <v>1</v>
      </c>
      <c r="Q190" s="11">
        <f>IF(P190=Sheet1!$M190, 1, 0)</f>
        <v>0</v>
      </c>
    </row>
    <row r="191" spans="1:17" x14ac:dyDescent="0.35">
      <c r="A191" s="6" t="s">
        <v>211</v>
      </c>
      <c r="B191" s="6" t="s">
        <v>214</v>
      </c>
      <c r="C191" s="6">
        <v>0.53235966730059292</v>
      </c>
      <c r="D191" s="6">
        <v>-0.72831757903561056</v>
      </c>
      <c r="E191" s="6">
        <v>-0.10786073433600168</v>
      </c>
      <c r="F191" s="6">
        <v>-0.11967418518953367</v>
      </c>
      <c r="G191" s="6">
        <v>1.0316719919631283</v>
      </c>
      <c r="H191" s="6">
        <v>-4.6981704568186115E-2</v>
      </c>
      <c r="I191" s="6">
        <v>2.765789353848263E-3</v>
      </c>
      <c r="J191" s="6">
        <v>0.37598866732770275</v>
      </c>
      <c r="K191" s="6">
        <v>8.6922038990146413E-3</v>
      </c>
      <c r="L191" s="6">
        <v>-8.8441079003767298E-2</v>
      </c>
      <c r="N191" s="8">
        <f>SQRT((C191-Sheet5!$C$525)^2+(D191-Sheet5!$D$525)^2+(E191-Sheet5!$E$525)^2+(F191-Sheet5!$F$525)^2+(G191-Sheet5!$G$525)^2+(H191-Sheet5!$H$525)^2+(I191-Sheet5!$I$525)^2+(J191-Sheet5!$J$525)^2+(K191-Sheet5!$K$525)^2+(L191-Sheet5!$L$525)^2)</f>
        <v>1.7644600024701469</v>
      </c>
      <c r="O191" s="8">
        <f>SQRT((C191-Sheet5!$C$526)^2+(D191-Sheet5!$D$526)^2+(E191-Sheet5!$E$526)^2+(F191-Sheet5!$F$526)^2+(G191-Sheet5!$G$526)^2+(H191-Sheet5!$H$526)^2+(I191-Sheet5!$I$526)^2+(J191-Sheet5!$J$526)^2+(K191-Sheet5!$K$526)^2+(L191-Sheet5!$L$526)^2)</f>
        <v>2.9817111262278324</v>
      </c>
      <c r="P191" s="12">
        <f t="shared" si="2"/>
        <v>0</v>
      </c>
      <c r="Q191" s="11">
        <f>IF(P191=Sheet1!$M191, 1, 0)</f>
        <v>1</v>
      </c>
    </row>
    <row r="192" spans="1:17" x14ac:dyDescent="0.35">
      <c r="A192" s="6" t="s">
        <v>211</v>
      </c>
      <c r="B192" s="6" t="s">
        <v>215</v>
      </c>
      <c r="C192" s="6">
        <v>0.53101764553953601</v>
      </c>
      <c r="D192" s="6">
        <v>-1.0352063805376961</v>
      </c>
      <c r="E192" s="6">
        <v>-0.33810573513630809</v>
      </c>
      <c r="F192" s="6">
        <v>-0.31841977761496232</v>
      </c>
      <c r="G192" s="6">
        <v>1.3423474204922541</v>
      </c>
      <c r="H192" s="6">
        <v>-1.963442907136697</v>
      </c>
      <c r="I192" s="6">
        <v>-0.16107064206515997</v>
      </c>
      <c r="J192" s="6">
        <v>0.30386607687511136</v>
      </c>
      <c r="K192" s="6">
        <v>4.6249831674271963E-2</v>
      </c>
      <c r="L192" s="6">
        <v>-0.13430480814327245</v>
      </c>
      <c r="N192" s="8">
        <f>SQRT((C192-Sheet5!$C$525)^2+(D192-Sheet5!$D$525)^2+(E192-Sheet5!$E$525)^2+(F192-Sheet5!$F$525)^2+(G192-Sheet5!$G$525)^2+(H192-Sheet5!$H$525)^2+(I192-Sheet5!$I$525)^2+(J192-Sheet5!$J$525)^2+(K192-Sheet5!$K$525)^2+(L192-Sheet5!$L$525)^2)</f>
        <v>2.6143804293950845</v>
      </c>
      <c r="O192" s="8">
        <f>SQRT((C192-Sheet5!$C$526)^2+(D192-Sheet5!$D$526)^2+(E192-Sheet5!$E$526)^2+(F192-Sheet5!$F$526)^2+(G192-Sheet5!$G$526)^2+(H192-Sheet5!$H$526)^2+(I192-Sheet5!$I$526)^2+(J192-Sheet5!$J$526)^2+(K192-Sheet5!$K$526)^2+(L192-Sheet5!$L$526)^2)</f>
        <v>4.25306916243286</v>
      </c>
      <c r="P192" s="12">
        <f t="shared" si="2"/>
        <v>0</v>
      </c>
      <c r="Q192" s="11">
        <f>IF(P192=Sheet1!$M192, 1, 0)</f>
        <v>1</v>
      </c>
    </row>
    <row r="193" spans="1:17" x14ac:dyDescent="0.35">
      <c r="A193" s="6" t="s">
        <v>211</v>
      </c>
      <c r="B193" s="6" t="s">
        <v>216</v>
      </c>
      <c r="C193" s="6">
        <v>0.74574112730867692</v>
      </c>
      <c r="D193" s="6">
        <v>-0.54418429813435942</v>
      </c>
      <c r="E193" s="6">
        <v>-0.47772630362161389</v>
      </c>
      <c r="F193" s="6">
        <v>1.898553045611226E-2</v>
      </c>
      <c r="G193" s="6">
        <v>1.1303912870097668</v>
      </c>
      <c r="H193" s="6">
        <v>0.63492944845366162</v>
      </c>
      <c r="I193" s="6">
        <v>7.7990298721329954E-2</v>
      </c>
      <c r="J193" s="6">
        <v>0.36839681570111432</v>
      </c>
      <c r="K193" s="6">
        <v>-0.26673039978619384</v>
      </c>
      <c r="L193" s="6">
        <v>-3.5751762325336653E-2</v>
      </c>
      <c r="N193" s="8">
        <f>SQRT((C193-Sheet5!$C$525)^2+(D193-Sheet5!$D$525)^2+(E193-Sheet5!$E$525)^2+(F193-Sheet5!$F$525)^2+(G193-Sheet5!$G$525)^2+(H193-Sheet5!$H$525)^2+(I193-Sheet5!$I$525)^2+(J193-Sheet5!$J$525)^2+(K193-Sheet5!$K$525)^2+(L193-Sheet5!$L$525)^2)</f>
        <v>2.1180196736458052</v>
      </c>
      <c r="O193" s="8">
        <f>SQRT((C193-Sheet5!$C$526)^2+(D193-Sheet5!$D$526)^2+(E193-Sheet5!$E$526)^2+(F193-Sheet5!$F$526)^2+(G193-Sheet5!$G$526)^2+(H193-Sheet5!$H$526)^2+(I193-Sheet5!$I$526)^2+(J193-Sheet5!$J$526)^2+(K193-Sheet5!$K$526)^2+(L193-Sheet5!$L$526)^2)</f>
        <v>2.9500664105729788</v>
      </c>
      <c r="P193" s="12">
        <f t="shared" si="2"/>
        <v>0</v>
      </c>
      <c r="Q193" s="11">
        <f>IF(P193=Sheet1!$M193, 1, 0)</f>
        <v>1</v>
      </c>
    </row>
    <row r="194" spans="1:17" x14ac:dyDescent="0.35">
      <c r="A194" s="6" t="s">
        <v>211</v>
      </c>
      <c r="B194" s="6" t="s">
        <v>217</v>
      </c>
      <c r="C194" s="6">
        <v>1.7023311054654374E-2</v>
      </c>
      <c r="D194" s="6">
        <v>-0.13909108015160596</v>
      </c>
      <c r="E194" s="6">
        <v>-1.834147802484256E-2</v>
      </c>
      <c r="F194" s="6">
        <v>0.47039993805805375</v>
      </c>
      <c r="G194" s="6">
        <v>1.5136544324849495</v>
      </c>
      <c r="H194" s="6">
        <v>0.14046306735251163</v>
      </c>
      <c r="I194" s="6">
        <v>5.4402952563729332E-2</v>
      </c>
      <c r="J194" s="6">
        <v>-0.55780908274269381</v>
      </c>
      <c r="K194" s="6">
        <v>0.59865994020199431</v>
      </c>
      <c r="L194" s="6">
        <v>-0.17513204388684872</v>
      </c>
      <c r="N194" s="8">
        <f>SQRT((C194-Sheet5!$C$525)^2+(D194-Sheet5!$D$525)^2+(E194-Sheet5!$E$525)^2+(F194-Sheet5!$F$525)^2+(G194-Sheet5!$G$525)^2+(H194-Sheet5!$H$525)^2+(I194-Sheet5!$I$525)^2+(J194-Sheet5!$J$525)^2+(K194-Sheet5!$K$525)^2+(L194-Sheet5!$L$525)^2)</f>
        <v>2.2372593334399777</v>
      </c>
      <c r="O194" s="8">
        <f>SQRT((C194-Sheet5!$C$526)^2+(D194-Sheet5!$D$526)^2+(E194-Sheet5!$E$526)^2+(F194-Sheet5!$F$526)^2+(G194-Sheet5!$G$526)^2+(H194-Sheet5!$H$526)^2+(I194-Sheet5!$I$526)^2+(J194-Sheet5!$J$526)^2+(K194-Sheet5!$K$526)^2+(L194-Sheet5!$L$526)^2)</f>
        <v>2.897285362589535</v>
      </c>
      <c r="P194" s="12">
        <f t="shared" si="2"/>
        <v>0</v>
      </c>
      <c r="Q194" s="11">
        <f>IF(P194=Sheet1!$M194, 1, 0)</f>
        <v>1</v>
      </c>
    </row>
    <row r="195" spans="1:17" x14ac:dyDescent="0.35">
      <c r="A195" s="6" t="s">
        <v>211</v>
      </c>
      <c r="B195" s="6" t="s">
        <v>218</v>
      </c>
      <c r="C195" s="6">
        <v>0.72426877913176324</v>
      </c>
      <c r="D195" s="6">
        <v>-0.99224194832740387</v>
      </c>
      <c r="E195" s="6">
        <v>0.1603286425961952</v>
      </c>
      <c r="F195" s="6">
        <v>-0.23060195770605127</v>
      </c>
      <c r="G195" s="6">
        <v>0.66292638987716024</v>
      </c>
      <c r="H195" s="6">
        <v>-1.2890726357438425</v>
      </c>
      <c r="I195" s="6">
        <v>0.66958644018763047</v>
      </c>
      <c r="J195" s="6">
        <v>7.6110528077453443E-2</v>
      </c>
      <c r="K195" s="6">
        <v>0.20430484856180578</v>
      </c>
      <c r="L195" s="6">
        <v>-0.16505627805757092</v>
      </c>
      <c r="N195" s="8">
        <f>SQRT((C195-Sheet5!$C$525)^2+(D195-Sheet5!$D$525)^2+(E195-Sheet5!$E$525)^2+(F195-Sheet5!$F$525)^2+(G195-Sheet5!$G$525)^2+(H195-Sheet5!$H$525)^2+(I195-Sheet5!$I$525)^2+(J195-Sheet5!$J$525)^2+(K195-Sheet5!$K$525)^2+(L195-Sheet5!$L$525)^2)</f>
        <v>2.0457689925279032</v>
      </c>
      <c r="O195" s="8">
        <f>SQRT((C195-Sheet5!$C$526)^2+(D195-Sheet5!$D$526)^2+(E195-Sheet5!$E$526)^2+(F195-Sheet5!$F$526)^2+(G195-Sheet5!$G$526)^2+(H195-Sheet5!$H$526)^2+(I195-Sheet5!$I$526)^2+(J195-Sheet5!$J$526)^2+(K195-Sheet5!$K$526)^2+(L195-Sheet5!$L$526)^2)</f>
        <v>3.7019821650951581</v>
      </c>
      <c r="P195" s="12">
        <f t="shared" ref="P195:P258" si="3">IF(N195&lt;=O195, 0, 1)</f>
        <v>0</v>
      </c>
      <c r="Q195" s="11">
        <f>IF(P195=Sheet1!$M195, 1, 0)</f>
        <v>1</v>
      </c>
    </row>
    <row r="196" spans="1:17" x14ac:dyDescent="0.35">
      <c r="A196" s="6" t="s">
        <v>211</v>
      </c>
      <c r="B196" s="6" t="s">
        <v>219</v>
      </c>
      <c r="C196" s="6">
        <v>-4.8735755237145136E-2</v>
      </c>
      <c r="D196" s="6">
        <v>-0.39687767341335822</v>
      </c>
      <c r="E196" s="6">
        <v>-0.32594879909405189</v>
      </c>
      <c r="F196" s="6">
        <v>2.9770175006330404E-2</v>
      </c>
      <c r="G196" s="6">
        <v>1.2262070733785613</v>
      </c>
      <c r="H196" s="6">
        <v>6.4515616660505065E-2</v>
      </c>
      <c r="I196" s="6">
        <v>0.5739620638730345</v>
      </c>
      <c r="J196" s="6">
        <v>-1.1195765628315158E-2</v>
      </c>
      <c r="K196" s="6">
        <v>0.98832032837027339</v>
      </c>
      <c r="L196" s="6">
        <v>3.547212502855171E-2</v>
      </c>
      <c r="N196" s="8">
        <f>SQRT((C196-Sheet5!$C$525)^2+(D196-Sheet5!$D$525)^2+(E196-Sheet5!$E$525)^2+(F196-Sheet5!$F$525)^2+(G196-Sheet5!$G$525)^2+(H196-Sheet5!$H$525)^2+(I196-Sheet5!$I$525)^2+(J196-Sheet5!$J$525)^2+(K196-Sheet5!$K$525)^2+(L196-Sheet5!$L$525)^2)</f>
        <v>2.1090760297157694</v>
      </c>
      <c r="O196" s="8">
        <f>SQRT((C196-Sheet5!$C$526)^2+(D196-Sheet5!$D$526)^2+(E196-Sheet5!$E$526)^2+(F196-Sheet5!$F$526)^2+(G196-Sheet5!$G$526)^2+(H196-Sheet5!$H$526)^2+(I196-Sheet5!$I$526)^2+(J196-Sheet5!$J$526)^2+(K196-Sheet5!$K$526)^2+(L196-Sheet5!$L$526)^2)</f>
        <v>3.0269494778625066</v>
      </c>
      <c r="P196" s="12">
        <f t="shared" si="3"/>
        <v>0</v>
      </c>
      <c r="Q196" s="11">
        <f>IF(P196=Sheet1!$M196, 1, 0)</f>
        <v>1</v>
      </c>
    </row>
    <row r="197" spans="1:17" x14ac:dyDescent="0.35">
      <c r="A197" s="6" t="s">
        <v>211</v>
      </c>
      <c r="B197" s="6" t="s">
        <v>220</v>
      </c>
      <c r="C197" s="6">
        <v>-0.22185656241351531</v>
      </c>
      <c r="D197" s="6">
        <v>-0.36005101723310823</v>
      </c>
      <c r="E197" s="6">
        <v>0.99694687750418853</v>
      </c>
      <c r="F197" s="6">
        <v>0.68917415607674193</v>
      </c>
      <c r="G197" s="6">
        <v>1.8504614391146526</v>
      </c>
      <c r="H197" s="6">
        <v>0.56652287939064871</v>
      </c>
      <c r="I197" s="6">
        <v>0.52806236324202849</v>
      </c>
      <c r="J197" s="6">
        <v>1.1579789251450461E-2</v>
      </c>
      <c r="K197" s="6">
        <v>0.98988522952757652</v>
      </c>
      <c r="L197" s="6">
        <v>3.0993340563292428E-2</v>
      </c>
      <c r="N197" s="8">
        <f>SQRT((C197-Sheet5!$C$525)^2+(D197-Sheet5!$D$525)^2+(E197-Sheet5!$E$525)^2+(F197-Sheet5!$F$525)^2+(G197-Sheet5!$G$525)^2+(H197-Sheet5!$H$525)^2+(I197-Sheet5!$I$525)^2+(J197-Sheet5!$J$525)^2+(K197-Sheet5!$K$525)^2+(L197-Sheet5!$L$525)^2)</f>
        <v>3.2428638386083932</v>
      </c>
      <c r="O197" s="8">
        <f>SQRT((C197-Sheet5!$C$526)^2+(D197-Sheet5!$D$526)^2+(E197-Sheet5!$E$526)^2+(F197-Sheet5!$F$526)^2+(G197-Sheet5!$G$526)^2+(H197-Sheet5!$H$526)^2+(I197-Sheet5!$I$526)^2+(J197-Sheet5!$J$526)^2+(K197-Sheet5!$K$526)^2+(L197-Sheet5!$L$526)^2)</f>
        <v>2.5718512284884758</v>
      </c>
      <c r="P197" s="12">
        <f t="shared" si="3"/>
        <v>1</v>
      </c>
      <c r="Q197" s="11">
        <f>IF(P197=Sheet1!$M197, 1, 0)</f>
        <v>0</v>
      </c>
    </row>
    <row r="198" spans="1:17" x14ac:dyDescent="0.35">
      <c r="A198" s="6" t="s">
        <v>211</v>
      </c>
      <c r="B198" s="6" t="s">
        <v>221</v>
      </c>
      <c r="C198" s="6">
        <v>0.16330368300988177</v>
      </c>
      <c r="D198" s="6">
        <v>0.22917548165089638</v>
      </c>
      <c r="E198" s="6">
        <v>0.6233973882057714</v>
      </c>
      <c r="F198" s="6">
        <v>0.9541682793106453</v>
      </c>
      <c r="G198" s="6">
        <v>2.0914526593755611</v>
      </c>
      <c r="H198" s="6">
        <v>0.97857819697494097</v>
      </c>
      <c r="I198" s="6">
        <v>0.80983552544903814</v>
      </c>
      <c r="J198" s="6">
        <v>0.15962089596992818</v>
      </c>
      <c r="K198" s="6">
        <v>-0.40287680047149721</v>
      </c>
      <c r="L198" s="6">
        <v>0.13721824305211014</v>
      </c>
      <c r="N198" s="8">
        <f>SQRT((C198-Sheet5!$C$525)^2+(D198-Sheet5!$D$525)^2+(E198-Sheet5!$E$525)^2+(F198-Sheet5!$F$525)^2+(G198-Sheet5!$G$525)^2+(H198-Sheet5!$H$525)^2+(I198-Sheet5!$I$525)^2+(J198-Sheet5!$J$525)^2+(K198-Sheet5!$K$525)^2+(L198-Sheet5!$L$525)^2)</f>
        <v>3.5970637577606812</v>
      </c>
      <c r="O198" s="8">
        <f>SQRT((C198-Sheet5!$C$526)^2+(D198-Sheet5!$D$526)^2+(E198-Sheet5!$E$526)^2+(F198-Sheet5!$F$526)^2+(G198-Sheet5!$G$526)^2+(H198-Sheet5!$H$526)^2+(I198-Sheet5!$I$526)^2+(J198-Sheet5!$J$526)^2+(K198-Sheet5!$K$526)^2+(L198-Sheet5!$L$526)^2)</f>
        <v>1.9628051427539817</v>
      </c>
      <c r="P198" s="12">
        <f t="shared" si="3"/>
        <v>1</v>
      </c>
      <c r="Q198" s="11">
        <f>IF(P198=Sheet1!$M198, 1, 0)</f>
        <v>0</v>
      </c>
    </row>
    <row r="199" spans="1:17" x14ac:dyDescent="0.35">
      <c r="A199" s="6" t="s">
        <v>211</v>
      </c>
      <c r="B199" s="6" t="s">
        <v>222</v>
      </c>
      <c r="C199" s="6">
        <v>-0.54259976330616977</v>
      </c>
      <c r="D199" s="6">
        <v>0.56061538727314819</v>
      </c>
      <c r="E199" s="6">
        <v>0.40641449945156266</v>
      </c>
      <c r="F199" s="6">
        <v>1.1097752935352037</v>
      </c>
      <c r="G199" s="6">
        <v>2.3440579143478404</v>
      </c>
      <c r="H199" s="6">
        <v>0.91932841274713384</v>
      </c>
      <c r="I199" s="6">
        <v>0.82067295476469238</v>
      </c>
      <c r="J199" s="6">
        <v>-0.6602990797016397</v>
      </c>
      <c r="K199" s="6">
        <v>-0.10711048174135691</v>
      </c>
      <c r="L199" s="6">
        <v>0.1184755997854566</v>
      </c>
      <c r="N199" s="8">
        <f>SQRT((C199-Sheet5!$C$525)^2+(D199-Sheet5!$D$525)^2+(E199-Sheet5!$E$525)^2+(F199-Sheet5!$F$525)^2+(G199-Sheet5!$G$525)^2+(H199-Sheet5!$H$525)^2+(I199-Sheet5!$I$525)^2+(J199-Sheet5!$J$525)^2+(K199-Sheet5!$K$525)^2+(L199-Sheet5!$L$525)^2)</f>
        <v>3.8410143151928486</v>
      </c>
      <c r="O199" s="8">
        <f>SQRT((C199-Sheet5!$C$526)^2+(D199-Sheet5!$D$526)^2+(E199-Sheet5!$E$526)^2+(F199-Sheet5!$F$526)^2+(G199-Sheet5!$G$526)^2+(H199-Sheet5!$H$526)^2+(I199-Sheet5!$I$526)^2+(J199-Sheet5!$J$526)^2+(K199-Sheet5!$K$526)^2+(L199-Sheet5!$L$526)^2)</f>
        <v>2.4471997973606729</v>
      </c>
      <c r="P199" s="12">
        <f t="shared" si="3"/>
        <v>1</v>
      </c>
      <c r="Q199" s="11">
        <f>IF(P199=Sheet1!$M199, 1, 0)</f>
        <v>0</v>
      </c>
    </row>
    <row r="200" spans="1:17" x14ac:dyDescent="0.35">
      <c r="A200" s="6" t="s">
        <v>211</v>
      </c>
      <c r="B200" s="6" t="s">
        <v>223</v>
      </c>
      <c r="C200" s="6">
        <v>-9.7048538635201825E-2</v>
      </c>
      <c r="D200" s="6">
        <v>-0.67307759476523532</v>
      </c>
      <c r="E200" s="6">
        <v>-0.33000111110813729</v>
      </c>
      <c r="F200" s="6">
        <v>8.6774724771761666E-2</v>
      </c>
      <c r="G200" s="6">
        <v>1.9230491560607095</v>
      </c>
      <c r="H200" s="6">
        <v>0.84930594047790786</v>
      </c>
      <c r="I200" s="6">
        <v>0.87231011797457347</v>
      </c>
      <c r="J200" s="6">
        <v>-0.99813647708483189</v>
      </c>
      <c r="K200" s="6">
        <v>0.5673619170559473</v>
      </c>
      <c r="L200" s="6">
        <v>-1.4899683391723529E-2</v>
      </c>
      <c r="N200" s="8">
        <f>SQRT((C200-Sheet5!$C$525)^2+(D200-Sheet5!$D$525)^2+(E200-Sheet5!$E$525)^2+(F200-Sheet5!$F$525)^2+(G200-Sheet5!$G$525)^2+(H200-Sheet5!$H$525)^2+(I200-Sheet5!$I$525)^2+(J200-Sheet5!$J$525)^2+(K200-Sheet5!$K$525)^2+(L200-Sheet5!$L$525)^2)</f>
        <v>2.9567747796259716</v>
      </c>
      <c r="O200" s="8">
        <f>SQRT((C200-Sheet5!$C$526)^2+(D200-Sheet5!$D$526)^2+(E200-Sheet5!$E$526)^2+(F200-Sheet5!$F$526)^2+(G200-Sheet5!$G$526)^2+(H200-Sheet5!$H$526)^2+(I200-Sheet5!$I$526)^2+(J200-Sheet5!$J$526)^2+(K200-Sheet5!$K$526)^2+(L200-Sheet5!$L$526)^2)</f>
        <v>3.5249393415435781</v>
      </c>
      <c r="P200" s="12">
        <f t="shared" si="3"/>
        <v>0</v>
      </c>
      <c r="Q200" s="11">
        <f>IF(P200=Sheet1!$M200, 1, 0)</f>
        <v>1</v>
      </c>
    </row>
    <row r="201" spans="1:17" x14ac:dyDescent="0.35">
      <c r="A201" s="6" t="s">
        <v>211</v>
      </c>
      <c r="B201" s="6" t="s">
        <v>224</v>
      </c>
      <c r="C201" s="6">
        <v>-0.21380443184717246</v>
      </c>
      <c r="D201" s="6">
        <v>8.186885692989522E-2</v>
      </c>
      <c r="E201" s="6">
        <v>0.43625425155528241</v>
      </c>
      <c r="F201" s="6">
        <v>0.93413965371738372</v>
      </c>
      <c r="G201" s="6">
        <v>2.2917947581466773</v>
      </c>
      <c r="H201" s="6">
        <v>0.97911683137701144</v>
      </c>
      <c r="I201" s="6">
        <v>0.86147268865892002</v>
      </c>
      <c r="J201" s="6">
        <v>0.31525385431499398</v>
      </c>
      <c r="K201" s="6">
        <v>0.57675132399976159</v>
      </c>
      <c r="L201" s="6">
        <v>0.10593837991767109</v>
      </c>
      <c r="N201" s="8">
        <f>SQRT((C201-Sheet5!$C$525)^2+(D201-Sheet5!$D$525)^2+(E201-Sheet5!$E$525)^2+(F201-Sheet5!$F$525)^2+(G201-Sheet5!$G$525)^2+(H201-Sheet5!$H$525)^2+(I201-Sheet5!$I$525)^2+(J201-Sheet5!$J$525)^2+(K201-Sheet5!$K$525)^2+(L201-Sheet5!$L$525)^2)</f>
        <v>3.69108765024985</v>
      </c>
      <c r="O201" s="8">
        <f>SQRT((C201-Sheet5!$C$526)^2+(D201-Sheet5!$D$526)^2+(E201-Sheet5!$E$526)^2+(F201-Sheet5!$F$526)^2+(G201-Sheet5!$G$526)^2+(H201-Sheet5!$H$526)^2+(I201-Sheet5!$I$526)^2+(J201-Sheet5!$J$526)^2+(K201-Sheet5!$K$526)^2+(L201-Sheet5!$L$526)^2)</f>
        <v>2.3267995643793462</v>
      </c>
      <c r="P201" s="12">
        <f t="shared" si="3"/>
        <v>1</v>
      </c>
      <c r="Q201" s="11">
        <f>IF(P201=Sheet1!$M201, 1, 0)</f>
        <v>0</v>
      </c>
    </row>
    <row r="202" spans="1:17" x14ac:dyDescent="0.35">
      <c r="A202" s="6" t="s">
        <v>211</v>
      </c>
      <c r="B202" s="6" t="s">
        <v>225</v>
      </c>
      <c r="C202" s="6">
        <v>0.20893242288582425</v>
      </c>
      <c r="D202" s="6">
        <v>-0.47666876180390039</v>
      </c>
      <c r="E202" s="6">
        <v>0.86727289305345601</v>
      </c>
      <c r="F202" s="6">
        <v>0.63987292384717731</v>
      </c>
      <c r="G202" s="6">
        <v>1.7807772308464394</v>
      </c>
      <c r="H202" s="6">
        <v>0.68340654464004924</v>
      </c>
      <c r="I202" s="6">
        <v>0.84107282171180575</v>
      </c>
      <c r="J202" s="6">
        <v>-0.11368576258726129</v>
      </c>
      <c r="K202" s="6">
        <v>0.35610026082013152</v>
      </c>
      <c r="L202" s="6">
        <v>0.11264647476928044</v>
      </c>
      <c r="N202" s="8">
        <f>SQRT((C202-Sheet5!$C$525)^2+(D202-Sheet5!$D$525)^2+(E202-Sheet5!$E$525)^2+(F202-Sheet5!$F$525)^2+(G202-Sheet5!$G$525)^2+(H202-Sheet5!$H$525)^2+(I202-Sheet5!$I$525)^2+(J202-Sheet5!$J$525)^2+(K202-Sheet5!$K$525)^2+(L202-Sheet5!$L$525)^2)</f>
        <v>3.1212662773409132</v>
      </c>
      <c r="O202" s="8">
        <f>SQRT((C202-Sheet5!$C$526)^2+(D202-Sheet5!$D$526)^2+(E202-Sheet5!$E$526)^2+(F202-Sheet5!$F$526)^2+(G202-Sheet5!$G$526)^2+(H202-Sheet5!$H$526)^2+(I202-Sheet5!$I$526)^2+(J202-Sheet5!$J$526)^2+(K202-Sheet5!$K$526)^2+(L202-Sheet5!$L$526)^2)</f>
        <v>2.453324764026485</v>
      </c>
      <c r="P202" s="12">
        <f t="shared" si="3"/>
        <v>1</v>
      </c>
      <c r="Q202" s="11">
        <f>IF(P202=Sheet1!$M202, 1, 0)</f>
        <v>0</v>
      </c>
    </row>
    <row r="203" spans="1:17" x14ac:dyDescent="0.35">
      <c r="A203" s="6" t="s">
        <v>211</v>
      </c>
      <c r="B203" s="6" t="s">
        <v>226</v>
      </c>
      <c r="C203" s="6">
        <v>6.265205093059685E-2</v>
      </c>
      <c r="D203" s="6">
        <v>-0.81424644345619435</v>
      </c>
      <c r="E203" s="6">
        <v>-1.1342030000513243E-2</v>
      </c>
      <c r="F203" s="6">
        <v>7.4449416714371067E-2</v>
      </c>
      <c r="G203" s="6">
        <v>1.5049439064514223</v>
      </c>
      <c r="H203" s="6">
        <v>0.65539755573235903</v>
      </c>
      <c r="I203" s="6">
        <v>-0.57353045190211727</v>
      </c>
      <c r="J203" s="6">
        <v>-0.25793094349244444</v>
      </c>
      <c r="K203" s="6">
        <v>0.53449899275259716</v>
      </c>
      <c r="L203" s="6">
        <v>-3.8625349702742368E-2</v>
      </c>
      <c r="N203" s="8">
        <f>SQRT((C203-Sheet5!$C$525)^2+(D203-Sheet5!$D$525)^2+(E203-Sheet5!$E$525)^2+(F203-Sheet5!$F$525)^2+(G203-Sheet5!$G$525)^2+(H203-Sheet5!$H$525)^2+(I203-Sheet5!$I$525)^2+(J203-Sheet5!$J$525)^2+(K203-Sheet5!$K$525)^2+(L203-Sheet5!$L$525)^2)</f>
        <v>2.2779941830875123</v>
      </c>
      <c r="O203" s="8">
        <f>SQRT((C203-Sheet5!$C$526)^2+(D203-Sheet5!$D$526)^2+(E203-Sheet5!$E$526)^2+(F203-Sheet5!$F$526)^2+(G203-Sheet5!$G$526)^2+(H203-Sheet5!$H$526)^2+(I203-Sheet5!$I$526)^2+(J203-Sheet5!$J$526)^2+(K203-Sheet5!$K$526)^2+(L203-Sheet5!$L$526)^2)</f>
        <v>3.2686239462029985</v>
      </c>
      <c r="P203" s="12">
        <f t="shared" si="3"/>
        <v>0</v>
      </c>
      <c r="Q203" s="11">
        <f>IF(P203=Sheet1!$M203, 1, 0)</f>
        <v>1</v>
      </c>
    </row>
    <row r="204" spans="1:17" x14ac:dyDescent="0.35">
      <c r="A204" s="6" t="s">
        <v>211</v>
      </c>
      <c r="B204" s="6" t="s">
        <v>227</v>
      </c>
      <c r="C204" s="6">
        <v>1.5681289293597273E-2</v>
      </c>
      <c r="D204" s="6">
        <v>-0.88789975581669489</v>
      </c>
      <c r="E204" s="6">
        <v>-0.24158703080081964</v>
      </c>
      <c r="F204" s="6">
        <v>-8.5779588031708959E-2</v>
      </c>
      <c r="G204" s="6">
        <v>1.4091281200826276</v>
      </c>
      <c r="H204" s="6">
        <v>0.7168018775684496</v>
      </c>
      <c r="I204" s="6">
        <v>0.61858677281984609</v>
      </c>
      <c r="J204" s="6">
        <v>-0.47429871485021918</v>
      </c>
      <c r="K204" s="6">
        <v>0.16831212194385381</v>
      </c>
      <c r="L204" s="6">
        <v>-8.0187358761181202E-2</v>
      </c>
      <c r="N204" s="8">
        <f>SQRT((C204-Sheet5!$C$525)^2+(D204-Sheet5!$D$525)^2+(E204-Sheet5!$E$525)^2+(F204-Sheet5!$F$525)^2+(G204-Sheet5!$G$525)^2+(H204-Sheet5!$H$525)^2+(I204-Sheet5!$I$525)^2+(J204-Sheet5!$J$525)^2+(K204-Sheet5!$K$525)^2+(L204-Sheet5!$L$525)^2)</f>
        <v>2.3173539926646072</v>
      </c>
      <c r="O204" s="8">
        <f>SQRT((C204-Sheet5!$C$526)^2+(D204-Sheet5!$D$526)^2+(E204-Sheet5!$E$526)^2+(F204-Sheet5!$F$526)^2+(G204-Sheet5!$G$526)^2+(H204-Sheet5!$H$526)^2+(I204-Sheet5!$I$526)^2+(J204-Sheet5!$J$526)^2+(K204-Sheet5!$K$526)^2+(L204-Sheet5!$L$526)^2)</f>
        <v>3.1711657232009007</v>
      </c>
      <c r="P204" s="12">
        <f t="shared" si="3"/>
        <v>0</v>
      </c>
      <c r="Q204" s="11">
        <f>IF(P204=Sheet1!$M204, 1, 0)</f>
        <v>1</v>
      </c>
    </row>
    <row r="205" spans="1:17" x14ac:dyDescent="0.35">
      <c r="A205" s="6" t="s">
        <v>211</v>
      </c>
      <c r="B205" s="6" t="s">
        <v>228</v>
      </c>
      <c r="C205" s="6">
        <v>0.47331070981407941</v>
      </c>
      <c r="D205" s="6">
        <v>-0.69762869888540213</v>
      </c>
      <c r="E205" s="6">
        <v>7.1546170287597063E-2</v>
      </c>
      <c r="F205" s="6">
        <v>7.7530743728720361E-2</v>
      </c>
      <c r="G205" s="6">
        <v>1.4381632068610488</v>
      </c>
      <c r="H205" s="6">
        <v>0.68609971665040392</v>
      </c>
      <c r="I205" s="6">
        <v>0.65173655660890584</v>
      </c>
      <c r="J205" s="6">
        <v>-0.52744167623633942</v>
      </c>
      <c r="K205" s="6">
        <v>0.18865583698878338</v>
      </c>
      <c r="L205" s="6">
        <v>-0.16796588844634655</v>
      </c>
      <c r="N205" s="8">
        <f>SQRT((C205-Sheet5!$C$525)^2+(D205-Sheet5!$D$525)^2+(E205-Sheet5!$E$525)^2+(F205-Sheet5!$F$525)^2+(G205-Sheet5!$G$525)^2+(H205-Sheet5!$H$525)^2+(I205-Sheet5!$I$525)^2+(J205-Sheet5!$J$525)^2+(K205-Sheet5!$K$525)^2+(L205-Sheet5!$L$525)^2)</f>
        <v>2.3755485670930545</v>
      </c>
      <c r="O205" s="8">
        <f>SQRT((C205-Sheet5!$C$526)^2+(D205-Sheet5!$D$526)^2+(E205-Sheet5!$E$526)^2+(F205-Sheet5!$F$526)^2+(G205-Sheet5!$G$526)^2+(H205-Sheet5!$H$526)^2+(I205-Sheet5!$I$526)^2+(J205-Sheet5!$J$526)^2+(K205-Sheet5!$K$526)^2+(L205-Sheet5!$L$526)^2)</f>
        <v>3.0815468383919487</v>
      </c>
      <c r="P205" s="12">
        <f t="shared" si="3"/>
        <v>0</v>
      </c>
      <c r="Q205" s="11">
        <f>IF(P205=Sheet1!$M205, 1, 0)</f>
        <v>1</v>
      </c>
    </row>
    <row r="206" spans="1:17" x14ac:dyDescent="0.35">
      <c r="A206" s="6" t="s">
        <v>211</v>
      </c>
      <c r="B206" s="6" t="s">
        <v>229</v>
      </c>
      <c r="C206" s="6">
        <v>-0.27687945461685753</v>
      </c>
      <c r="D206" s="6">
        <v>-0.58714873034465098</v>
      </c>
      <c r="E206" s="6">
        <v>6.6757074270950678E-2</v>
      </c>
      <c r="F206" s="6">
        <v>0.36255349255588326</v>
      </c>
      <c r="G206" s="6">
        <v>1.9201456473828658</v>
      </c>
      <c r="H206" s="6">
        <v>0.779283468208682</v>
      </c>
      <c r="I206" s="6">
        <v>0.92968474376333143</v>
      </c>
      <c r="J206" s="6">
        <v>-0.17442057559997007</v>
      </c>
      <c r="K206" s="6">
        <v>-7.4247557438008982E-2</v>
      </c>
      <c r="L206" s="6">
        <v>0.20048773129907019</v>
      </c>
      <c r="N206" s="8">
        <f>SQRT((C206-Sheet5!$C$525)^2+(D206-Sheet5!$D$525)^2+(E206-Sheet5!$E$525)^2+(F206-Sheet5!$F$525)^2+(G206-Sheet5!$G$525)^2+(H206-Sheet5!$H$525)^2+(I206-Sheet5!$I$525)^2+(J206-Sheet5!$J$525)^2+(K206-Sheet5!$K$525)^2+(L206-Sheet5!$L$525)^2)</f>
        <v>3.039774925096081</v>
      </c>
      <c r="O206" s="8">
        <f>SQRT((C206-Sheet5!$C$526)^2+(D206-Sheet5!$D$526)^2+(E206-Sheet5!$E$526)^2+(F206-Sheet5!$F$526)^2+(G206-Sheet5!$G$526)^2+(H206-Sheet5!$H$526)^2+(I206-Sheet5!$I$526)^2+(J206-Sheet5!$J$526)^2+(K206-Sheet5!$K$526)^2+(L206-Sheet5!$L$526)^2)</f>
        <v>2.6020956606520746</v>
      </c>
      <c r="P206" s="12">
        <f t="shared" si="3"/>
        <v>1</v>
      </c>
      <c r="Q206" s="11">
        <f>IF(P206=Sheet1!$M206, 1, 0)</f>
        <v>0</v>
      </c>
    </row>
    <row r="207" spans="1:17" x14ac:dyDescent="0.35">
      <c r="A207" s="6" t="s">
        <v>211</v>
      </c>
      <c r="B207" s="6" t="s">
        <v>230</v>
      </c>
      <c r="C207" s="6">
        <v>-0.62714713425276924</v>
      </c>
      <c r="D207" s="6">
        <v>0.19848660150068739</v>
      </c>
      <c r="E207" s="6">
        <v>0.3489453472518062</v>
      </c>
      <c r="F207" s="6">
        <v>0.80626458262195366</v>
      </c>
      <c r="G207" s="6">
        <v>2.0391895031744021</v>
      </c>
      <c r="H207" s="6">
        <v>0.89401259584979831</v>
      </c>
      <c r="I207" s="6">
        <v>0.87741008471135273</v>
      </c>
      <c r="J207" s="6">
        <v>-0.48948241810339638</v>
      </c>
      <c r="K207" s="6">
        <v>0.83026531148273741</v>
      </c>
      <c r="L207" s="6">
        <v>0.9944534775631555</v>
      </c>
      <c r="N207" s="8">
        <f>SQRT((C207-Sheet5!$C$525)^2+(D207-Sheet5!$D$525)^2+(E207-Sheet5!$E$525)^2+(F207-Sheet5!$F$525)^2+(G207-Sheet5!$G$525)^2+(H207-Sheet5!$H$525)^2+(I207-Sheet5!$I$525)^2+(J207-Sheet5!$J$525)^2+(K207-Sheet5!$K$525)^2+(L207-Sheet5!$L$525)^2)</f>
        <v>3.6767172544344118</v>
      </c>
      <c r="O207" s="8">
        <f>SQRT((C207-Sheet5!$C$526)^2+(D207-Sheet5!$D$526)^2+(E207-Sheet5!$E$526)^2+(F207-Sheet5!$F$526)^2+(G207-Sheet5!$G$526)^2+(H207-Sheet5!$H$526)^2+(I207-Sheet5!$I$526)^2+(J207-Sheet5!$J$526)^2+(K207-Sheet5!$K$526)^2+(L207-Sheet5!$L$526)^2)</f>
        <v>2.6152678282881734</v>
      </c>
      <c r="P207" s="12">
        <f t="shared" si="3"/>
        <v>1</v>
      </c>
      <c r="Q207" s="11">
        <f>IF(P207=Sheet1!$M207, 1, 0)</f>
        <v>0</v>
      </c>
    </row>
    <row r="208" spans="1:17" x14ac:dyDescent="0.35">
      <c r="A208" s="6" t="s">
        <v>211</v>
      </c>
      <c r="B208" s="6" t="s">
        <v>231</v>
      </c>
      <c r="C208" s="6">
        <v>-0.64861948242968326</v>
      </c>
      <c r="D208" s="6">
        <v>-0.39687767341335822</v>
      </c>
      <c r="E208" s="6">
        <v>7.7808834309365388E-2</v>
      </c>
      <c r="F208" s="6">
        <v>0.37487880061327383</v>
      </c>
      <c r="G208" s="6">
        <v>1.8156193349805438</v>
      </c>
      <c r="H208" s="6">
        <v>-0.57161161218531054</v>
      </c>
      <c r="I208" s="6">
        <v>-0.23310767222215534</v>
      </c>
      <c r="J208" s="6">
        <v>-0.3148698306918587</v>
      </c>
      <c r="K208" s="6">
        <v>1.3386907370921807E-2</v>
      </c>
      <c r="L208" s="6">
        <v>-4.1467171774273631E-4</v>
      </c>
      <c r="N208" s="8">
        <f>SQRT((C208-Sheet5!$C$525)^2+(D208-Sheet5!$D$525)^2+(E208-Sheet5!$E$525)^2+(F208-Sheet5!$F$525)^2+(G208-Sheet5!$G$525)^2+(H208-Sheet5!$H$525)^2+(I208-Sheet5!$I$525)^2+(J208-Sheet5!$J$525)^2+(K208-Sheet5!$K$525)^2+(L208-Sheet5!$L$525)^2)</f>
        <v>2.5723461950309097</v>
      </c>
      <c r="O208" s="8">
        <f>SQRT((C208-Sheet5!$C$526)^2+(D208-Sheet5!$D$526)^2+(E208-Sheet5!$E$526)^2+(F208-Sheet5!$F$526)^2+(G208-Sheet5!$G$526)^2+(H208-Sheet5!$H$526)^2+(I208-Sheet5!$I$526)^2+(J208-Sheet5!$J$526)^2+(K208-Sheet5!$K$526)^2+(L208-Sheet5!$L$526)^2)</f>
        <v>2.9573440537769184</v>
      </c>
      <c r="P208" s="12">
        <f t="shared" si="3"/>
        <v>0</v>
      </c>
      <c r="Q208" s="11">
        <f>IF(P208=Sheet1!$M208, 1, 0)</f>
        <v>1</v>
      </c>
    </row>
    <row r="209" spans="1:17" x14ac:dyDescent="0.35">
      <c r="A209" s="6" t="s">
        <v>211</v>
      </c>
      <c r="B209" s="6" t="s">
        <v>232</v>
      </c>
      <c r="C209" s="6">
        <v>8.6808442629625199E-2</v>
      </c>
      <c r="D209" s="6">
        <v>-0.35391324120306611</v>
      </c>
      <c r="E209" s="6">
        <v>-2.8288062059415794E-2</v>
      </c>
      <c r="F209" s="6">
        <v>0.40723273426392392</v>
      </c>
      <c r="G209" s="6">
        <v>1.6849614444776406</v>
      </c>
      <c r="H209" s="6">
        <v>0.76366307054862348</v>
      </c>
      <c r="I209" s="6">
        <v>0.73779849529204189</v>
      </c>
      <c r="J209" s="6">
        <v>8.3702379704042207E-2</v>
      </c>
      <c r="K209" s="6">
        <v>-0.50616027685345033</v>
      </c>
      <c r="L209" s="6">
        <v>-6.4934643223660951E-2</v>
      </c>
      <c r="N209" s="8">
        <f>SQRT((C209-Sheet5!$C$525)^2+(D209-Sheet5!$D$525)^2+(E209-Sheet5!$E$525)^2+(F209-Sheet5!$F$525)^2+(G209-Sheet5!$G$525)^2+(H209-Sheet5!$H$525)^2+(I209-Sheet5!$I$525)^2+(J209-Sheet5!$J$525)^2+(K209-Sheet5!$K$525)^2+(L209-Sheet5!$L$525)^2)</f>
        <v>2.8155857541314968</v>
      </c>
      <c r="O209" s="8">
        <f>SQRT((C209-Sheet5!$C$526)^2+(D209-Sheet5!$D$526)^2+(E209-Sheet5!$E$526)^2+(F209-Sheet5!$F$526)^2+(G209-Sheet5!$G$526)^2+(H209-Sheet5!$H$526)^2+(I209-Sheet5!$I$526)^2+(J209-Sheet5!$J$526)^2+(K209-Sheet5!$K$526)^2+(L209-Sheet5!$L$526)^2)</f>
        <v>2.3759465817242282</v>
      </c>
      <c r="P209" s="12">
        <f t="shared" si="3"/>
        <v>1</v>
      </c>
      <c r="Q209" s="11">
        <f>IF(P209=Sheet1!$M209, 1, 0)</f>
        <v>0</v>
      </c>
    </row>
    <row r="210" spans="1:17" x14ac:dyDescent="0.35">
      <c r="A210" s="6" t="s">
        <v>211</v>
      </c>
      <c r="B210" s="6" t="s">
        <v>233</v>
      </c>
      <c r="C210" s="6">
        <v>-0.59762265550951221</v>
      </c>
      <c r="D210" s="6">
        <v>-0.24957104869235763</v>
      </c>
      <c r="E210" s="6">
        <v>0.64292216427363735</v>
      </c>
      <c r="F210" s="6">
        <v>0.66452353996195845</v>
      </c>
      <c r="G210" s="6">
        <v>1.7807772308464394</v>
      </c>
      <c r="H210" s="6">
        <v>0.74373359767199809</v>
      </c>
      <c r="I210" s="6">
        <v>0.83597285497502749</v>
      </c>
      <c r="J210" s="6">
        <v>-1.499169144160971E-2</v>
      </c>
      <c r="K210" s="6">
        <v>0.72541693394348106</v>
      </c>
      <c r="L210" s="6">
        <v>0.29215461492033029</v>
      </c>
      <c r="N210" s="8">
        <f>SQRT((C210-Sheet5!$C$525)^2+(D210-Sheet5!$D$525)^2+(E210-Sheet5!$E$525)^2+(F210-Sheet5!$F$525)^2+(G210-Sheet5!$G$525)^2+(H210-Sheet5!$H$525)^2+(I210-Sheet5!$I$525)^2+(J210-Sheet5!$J$525)^2+(K210-Sheet5!$K$525)^2+(L210-Sheet5!$L$525)^2)</f>
        <v>3.2507186055118109</v>
      </c>
      <c r="O210" s="8">
        <f>SQRT((C210-Sheet5!$C$526)^2+(D210-Sheet5!$D$526)^2+(E210-Sheet5!$E$526)^2+(F210-Sheet5!$F$526)^2+(G210-Sheet5!$G$526)^2+(H210-Sheet5!$H$526)^2+(I210-Sheet5!$I$526)^2+(J210-Sheet5!$J$526)^2+(K210-Sheet5!$K$526)^2+(L210-Sheet5!$L$526)^2)</f>
        <v>2.3032661287692586</v>
      </c>
      <c r="P210" s="12">
        <f t="shared" si="3"/>
        <v>1</v>
      </c>
      <c r="Q210" s="11">
        <f>IF(P210=Sheet1!$M210, 1, 0)</f>
        <v>0</v>
      </c>
    </row>
    <row r="211" spans="1:17" x14ac:dyDescent="0.35">
      <c r="A211" s="6" t="s">
        <v>211</v>
      </c>
      <c r="B211" s="6" t="s">
        <v>234</v>
      </c>
      <c r="C211" s="6">
        <v>-0.28224754166108618</v>
      </c>
      <c r="D211" s="6">
        <v>-0.72831757903561056</v>
      </c>
      <c r="E211" s="6">
        <v>-0.33773734313502757</v>
      </c>
      <c r="F211" s="6">
        <v>-7.2057491658435932E-3</v>
      </c>
      <c r="G211" s="6">
        <v>1.7372246006788037</v>
      </c>
      <c r="H211" s="6">
        <v>-0.49297098948294932</v>
      </c>
      <c r="I211" s="6">
        <v>0.42925050771694617</v>
      </c>
      <c r="J211" s="6">
        <v>-0.92601388663224027</v>
      </c>
      <c r="K211" s="6">
        <v>0.71133282352776184</v>
      </c>
      <c r="L211" s="6">
        <v>-0.13740872130625273</v>
      </c>
      <c r="N211" s="8">
        <f>SQRT((C211-Sheet5!$C$525)^2+(D211-Sheet5!$D$525)^2+(E211-Sheet5!$E$525)^2+(F211-Sheet5!$F$525)^2+(G211-Sheet5!$G$525)^2+(H211-Sheet5!$H$525)^2+(I211-Sheet5!$I$525)^2+(J211-Sheet5!$J$525)^2+(K211-Sheet5!$K$525)^2+(L211-Sheet5!$L$525)^2)</f>
        <v>2.4550015074835616</v>
      </c>
      <c r="O211" s="8">
        <f>SQRT((C211-Sheet5!$C$526)^2+(D211-Sheet5!$D$526)^2+(E211-Sheet5!$E$526)^2+(F211-Sheet5!$F$526)^2+(G211-Sheet5!$G$526)^2+(H211-Sheet5!$H$526)^2+(I211-Sheet5!$I$526)^2+(J211-Sheet5!$J$526)^2+(K211-Sheet5!$K$526)^2+(L211-Sheet5!$L$526)^2)</f>
        <v>3.7166763060998322</v>
      </c>
      <c r="P211" s="12">
        <f t="shared" si="3"/>
        <v>0</v>
      </c>
      <c r="Q211" s="11">
        <f>IF(P211=Sheet1!$M211, 1, 0)</f>
        <v>1</v>
      </c>
    </row>
    <row r="212" spans="1:17" x14ac:dyDescent="0.35">
      <c r="A212" s="6" t="s">
        <v>211</v>
      </c>
      <c r="B212" s="6" t="s">
        <v>235</v>
      </c>
      <c r="C212" s="6">
        <v>-0.27285338933368619</v>
      </c>
      <c r="D212" s="6">
        <v>-0.59942428240473467</v>
      </c>
      <c r="E212" s="6">
        <v>0.47272505968205092</v>
      </c>
      <c r="F212" s="6">
        <v>0.39644808971370793</v>
      </c>
      <c r="G212" s="6">
        <v>1.4004175940491004</v>
      </c>
      <c r="H212" s="6">
        <v>0.35591682818089965</v>
      </c>
      <c r="I212" s="6">
        <v>0.47897518340053613</v>
      </c>
      <c r="J212" s="6">
        <v>0.94537753932184698</v>
      </c>
      <c r="K212" s="6">
        <v>7.2853151348411818E-2</v>
      </c>
      <c r="L212" s="6">
        <v>0.20201718394596324</v>
      </c>
      <c r="N212" s="8">
        <f>SQRT((C212-Sheet5!$C$525)^2+(D212-Sheet5!$D$525)^2+(E212-Sheet5!$E$525)^2+(F212-Sheet5!$F$525)^2+(G212-Sheet5!$G$525)^2+(H212-Sheet5!$H$525)^2+(I212-Sheet5!$I$525)^2+(J212-Sheet5!$J$525)^2+(K212-Sheet5!$K$525)^2+(L212-Sheet5!$L$525)^2)</f>
        <v>2.8079031285610059</v>
      </c>
      <c r="O212" s="8">
        <f>SQRT((C212-Sheet5!$C$526)^2+(D212-Sheet5!$D$526)^2+(E212-Sheet5!$E$526)^2+(F212-Sheet5!$F$526)^2+(G212-Sheet5!$G$526)^2+(H212-Sheet5!$H$526)^2+(I212-Sheet5!$I$526)^2+(J212-Sheet5!$J$526)^2+(K212-Sheet5!$K$526)^2+(L212-Sheet5!$L$526)^2)</f>
        <v>2.0389630793556064</v>
      </c>
      <c r="P212" s="12">
        <f t="shared" si="3"/>
        <v>1</v>
      </c>
      <c r="Q212" s="11">
        <f>IF(P212=Sheet1!$M212, 1, 0)</f>
        <v>0</v>
      </c>
    </row>
    <row r="213" spans="1:17" x14ac:dyDescent="0.35">
      <c r="A213" s="6" t="s">
        <v>211</v>
      </c>
      <c r="B213" s="6" t="s">
        <v>236</v>
      </c>
      <c r="C213" s="6">
        <v>-0.34800660795288568</v>
      </c>
      <c r="D213" s="6">
        <v>-0.95541529214715393</v>
      </c>
      <c r="E213" s="6">
        <v>-0.29500387098649072</v>
      </c>
      <c r="F213" s="6">
        <v>-0.15510944585453301</v>
      </c>
      <c r="G213" s="6">
        <v>1.475908819672997</v>
      </c>
      <c r="H213" s="6">
        <v>-0.55168213930868515</v>
      </c>
      <c r="I213" s="6">
        <v>0.8442603009222921</v>
      </c>
      <c r="J213" s="6">
        <v>0.58096866124559465</v>
      </c>
      <c r="K213" s="6">
        <v>0.302893621471854</v>
      </c>
      <c r="L213" s="6">
        <v>-0.12954517373844066</v>
      </c>
      <c r="N213" s="8">
        <f>SQRT((C213-Sheet5!$C$525)^2+(D213-Sheet5!$D$525)^2+(E213-Sheet5!$E$525)^2+(F213-Sheet5!$F$525)^2+(G213-Sheet5!$G$525)^2+(H213-Sheet5!$H$525)^2+(I213-Sheet5!$I$525)^2+(J213-Sheet5!$J$525)^2+(K213-Sheet5!$K$525)^2+(L213-Sheet5!$L$525)^2)</f>
        <v>2.5421032827244954</v>
      </c>
      <c r="O213" s="8">
        <f>SQRT((C213-Sheet5!$C$526)^2+(D213-Sheet5!$D$526)^2+(E213-Sheet5!$E$526)^2+(F213-Sheet5!$F$526)^2+(G213-Sheet5!$G$526)^2+(H213-Sheet5!$H$526)^2+(I213-Sheet5!$I$526)^2+(J213-Sheet5!$J$526)^2+(K213-Sheet5!$K$526)^2+(L213-Sheet5!$L$526)^2)</f>
        <v>3.1791999002768421</v>
      </c>
      <c r="P213" s="12">
        <f t="shared" si="3"/>
        <v>0</v>
      </c>
      <c r="Q213" s="11">
        <f>IF(P213=Sheet1!$M213, 1, 0)</f>
        <v>1</v>
      </c>
    </row>
    <row r="214" spans="1:17" x14ac:dyDescent="0.35">
      <c r="A214" s="6" t="s">
        <v>211</v>
      </c>
      <c r="B214" s="6" t="s">
        <v>237</v>
      </c>
      <c r="C214" s="6">
        <v>-0.22856667121880084</v>
      </c>
      <c r="D214" s="6">
        <v>-0.7774197872759443</v>
      </c>
      <c r="E214" s="6">
        <v>3.1023050146743131E-2</v>
      </c>
      <c r="F214" s="6">
        <v>2.8229511499155757E-2</v>
      </c>
      <c r="G214" s="6">
        <v>1.1855579518887693</v>
      </c>
      <c r="H214" s="6">
        <v>7.3672401495710874E-2</v>
      </c>
      <c r="I214" s="6">
        <v>0.70528620734507974</v>
      </c>
      <c r="J214" s="6">
        <v>-0.29589020162538726</v>
      </c>
      <c r="K214" s="6">
        <v>0.31228302841566613</v>
      </c>
      <c r="L214" s="6">
        <v>-0.11176769225727883</v>
      </c>
      <c r="N214" s="8">
        <f>SQRT((C214-Sheet5!$C$525)^2+(D214-Sheet5!$D$525)^2+(E214-Sheet5!$E$525)^2+(F214-Sheet5!$F$525)^2+(G214-Sheet5!$G$525)^2+(H214-Sheet5!$H$525)^2+(I214-Sheet5!$I$525)^2+(J214-Sheet5!$J$525)^2+(K214-Sheet5!$K$525)^2+(L214-Sheet5!$L$525)^2)</f>
        <v>2.0711323003220872</v>
      </c>
      <c r="O214" s="8">
        <f>SQRT((C214-Sheet5!$C$526)^2+(D214-Sheet5!$D$526)^2+(E214-Sheet5!$E$526)^2+(F214-Sheet5!$F$526)^2+(G214-Sheet5!$G$526)^2+(H214-Sheet5!$H$526)^2+(I214-Sheet5!$I$526)^2+(J214-Sheet5!$J$526)^2+(K214-Sheet5!$K$526)^2+(L214-Sheet5!$L$526)^2)</f>
        <v>2.9075701553867863</v>
      </c>
      <c r="P214" s="12">
        <f t="shared" si="3"/>
        <v>0</v>
      </c>
      <c r="Q214" s="11">
        <f>IF(P214=Sheet1!$M214, 1, 0)</f>
        <v>1</v>
      </c>
    </row>
    <row r="215" spans="1:17" x14ac:dyDescent="0.35">
      <c r="A215" s="6" t="s">
        <v>211</v>
      </c>
      <c r="B215" s="6" t="s">
        <v>238</v>
      </c>
      <c r="C215" s="6">
        <v>0.57530436365442117</v>
      </c>
      <c r="D215" s="6">
        <v>-1.2193396614389471</v>
      </c>
      <c r="E215" s="6">
        <v>-0.64534466420423697</v>
      </c>
      <c r="F215" s="6">
        <v>-0.51870603354756351</v>
      </c>
      <c r="G215" s="6">
        <v>1.1245842696540833</v>
      </c>
      <c r="H215" s="6">
        <v>3.7045262154885322E-2</v>
      </c>
      <c r="I215" s="6">
        <v>0.63771164808276515</v>
      </c>
      <c r="J215" s="6">
        <v>0.62651977100512624</v>
      </c>
      <c r="K215" s="6">
        <v>-0.55780201504442695</v>
      </c>
      <c r="L215" s="6">
        <v>-6.368415996470278E-2</v>
      </c>
      <c r="N215" s="8">
        <f>SQRT((C215-Sheet5!$C$525)^2+(D215-Sheet5!$D$525)^2+(E215-Sheet5!$E$525)^2+(F215-Sheet5!$F$525)^2+(G215-Sheet5!$G$525)^2+(H215-Sheet5!$H$525)^2+(I215-Sheet5!$I$525)^2+(J215-Sheet5!$J$525)^2+(K215-Sheet5!$K$525)^2+(L215-Sheet5!$L$525)^2)</f>
        <v>2.3844543595879943</v>
      </c>
      <c r="O215" s="8">
        <f>SQRT((C215-Sheet5!$C$526)^2+(D215-Sheet5!$D$526)^2+(E215-Sheet5!$E$526)^2+(F215-Sheet5!$F$526)^2+(G215-Sheet5!$G$526)^2+(H215-Sheet5!$H$526)^2+(I215-Sheet5!$I$526)^2+(J215-Sheet5!$J$526)^2+(K215-Sheet5!$K$526)^2+(L215-Sheet5!$L$526)^2)</f>
        <v>3.5135991533423176</v>
      </c>
      <c r="P215" s="12">
        <f t="shared" si="3"/>
        <v>0</v>
      </c>
      <c r="Q215" s="11">
        <f>IF(P215=Sheet1!$M215, 1, 0)</f>
        <v>1</v>
      </c>
    </row>
    <row r="216" spans="1:17" x14ac:dyDescent="0.35">
      <c r="A216" s="6" t="s">
        <v>211</v>
      </c>
      <c r="B216" s="6" t="s">
        <v>239</v>
      </c>
      <c r="C216" s="6">
        <v>-0.49294495814705597</v>
      </c>
      <c r="D216" s="6">
        <v>-0.88789975581669489</v>
      </c>
      <c r="E216" s="6">
        <v>-0.23016687876112443</v>
      </c>
      <c r="F216" s="6">
        <v>-0.17513807144779248</v>
      </c>
      <c r="G216" s="6">
        <v>0.59904919896463049</v>
      </c>
      <c r="H216" s="6">
        <v>0.37853947306788044</v>
      </c>
      <c r="I216" s="6">
        <v>0.87549759718506071</v>
      </c>
      <c r="J216" s="6">
        <v>1.8639915861390666</v>
      </c>
      <c r="K216" s="6">
        <v>-0.50459537569614943</v>
      </c>
      <c r="L216" s="6">
        <v>7.1854488921400825E-2</v>
      </c>
      <c r="N216" s="8">
        <f>SQRT((C216-Sheet5!$C$525)^2+(D216-Sheet5!$D$525)^2+(E216-Sheet5!$E$525)^2+(F216-Sheet5!$F$525)^2+(G216-Sheet5!$G$525)^2+(H216-Sheet5!$H$525)^2+(I216-Sheet5!$I$525)^2+(J216-Sheet5!$J$525)^2+(K216-Sheet5!$K$525)^2+(L216-Sheet5!$L$525)^2)</f>
        <v>3.058909302433038</v>
      </c>
      <c r="O216" s="8">
        <f>SQRT((C216-Sheet5!$C$526)^2+(D216-Sheet5!$D$526)^2+(E216-Sheet5!$E$526)^2+(F216-Sheet5!$F$526)^2+(G216-Sheet5!$G$526)^2+(H216-Sheet5!$H$526)^2+(I216-Sheet5!$I$526)^2+(J216-Sheet5!$J$526)^2+(K216-Sheet5!$K$526)^2+(L216-Sheet5!$L$526)^2)</f>
        <v>2.7584991508418089</v>
      </c>
      <c r="P216" s="12">
        <f t="shared" si="3"/>
        <v>1</v>
      </c>
      <c r="Q216" s="11">
        <f>IF(P216=Sheet1!$M216, 1, 0)</f>
        <v>0</v>
      </c>
    </row>
    <row r="217" spans="1:17" x14ac:dyDescent="0.35">
      <c r="A217" s="6" t="s">
        <v>211</v>
      </c>
      <c r="B217" s="6" t="s">
        <v>240</v>
      </c>
      <c r="C217" s="6">
        <v>0.69206025686639183</v>
      </c>
      <c r="D217" s="6">
        <v>-1.3605085101299068</v>
      </c>
      <c r="E217" s="6">
        <v>-6.365369418234286E-2</v>
      </c>
      <c r="F217" s="6">
        <v>-0.5556819577197375</v>
      </c>
      <c r="G217" s="6">
        <v>-3.3915692804983716E-2</v>
      </c>
      <c r="H217" s="6">
        <v>0.15608346501256934</v>
      </c>
      <c r="I217" s="6">
        <v>0.4757877041900489</v>
      </c>
      <c r="J217" s="6">
        <v>1.7918689956864746</v>
      </c>
      <c r="K217" s="6">
        <v>-0.85982793840377758</v>
      </c>
      <c r="L217" s="6">
        <v>0.24013078367642424</v>
      </c>
      <c r="N217" s="8">
        <f>SQRT((C217-Sheet5!$C$525)^2+(D217-Sheet5!$D$525)^2+(E217-Sheet5!$E$525)^2+(F217-Sheet5!$F$525)^2+(G217-Sheet5!$G$525)^2+(H217-Sheet5!$H$525)^2+(I217-Sheet5!$I$525)^2+(J217-Sheet5!$J$525)^2+(K217-Sheet5!$K$525)^2+(L217-Sheet5!$L$525)^2)</f>
        <v>2.8957157500477084</v>
      </c>
      <c r="O217" s="8">
        <f>SQRT((C217-Sheet5!$C$526)^2+(D217-Sheet5!$D$526)^2+(E217-Sheet5!$E$526)^2+(F217-Sheet5!$F$526)^2+(G217-Sheet5!$G$526)^2+(H217-Sheet5!$H$526)^2+(I217-Sheet5!$I$526)^2+(J217-Sheet5!$J$526)^2+(K217-Sheet5!$K$526)^2+(L217-Sheet5!$L$526)^2)</f>
        <v>3.5631572043411901</v>
      </c>
      <c r="P217" s="12">
        <f t="shared" si="3"/>
        <v>0</v>
      </c>
      <c r="Q217" s="11">
        <f>IF(P217=Sheet1!$M217, 1, 0)</f>
        <v>1</v>
      </c>
    </row>
    <row r="218" spans="1:17" x14ac:dyDescent="0.35">
      <c r="A218" s="6" t="s">
        <v>211</v>
      </c>
      <c r="B218" s="6" t="s">
        <v>241</v>
      </c>
      <c r="C218" s="6">
        <v>-0.60701680783691214</v>
      </c>
      <c r="D218" s="6">
        <v>1.3401129430884449</v>
      </c>
      <c r="E218" s="6">
        <v>0.74570353263089417</v>
      </c>
      <c r="F218" s="6">
        <v>1.4641279001851928</v>
      </c>
      <c r="G218" s="6">
        <v>2.1117772201204592</v>
      </c>
      <c r="H218" s="6">
        <v>0.36830541942853212</v>
      </c>
      <c r="I218" s="6">
        <v>0.94753462734205607</v>
      </c>
      <c r="J218" s="6">
        <v>1.393296785290574</v>
      </c>
      <c r="K218" s="6">
        <v>-0.37470857964005644</v>
      </c>
      <c r="L218" s="6">
        <v>-0.32283184410324611</v>
      </c>
      <c r="N218" s="8">
        <f>SQRT((C218-Sheet5!$C$525)^2+(D218-Sheet5!$D$525)^2+(E218-Sheet5!$E$525)^2+(F218-Sheet5!$F$525)^2+(G218-Sheet5!$G$525)^2+(H218-Sheet5!$H$525)^2+(I218-Sheet5!$I$525)^2+(J218-Sheet5!$J$525)^2+(K218-Sheet5!$K$525)^2+(L218-Sheet5!$L$525)^2)</f>
        <v>4.4971383986166709</v>
      </c>
      <c r="O218" s="8">
        <f>SQRT((C218-Sheet5!$C$526)^2+(D218-Sheet5!$D$526)^2+(E218-Sheet5!$E$526)^2+(F218-Sheet5!$F$526)^2+(G218-Sheet5!$G$526)^2+(H218-Sheet5!$H$526)^2+(I218-Sheet5!$I$526)^2+(J218-Sheet5!$J$526)^2+(K218-Sheet5!$K$526)^2+(L218-Sheet5!$L$526)^2)</f>
        <v>1.7756014270437634</v>
      </c>
      <c r="P218" s="12">
        <f t="shared" si="3"/>
        <v>1</v>
      </c>
      <c r="Q218" s="11">
        <f>IF(P218=Sheet1!$M218, 1, 0)</f>
        <v>0</v>
      </c>
    </row>
    <row r="219" spans="1:17" x14ac:dyDescent="0.35">
      <c r="A219" s="6" t="s">
        <v>211</v>
      </c>
      <c r="B219" s="6" t="s">
        <v>242</v>
      </c>
      <c r="C219" s="6">
        <v>-0.38558321726248529</v>
      </c>
      <c r="D219" s="6">
        <v>1.5119706719296135</v>
      </c>
      <c r="E219" s="6">
        <v>1.6895238399115102</v>
      </c>
      <c r="F219" s="6">
        <v>1.9555995589736532</v>
      </c>
      <c r="G219" s="6">
        <v>2.2250140585563041</v>
      </c>
      <c r="H219" s="6">
        <v>0.62092495399981695</v>
      </c>
      <c r="I219" s="6">
        <v>0.93605970218430412</v>
      </c>
      <c r="J219" s="6">
        <v>1.0592553137206757</v>
      </c>
      <c r="K219" s="6">
        <v>-0.40287680047149721</v>
      </c>
      <c r="L219" s="6">
        <v>0.29769488720496484</v>
      </c>
      <c r="N219" s="8">
        <f>SQRT((C219-Sheet5!$C$525)^2+(D219-Sheet5!$D$525)^2+(E219-Sheet5!$E$525)^2+(F219-Sheet5!$F$525)^2+(G219-Sheet5!$G$525)^2+(H219-Sheet5!$H$525)^2+(I219-Sheet5!$I$525)^2+(J219-Sheet5!$J$525)^2+(K219-Sheet5!$K$525)^2+(L219-Sheet5!$L$525)^2)</f>
        <v>5.0851328604769828</v>
      </c>
      <c r="O219" s="8">
        <f>SQRT((C219-Sheet5!$C$526)^2+(D219-Sheet5!$D$526)^2+(E219-Sheet5!$E$526)^2+(F219-Sheet5!$F$526)^2+(G219-Sheet5!$G$526)^2+(H219-Sheet5!$H$526)^2+(I219-Sheet5!$I$526)^2+(J219-Sheet5!$J$526)^2+(K219-Sheet5!$K$526)^2+(L219-Sheet5!$L$526)^2)</f>
        <v>1.9201565421220488</v>
      </c>
      <c r="P219" s="12">
        <f t="shared" si="3"/>
        <v>1</v>
      </c>
      <c r="Q219" s="11">
        <f>IF(P219=Sheet1!$M219, 1, 0)</f>
        <v>0</v>
      </c>
    </row>
    <row r="220" spans="1:17" x14ac:dyDescent="0.35">
      <c r="A220" s="6" t="s">
        <v>211</v>
      </c>
      <c r="B220" s="6" t="s">
        <v>243</v>
      </c>
      <c r="C220" s="6">
        <v>-0.9572844874728238</v>
      </c>
      <c r="D220" s="6">
        <v>1.3646640472086125</v>
      </c>
      <c r="E220" s="6">
        <v>2.0328651851049271</v>
      </c>
      <c r="F220" s="6">
        <v>2.1065845826766898</v>
      </c>
      <c r="G220" s="6">
        <v>2.2917947581466773</v>
      </c>
      <c r="H220" s="6">
        <v>1.1240094855341023</v>
      </c>
      <c r="I220" s="6">
        <v>0.86976013460618473</v>
      </c>
      <c r="J220" s="6">
        <v>0.83529569073631238</v>
      </c>
      <c r="K220" s="6">
        <v>0.14014390111241082</v>
      </c>
      <c r="L220" s="6">
        <v>-0.25374472310011775</v>
      </c>
      <c r="N220" s="8">
        <f>SQRT((C220-Sheet5!$C$525)^2+(D220-Sheet5!$D$525)^2+(E220-Sheet5!$E$525)^2+(F220-Sheet5!$F$525)^2+(G220-Sheet5!$G$525)^2+(H220-Sheet5!$H$525)^2+(I220-Sheet5!$I$525)^2+(J220-Sheet5!$J$525)^2+(K220-Sheet5!$K$525)^2+(L220-Sheet5!$L$525)^2)</f>
        <v>5.3623752490039722</v>
      </c>
      <c r="O220" s="8">
        <f>SQRT((C220-Sheet5!$C$526)^2+(D220-Sheet5!$D$526)^2+(E220-Sheet5!$E$526)^2+(F220-Sheet5!$F$526)^2+(G220-Sheet5!$G$526)^2+(H220-Sheet5!$H$526)^2+(I220-Sheet5!$I$526)^2+(J220-Sheet5!$J$526)^2+(K220-Sheet5!$K$526)^2+(L220-Sheet5!$L$526)^2)</f>
        <v>2.4329251179662523</v>
      </c>
      <c r="P220" s="12">
        <f t="shared" si="3"/>
        <v>1</v>
      </c>
      <c r="Q220" s="11">
        <f>IF(P220=Sheet1!$M220, 1, 0)</f>
        <v>0</v>
      </c>
    </row>
    <row r="221" spans="1:17" x14ac:dyDescent="0.35">
      <c r="A221" s="6" t="s">
        <v>211</v>
      </c>
      <c r="B221" s="6" t="s">
        <v>244</v>
      </c>
      <c r="C221" s="6">
        <v>-1.0351217496141374</v>
      </c>
      <c r="D221" s="6">
        <v>1.4383173595691123</v>
      </c>
      <c r="E221" s="6">
        <v>1.878877328569682</v>
      </c>
      <c r="F221" s="6">
        <v>2.0988812651408209</v>
      </c>
      <c r="G221" s="6">
        <v>2.2801807234353109</v>
      </c>
      <c r="H221" s="6">
        <v>0.88701034862287598</v>
      </c>
      <c r="I221" s="6">
        <v>0.84681028429068173</v>
      </c>
      <c r="J221" s="6">
        <v>1.7007667761674115</v>
      </c>
      <c r="K221" s="6">
        <v>-8.5217088313108893E-3</v>
      </c>
      <c r="L221" s="6">
        <v>2.5647921378859624</v>
      </c>
      <c r="N221" s="8">
        <f>SQRT((C221-Sheet5!$C$525)^2+(D221-Sheet5!$D$525)^2+(E221-Sheet5!$E$525)^2+(F221-Sheet5!$F$525)^2+(G221-Sheet5!$G$525)^2+(H221-Sheet5!$H$525)^2+(I221-Sheet5!$I$525)^2+(J221-Sheet5!$J$525)^2+(K221-Sheet5!$K$525)^2+(L221-Sheet5!$L$525)^2)</f>
        <v>6.2063353499586027</v>
      </c>
      <c r="O221" s="8">
        <f>SQRT((C221-Sheet5!$C$526)^2+(D221-Sheet5!$D$526)^2+(E221-Sheet5!$E$526)^2+(F221-Sheet5!$F$526)^2+(G221-Sheet5!$G$526)^2+(H221-Sheet5!$H$526)^2+(I221-Sheet5!$I$526)^2+(J221-Sheet5!$J$526)^2+(K221-Sheet5!$K$526)^2+(L221-Sheet5!$L$526)^2)</f>
        <v>3.0117199741727725</v>
      </c>
      <c r="P221" s="12">
        <f t="shared" si="3"/>
        <v>1</v>
      </c>
      <c r="Q221" s="11">
        <f>IF(P221=Sheet1!$M221, 1, 0)</f>
        <v>0</v>
      </c>
    </row>
    <row r="222" spans="1:17" x14ac:dyDescent="0.35">
      <c r="A222" s="6" t="s">
        <v>211</v>
      </c>
      <c r="B222" s="6" t="s">
        <v>245</v>
      </c>
      <c r="C222" s="6">
        <v>-0.62848915601382627</v>
      </c>
      <c r="D222" s="6">
        <v>0.45627319476243916</v>
      </c>
      <c r="E222" s="6">
        <v>0.8374331409497362</v>
      </c>
      <c r="F222" s="6">
        <v>0.84324050679412765</v>
      </c>
      <c r="G222" s="6">
        <v>1.3888035593377295</v>
      </c>
      <c r="H222" s="6">
        <v>0.93818061681961828</v>
      </c>
      <c r="I222" s="6">
        <v>0.90163492671105006</v>
      </c>
      <c r="J222" s="6">
        <v>0.6948464356444235</v>
      </c>
      <c r="K222" s="6">
        <v>0.98675542721297027</v>
      </c>
      <c r="L222" s="6">
        <v>-0.30010661036843383</v>
      </c>
      <c r="N222" s="8">
        <f>SQRT((C222-Sheet5!$C$525)^2+(D222-Sheet5!$D$525)^2+(E222-Sheet5!$E$525)^2+(F222-Sheet5!$F$525)^2+(G222-Sheet5!$G$525)^2+(H222-Sheet5!$H$525)^2+(I222-Sheet5!$I$525)^2+(J222-Sheet5!$J$525)^2+(K222-Sheet5!$K$525)^2+(L222-Sheet5!$L$525)^2)</f>
        <v>3.5145980844164653</v>
      </c>
      <c r="O222" s="8">
        <f>SQRT((C222-Sheet5!$C$526)^2+(D222-Sheet5!$D$526)^2+(E222-Sheet5!$E$526)^2+(F222-Sheet5!$F$526)^2+(G222-Sheet5!$G$526)^2+(H222-Sheet5!$H$526)^2+(I222-Sheet5!$I$526)^2+(J222-Sheet5!$J$526)^2+(K222-Sheet5!$K$526)^2+(L222-Sheet5!$L$526)^2)</f>
        <v>1.9872299132769262</v>
      </c>
      <c r="P222" s="12">
        <f t="shared" si="3"/>
        <v>1</v>
      </c>
      <c r="Q222" s="11">
        <f>IF(P222=Sheet1!$M222, 1, 0)</f>
        <v>0</v>
      </c>
    </row>
    <row r="223" spans="1:17" x14ac:dyDescent="0.35">
      <c r="A223" s="6" t="s">
        <v>211</v>
      </c>
      <c r="B223" s="6" t="s">
        <v>246</v>
      </c>
      <c r="C223" s="6">
        <v>-0.55736200267779834</v>
      </c>
      <c r="D223" s="6">
        <v>0.18007327341056265</v>
      </c>
      <c r="E223" s="6">
        <v>1.0382067816476035</v>
      </c>
      <c r="F223" s="6">
        <v>0.86172846888021248</v>
      </c>
      <c r="G223" s="6">
        <v>1.4178386461161547</v>
      </c>
      <c r="H223" s="6">
        <v>0.83853325243648835</v>
      </c>
      <c r="I223" s="6">
        <v>0.94753462734205607</v>
      </c>
      <c r="J223" s="6">
        <v>1.2110923462524477</v>
      </c>
      <c r="K223" s="6">
        <v>-0.19005024307838053</v>
      </c>
      <c r="L223" s="6">
        <v>-0.22302942246231655</v>
      </c>
      <c r="N223" s="8">
        <f>SQRT((C223-Sheet5!$C$525)^2+(D223-Sheet5!$D$525)^2+(E223-Sheet5!$E$525)^2+(F223-Sheet5!$F$525)^2+(G223-Sheet5!$G$525)^2+(H223-Sheet5!$H$525)^2+(I223-Sheet5!$I$525)^2+(J223-Sheet5!$J$525)^2+(K223-Sheet5!$K$525)^2+(L223-Sheet5!$L$525)^2)</f>
        <v>3.6628636640709717</v>
      </c>
      <c r="O223" s="8">
        <f>SQRT((C223-Sheet5!$C$526)^2+(D223-Sheet5!$D$526)^2+(E223-Sheet5!$E$526)^2+(F223-Sheet5!$F$526)^2+(G223-Sheet5!$G$526)^2+(H223-Sheet5!$H$526)^2+(I223-Sheet5!$I$526)^2+(J223-Sheet5!$J$526)^2+(K223-Sheet5!$K$526)^2+(L223-Sheet5!$L$526)^2)</f>
        <v>1.3552759765356275</v>
      </c>
      <c r="P223" s="12">
        <f t="shared" si="3"/>
        <v>1</v>
      </c>
      <c r="Q223" s="11">
        <f>IF(P223=Sheet1!$M223, 1, 0)</f>
        <v>0</v>
      </c>
    </row>
    <row r="224" spans="1:17" x14ac:dyDescent="0.35">
      <c r="A224" s="6" t="s">
        <v>247</v>
      </c>
      <c r="B224" s="6" t="s">
        <v>248</v>
      </c>
      <c r="C224" s="6">
        <v>0.81955232416681933</v>
      </c>
      <c r="D224" s="6">
        <v>0.35806877828177169</v>
      </c>
      <c r="E224" s="6">
        <v>-9.423023028862354E-2</v>
      </c>
      <c r="F224" s="6">
        <v>0.73693472479912969</v>
      </c>
      <c r="G224" s="6">
        <v>1.6297947795986381</v>
      </c>
      <c r="H224" s="6">
        <v>1.0098189922950571</v>
      </c>
      <c r="I224" s="6">
        <v>0.26732656382422992</v>
      </c>
      <c r="J224" s="6">
        <v>-0.51984982460975082</v>
      </c>
      <c r="K224" s="6">
        <v>1.135421037156692</v>
      </c>
      <c r="L224" s="6">
        <v>-0.27550661291602135</v>
      </c>
      <c r="N224" s="8">
        <f>SQRT((C224-Sheet5!$C$525)^2+(D224-Sheet5!$D$525)^2+(E224-Sheet5!$E$525)^2+(F224-Sheet5!$F$525)^2+(G224-Sheet5!$G$525)^2+(H224-Sheet5!$H$525)^2+(I224-Sheet5!$I$525)^2+(J224-Sheet5!$J$525)^2+(K224-Sheet5!$K$525)^2+(L224-Sheet5!$L$525)^2)</f>
        <v>3.0024802381986269</v>
      </c>
      <c r="O224" s="8">
        <f>SQRT((C224-Sheet5!$C$526)^2+(D224-Sheet5!$D$526)^2+(E224-Sheet5!$E$526)^2+(F224-Sheet5!$F$526)^2+(G224-Sheet5!$G$526)^2+(H224-Sheet5!$H$526)^2+(I224-Sheet5!$I$526)^2+(J224-Sheet5!$J$526)^2+(K224-Sheet5!$K$526)^2+(L224-Sheet5!$L$526)^2)</f>
        <v>3.251854287595934</v>
      </c>
      <c r="P224" s="12">
        <f t="shared" si="3"/>
        <v>0</v>
      </c>
      <c r="Q224" s="11">
        <f>IF(P224=Sheet1!$M224, 1, 0)</f>
        <v>1</v>
      </c>
    </row>
    <row r="225" spans="1:17" x14ac:dyDescent="0.35">
      <c r="A225" s="6" t="s">
        <v>247</v>
      </c>
      <c r="B225" s="6" t="s">
        <v>249</v>
      </c>
      <c r="C225" s="6">
        <v>0.2371148798680239</v>
      </c>
      <c r="D225" s="6">
        <v>0.69564645993406615</v>
      </c>
      <c r="E225" s="6">
        <v>1.923084368723341</v>
      </c>
      <c r="F225" s="6">
        <v>1.5950842982949698</v>
      </c>
      <c r="G225" s="6">
        <v>1.2291105820564052</v>
      </c>
      <c r="H225" s="6">
        <v>1.0232848523468314</v>
      </c>
      <c r="I225" s="6">
        <v>0.69954874476620377</v>
      </c>
      <c r="J225" s="6">
        <v>-0.38699242114445043</v>
      </c>
      <c r="K225" s="6">
        <v>0.34045124924710912</v>
      </c>
      <c r="L225" s="6">
        <v>-4.5775666719451991E-2</v>
      </c>
      <c r="N225" s="8">
        <f>SQRT((C225-Sheet5!$C$525)^2+(D225-Sheet5!$D$525)^2+(E225-Sheet5!$E$525)^2+(F225-Sheet5!$F$525)^2+(G225-Sheet5!$G$525)^2+(H225-Sheet5!$H$525)^2+(I225-Sheet5!$I$525)^2+(J225-Sheet5!$J$525)^2+(K225-Sheet5!$K$525)^2+(L225-Sheet5!$L$525)^2)</f>
        <v>3.9896854932582291</v>
      </c>
      <c r="O225" s="8">
        <f>SQRT((C225-Sheet5!$C$526)^2+(D225-Sheet5!$D$526)^2+(E225-Sheet5!$E$526)^2+(F225-Sheet5!$F$526)^2+(G225-Sheet5!$G$526)^2+(H225-Sheet5!$H$526)^2+(I225-Sheet5!$I$526)^2+(J225-Sheet5!$J$526)^2+(K225-Sheet5!$K$526)^2+(L225-Sheet5!$L$526)^2)</f>
        <v>2.2949282007284055</v>
      </c>
      <c r="P225" s="12">
        <f t="shared" si="3"/>
        <v>1</v>
      </c>
      <c r="Q225" s="11">
        <f>IF(P225=Sheet1!$M225, 1, 0)</f>
        <v>0</v>
      </c>
    </row>
    <row r="226" spans="1:17" x14ac:dyDescent="0.35">
      <c r="A226" s="6" t="s">
        <v>247</v>
      </c>
      <c r="B226" s="6" t="s">
        <v>250</v>
      </c>
      <c r="C226" s="6">
        <v>0.72695282265387751</v>
      </c>
      <c r="D226" s="6">
        <v>-0.69762869888540213</v>
      </c>
      <c r="E226" s="6">
        <v>-0.30200331901082006</v>
      </c>
      <c r="F226" s="6">
        <v>3.5932829035024615E-2</v>
      </c>
      <c r="G226" s="6">
        <v>1.3162158423916726</v>
      </c>
      <c r="H226" s="6">
        <v>1.0125121643054118</v>
      </c>
      <c r="I226" s="6">
        <v>0.60966183103048377</v>
      </c>
      <c r="J226" s="6">
        <v>-1.0854427707906007</v>
      </c>
      <c r="K226" s="6">
        <v>1.0211832526736213</v>
      </c>
      <c r="L226" s="6">
        <v>-0.16188865598411101</v>
      </c>
      <c r="N226" s="8">
        <f>SQRT((C226-Sheet5!$C$525)^2+(D226-Sheet5!$D$525)^2+(E226-Sheet5!$E$525)^2+(F226-Sheet5!$F$525)^2+(G226-Sheet5!$G$525)^2+(H226-Sheet5!$H$525)^2+(I226-Sheet5!$I$525)^2+(J226-Sheet5!$J$525)^2+(K226-Sheet5!$K$525)^2+(L226-Sheet5!$L$525)^2)</f>
        <v>2.6182337327917788</v>
      </c>
      <c r="O226" s="8">
        <f>SQRT((C226-Sheet5!$C$526)^2+(D226-Sheet5!$D$526)^2+(E226-Sheet5!$E$526)^2+(F226-Sheet5!$F$526)^2+(G226-Sheet5!$G$526)^2+(H226-Sheet5!$H$526)^2+(I226-Sheet5!$I$526)^2+(J226-Sheet5!$J$526)^2+(K226-Sheet5!$K$526)^2+(L226-Sheet5!$L$526)^2)</f>
        <v>3.8731442866277224</v>
      </c>
      <c r="P226" s="12">
        <f t="shared" si="3"/>
        <v>0</v>
      </c>
      <c r="Q226" s="11">
        <f>IF(P226=Sheet1!$M226, 1, 0)</f>
        <v>1</v>
      </c>
    </row>
    <row r="227" spans="1:17" x14ac:dyDescent="0.35">
      <c r="A227" s="6" t="s">
        <v>247</v>
      </c>
      <c r="B227" s="6" t="s">
        <v>251</v>
      </c>
      <c r="C227" s="6">
        <v>-0.48757687110282733</v>
      </c>
      <c r="D227" s="6">
        <v>1.5242462239896968</v>
      </c>
      <c r="E227" s="6">
        <v>2.1128062493827935</v>
      </c>
      <c r="F227" s="6">
        <v>2.1682111229636449</v>
      </c>
      <c r="G227" s="6">
        <v>1.5281719758741599</v>
      </c>
      <c r="H227" s="6">
        <v>1.1423230552045154</v>
      </c>
      <c r="I227" s="6">
        <v>0.7091111823976638</v>
      </c>
      <c r="J227" s="6">
        <v>4.1947195757804846E-2</v>
      </c>
      <c r="K227" s="6">
        <v>0.56110231242673703</v>
      </c>
      <c r="L227" s="6">
        <v>0.28882973693992725</v>
      </c>
      <c r="N227" s="8">
        <f>SQRT((C227-Sheet5!$C$525)^2+(D227-Sheet5!$D$525)^2+(E227-Sheet5!$E$525)^2+(F227-Sheet5!$F$525)^2+(G227-Sheet5!$G$525)^2+(H227-Sheet5!$H$525)^2+(I227-Sheet5!$I$525)^2+(J227-Sheet5!$J$525)^2+(K227-Sheet5!$K$525)^2+(L227-Sheet5!$L$525)^2)</f>
        <v>4.9423035577495957</v>
      </c>
      <c r="O227" s="8">
        <f>SQRT((C227-Sheet5!$C$526)^2+(D227-Sheet5!$D$526)^2+(E227-Sheet5!$E$526)^2+(F227-Sheet5!$F$526)^2+(G227-Sheet5!$G$526)^2+(H227-Sheet5!$H$526)^2+(I227-Sheet5!$I$526)^2+(J227-Sheet5!$J$526)^2+(K227-Sheet5!$K$526)^2+(L227-Sheet5!$L$526)^2)</f>
        <v>2.3901615524432329</v>
      </c>
      <c r="P227" s="12">
        <f t="shared" si="3"/>
        <v>1</v>
      </c>
      <c r="Q227" s="11">
        <f>IF(P227=Sheet1!$M227, 1, 0)</f>
        <v>0</v>
      </c>
    </row>
    <row r="228" spans="1:17" x14ac:dyDescent="0.35">
      <c r="A228" s="6" t="s">
        <v>247</v>
      </c>
      <c r="B228" s="6" t="s">
        <v>252</v>
      </c>
      <c r="C228" s="6">
        <v>-0.61506893840325494</v>
      </c>
      <c r="D228" s="6">
        <v>2.0152683063930339</v>
      </c>
      <c r="E228" s="6">
        <v>3.1225687248926173</v>
      </c>
      <c r="F228" s="6">
        <v>2.6581421182449327</v>
      </c>
      <c r="G228" s="6">
        <v>1.4817158370286845</v>
      </c>
      <c r="H228" s="6">
        <v>1.1293958295548123</v>
      </c>
      <c r="I228" s="6">
        <v>0.94753462734205607</v>
      </c>
      <c r="J228" s="6">
        <v>1.5451338178223459</v>
      </c>
      <c r="K228" s="6">
        <v>0.37487907470776016</v>
      </c>
      <c r="L228" s="6">
        <v>0.13427154400603661</v>
      </c>
      <c r="N228" s="8">
        <f>SQRT((C228-Sheet5!$C$525)^2+(D228-Sheet5!$D$525)^2+(E228-Sheet5!$E$525)^2+(F228-Sheet5!$F$525)^2+(G228-Sheet5!$G$525)^2+(H228-Sheet5!$H$525)^2+(I228-Sheet5!$I$525)^2+(J228-Sheet5!$J$525)^2+(K228-Sheet5!$K$525)^2+(L228-Sheet5!$L$525)^2)</f>
        <v>6.2741350892527672</v>
      </c>
      <c r="O228" s="8">
        <f>SQRT((C228-Sheet5!$C$526)^2+(D228-Sheet5!$D$526)^2+(E228-Sheet5!$E$526)^2+(F228-Sheet5!$F$526)^2+(G228-Sheet5!$G$526)^2+(H228-Sheet5!$H$526)^2+(I228-Sheet5!$I$526)^2+(J228-Sheet5!$J$526)^2+(K228-Sheet5!$K$526)^2+(L228-Sheet5!$L$526)^2)</f>
        <v>3.1897665038952736</v>
      </c>
      <c r="P228" s="12">
        <f t="shared" si="3"/>
        <v>1</v>
      </c>
      <c r="Q228" s="11">
        <f>IF(P228=Sheet1!$M228, 1, 0)</f>
        <v>0</v>
      </c>
    </row>
    <row r="229" spans="1:17" x14ac:dyDescent="0.35">
      <c r="A229" s="6" t="s">
        <v>253</v>
      </c>
      <c r="B229" s="6" t="s">
        <v>254</v>
      </c>
      <c r="C229" s="6">
        <v>0.38071120830113708</v>
      </c>
      <c r="D229" s="6">
        <v>-0.50735764195410882</v>
      </c>
      <c r="E229" s="6">
        <v>-0.52966957580216301</v>
      </c>
      <c r="F229" s="6">
        <v>-0.20903266860561937</v>
      </c>
      <c r="G229" s="6">
        <v>0.70067200268910856</v>
      </c>
      <c r="H229" s="6">
        <v>-0.29636943272704497</v>
      </c>
      <c r="I229" s="6">
        <v>-0.53719318890257117</v>
      </c>
      <c r="J229" s="6">
        <v>-1.1461775838033095</v>
      </c>
      <c r="K229" s="6">
        <v>1.7379079827180879</v>
      </c>
      <c r="L229" s="6">
        <v>-0.22685043175476557</v>
      </c>
      <c r="N229" s="8">
        <f>SQRT((C229-Sheet5!$C$525)^2+(D229-Sheet5!$D$525)^2+(E229-Sheet5!$E$525)^2+(F229-Sheet5!$F$525)^2+(G229-Sheet5!$G$525)^2+(H229-Sheet5!$H$525)^2+(I229-Sheet5!$I$525)^2+(J229-Sheet5!$J$525)^2+(K229-Sheet5!$K$525)^2+(L229-Sheet5!$L$525)^2)</f>
        <v>2.0246677044518893</v>
      </c>
      <c r="O229" s="8">
        <f>SQRT((C229-Sheet5!$C$526)^2+(D229-Sheet5!$D$526)^2+(E229-Sheet5!$E$526)^2+(F229-Sheet5!$F$526)^2+(G229-Sheet5!$G$526)^2+(H229-Sheet5!$H$526)^2+(I229-Sheet5!$I$526)^2+(J229-Sheet5!$J$526)^2+(K229-Sheet5!$K$526)^2+(L229-Sheet5!$L$526)^2)</f>
        <v>4.4733879230007538</v>
      </c>
      <c r="P229" s="12">
        <f t="shared" si="3"/>
        <v>0</v>
      </c>
      <c r="Q229" s="11">
        <f>IF(P229=Sheet1!$M229, 1, 0)</f>
        <v>1</v>
      </c>
    </row>
    <row r="230" spans="1:17" x14ac:dyDescent="0.35">
      <c r="A230" s="6" t="s">
        <v>253</v>
      </c>
      <c r="B230" s="6" t="s">
        <v>255</v>
      </c>
      <c r="C230" s="6">
        <v>-0.27016934581157204</v>
      </c>
      <c r="D230" s="6">
        <v>-0.54418429813435942</v>
      </c>
      <c r="E230" s="6">
        <v>-0.17453968656777041</v>
      </c>
      <c r="F230" s="6">
        <v>0.17459254468067273</v>
      </c>
      <c r="G230" s="6">
        <v>0.92714567956080651</v>
      </c>
      <c r="H230" s="6">
        <v>0.55413428814301613</v>
      </c>
      <c r="I230" s="6">
        <v>0.71166116576605254</v>
      </c>
      <c r="J230" s="6">
        <v>-0.25793094349244444</v>
      </c>
      <c r="K230" s="6">
        <v>0.49537646382003891</v>
      </c>
      <c r="L230" s="6">
        <v>-0.15345528037507564</v>
      </c>
      <c r="N230" s="8">
        <f>SQRT((C230-Sheet5!$C$525)^2+(D230-Sheet5!$D$525)^2+(E230-Sheet5!$E$525)^2+(F230-Sheet5!$F$525)^2+(G230-Sheet5!$G$525)^2+(H230-Sheet5!$H$525)^2+(I230-Sheet5!$I$525)^2+(J230-Sheet5!$J$525)^2+(K230-Sheet5!$K$525)^2+(L230-Sheet5!$L$525)^2)</f>
        <v>2.0295656782419282</v>
      </c>
      <c r="O230" s="8">
        <f>SQRT((C230-Sheet5!$C$526)^2+(D230-Sheet5!$D$526)^2+(E230-Sheet5!$E$526)^2+(F230-Sheet5!$F$526)^2+(G230-Sheet5!$G$526)^2+(H230-Sheet5!$H$526)^2+(I230-Sheet5!$I$526)^2+(J230-Sheet5!$J$526)^2+(K230-Sheet5!$K$526)^2+(L230-Sheet5!$L$526)^2)</f>
        <v>2.7835303117913348</v>
      </c>
      <c r="P230" s="12">
        <f t="shared" si="3"/>
        <v>0</v>
      </c>
      <c r="Q230" s="11">
        <f>IF(P230=Sheet1!$M230, 1, 0)</f>
        <v>1</v>
      </c>
    </row>
    <row r="231" spans="1:17" x14ac:dyDescent="0.35">
      <c r="A231" s="6" t="s">
        <v>253</v>
      </c>
      <c r="B231" s="6" t="s">
        <v>256</v>
      </c>
      <c r="C231" s="6">
        <v>-1.7869254732831037E-2</v>
      </c>
      <c r="D231" s="6">
        <v>-0.5380465221043178</v>
      </c>
      <c r="E231" s="6">
        <v>-0.21432602270606335</v>
      </c>
      <c r="F231" s="6">
        <v>2.0526193963286907E-2</v>
      </c>
      <c r="G231" s="6">
        <v>1.220400056022878</v>
      </c>
      <c r="H231" s="6">
        <v>-9.2765628744218259E-2</v>
      </c>
      <c r="I231" s="6">
        <v>-0.59648030221762027</v>
      </c>
      <c r="J231" s="6">
        <v>-0.5805846376224596</v>
      </c>
      <c r="K231" s="6">
        <v>0.45312413257287665</v>
      </c>
      <c r="L231" s="6">
        <v>-0.18816088174274986</v>
      </c>
      <c r="N231" s="8">
        <f>SQRT((C231-Sheet5!$C$525)^2+(D231-Sheet5!$D$525)^2+(E231-Sheet5!$E$525)^2+(F231-Sheet5!$F$525)^2+(G231-Sheet5!$G$525)^2+(H231-Sheet5!$H$525)^2+(I231-Sheet5!$I$525)^2+(J231-Sheet5!$J$525)^2+(K231-Sheet5!$K$525)^2+(L231-Sheet5!$L$525)^2)</f>
        <v>1.7413290160838475</v>
      </c>
      <c r="O231" s="8">
        <f>SQRT((C231-Sheet5!$C$526)^2+(D231-Sheet5!$D$526)^2+(E231-Sheet5!$E$526)^2+(F231-Sheet5!$F$526)^2+(G231-Sheet5!$G$526)^2+(H231-Sheet5!$H$526)^2+(I231-Sheet5!$I$526)^2+(J231-Sheet5!$J$526)^2+(K231-Sheet5!$K$526)^2+(L231-Sheet5!$L$526)^2)</f>
        <v>3.3979094307484834</v>
      </c>
      <c r="P231" s="12">
        <f t="shared" si="3"/>
        <v>0</v>
      </c>
      <c r="Q231" s="11">
        <f>IF(P231=Sheet1!$M231, 1, 0)</f>
        <v>1</v>
      </c>
    </row>
    <row r="232" spans="1:17" x14ac:dyDescent="0.35">
      <c r="A232" s="6" t="s">
        <v>253</v>
      </c>
      <c r="B232" s="6" t="s">
        <v>257</v>
      </c>
      <c r="C232" s="6">
        <v>-0.63922533010228344</v>
      </c>
      <c r="D232" s="6">
        <v>-5.9299991761064347E-2</v>
      </c>
      <c r="E232" s="6">
        <v>0.17764306665637825</v>
      </c>
      <c r="F232" s="6">
        <v>0.49659121768000963</v>
      </c>
      <c r="G232" s="6">
        <v>1.3075053163581454</v>
      </c>
      <c r="H232" s="6">
        <v>0.43994379490397106</v>
      </c>
      <c r="I232" s="6">
        <v>0.78178570839675676</v>
      </c>
      <c r="J232" s="6">
        <v>-5.6746875387846736E-2</v>
      </c>
      <c r="K232" s="6">
        <v>0.43747512099985425</v>
      </c>
      <c r="L232" s="6">
        <v>0.11338360922119914</v>
      </c>
      <c r="N232" s="8">
        <f>SQRT((C232-Sheet5!$C$525)^2+(D232-Sheet5!$D$525)^2+(E232-Sheet5!$E$525)^2+(F232-Sheet5!$F$525)^2+(G232-Sheet5!$G$525)^2+(H232-Sheet5!$H$525)^2+(I232-Sheet5!$I$525)^2+(J232-Sheet5!$J$525)^2+(K232-Sheet5!$K$525)^2+(L232-Sheet5!$L$525)^2)</f>
        <v>2.6047202807609047</v>
      </c>
      <c r="O232" s="8">
        <f>SQRT((C232-Sheet5!$C$526)^2+(D232-Sheet5!$D$526)^2+(E232-Sheet5!$E$526)^2+(F232-Sheet5!$F$526)^2+(G232-Sheet5!$G$526)^2+(H232-Sheet5!$H$526)^2+(I232-Sheet5!$I$526)^2+(J232-Sheet5!$J$526)^2+(K232-Sheet5!$K$526)^2+(L232-Sheet5!$L$526)^2)</f>
        <v>2.1392676496113627</v>
      </c>
      <c r="P232" s="12">
        <f t="shared" si="3"/>
        <v>1</v>
      </c>
      <c r="Q232" s="11">
        <f>IF(P232=Sheet1!$M232, 1, 0)</f>
        <v>0</v>
      </c>
    </row>
    <row r="233" spans="1:17" x14ac:dyDescent="0.35">
      <c r="A233" s="6" t="s">
        <v>253</v>
      </c>
      <c r="B233" s="6" t="s">
        <v>258</v>
      </c>
      <c r="C233" s="6">
        <v>-0.35203267323605703</v>
      </c>
      <c r="D233" s="6">
        <v>-0.57487317828456785</v>
      </c>
      <c r="E233" s="6">
        <v>0.15922346659235373</v>
      </c>
      <c r="F233" s="6">
        <v>0.17305188117349807</v>
      </c>
      <c r="G233" s="6">
        <v>1.1478123390768211</v>
      </c>
      <c r="H233" s="6">
        <v>-8.2531575104869942E-2</v>
      </c>
      <c r="I233" s="6">
        <v>0.52232490066315251</v>
      </c>
      <c r="J233" s="6">
        <v>-0.53123760204963355</v>
      </c>
      <c r="K233" s="6">
        <v>0.15266311037082919</v>
      </c>
      <c r="L233" s="6">
        <v>7.8062565987579755E-2</v>
      </c>
      <c r="N233" s="8">
        <f>SQRT((C233-Sheet5!$C$525)^2+(D233-Sheet5!$D$525)^2+(E233-Sheet5!$E$525)^2+(F233-Sheet5!$F$525)^2+(G233-Sheet5!$G$525)^2+(H233-Sheet5!$H$525)^2+(I233-Sheet5!$I$525)^2+(J233-Sheet5!$J$525)^2+(K233-Sheet5!$K$525)^2+(L233-Sheet5!$L$525)^2)</f>
        <v>2.037698247298013</v>
      </c>
      <c r="O233" s="8">
        <f>SQRT((C233-Sheet5!$C$526)^2+(D233-Sheet5!$D$526)^2+(E233-Sheet5!$E$526)^2+(F233-Sheet5!$F$526)^2+(G233-Sheet5!$G$526)^2+(H233-Sheet5!$H$526)^2+(I233-Sheet5!$I$526)^2+(J233-Sheet5!$J$526)^2+(K233-Sheet5!$K$526)^2+(L233-Sheet5!$L$526)^2)</f>
        <v>2.7562949403535497</v>
      </c>
      <c r="P233" s="12">
        <f t="shared" si="3"/>
        <v>0</v>
      </c>
      <c r="Q233" s="11">
        <f>IF(P233=Sheet1!$M233, 1, 0)</f>
        <v>1</v>
      </c>
    </row>
    <row r="234" spans="1:17" x14ac:dyDescent="0.35">
      <c r="A234" s="6" t="s">
        <v>253</v>
      </c>
      <c r="B234" s="6" t="s">
        <v>259</v>
      </c>
      <c r="C234" s="6">
        <v>-8.4970342785687644E-2</v>
      </c>
      <c r="D234" s="6">
        <v>-0.21888216854214865</v>
      </c>
      <c r="E234" s="6">
        <v>0.29552850706613509</v>
      </c>
      <c r="F234" s="6">
        <v>0.40569207075675146</v>
      </c>
      <c r="G234" s="6">
        <v>0.86907550600396422</v>
      </c>
      <c r="H234" s="6">
        <v>0.52343212722497123</v>
      </c>
      <c r="I234" s="6">
        <v>0.71484864497653888</v>
      </c>
      <c r="J234" s="6">
        <v>3.4355344131216416E-2</v>
      </c>
      <c r="K234" s="6">
        <v>-1.9476016932426125E-2</v>
      </c>
      <c r="L234" s="6">
        <v>0.15457287205003942</v>
      </c>
      <c r="N234" s="8">
        <f>SQRT((C234-Sheet5!$C$525)^2+(D234-Sheet5!$D$525)^2+(E234-Sheet5!$E$525)^2+(F234-Sheet5!$F$525)^2+(G234-Sheet5!$G$525)^2+(H234-Sheet5!$H$525)^2+(I234-Sheet5!$I$525)^2+(J234-Sheet5!$J$525)^2+(K234-Sheet5!$K$525)^2+(L234-Sheet5!$L$525)^2)</f>
        <v>2.2046186727937092</v>
      </c>
      <c r="O234" s="8">
        <f>SQRT((C234-Sheet5!$C$526)^2+(D234-Sheet5!$D$526)^2+(E234-Sheet5!$E$526)^2+(F234-Sheet5!$F$526)^2+(G234-Sheet5!$G$526)^2+(H234-Sheet5!$H$526)^2+(I234-Sheet5!$I$526)^2+(J234-Sheet5!$J$526)^2+(K234-Sheet5!$K$526)^2+(L234-Sheet5!$L$526)^2)</f>
        <v>1.9950462552579691</v>
      </c>
      <c r="P234" s="12">
        <f t="shared" si="3"/>
        <v>1</v>
      </c>
      <c r="Q234" s="11">
        <f>IF(P234=Sheet1!$M234, 1, 0)</f>
        <v>0</v>
      </c>
    </row>
    <row r="235" spans="1:17" x14ac:dyDescent="0.35">
      <c r="A235" s="6" t="s">
        <v>253</v>
      </c>
      <c r="B235" s="6" t="s">
        <v>260</v>
      </c>
      <c r="C235" s="6">
        <v>-0.23796082354620079</v>
      </c>
      <c r="D235" s="6">
        <v>-0.61783761049485997</v>
      </c>
      <c r="E235" s="6">
        <v>-5.9601382168257465E-2</v>
      </c>
      <c r="F235" s="6">
        <v>0.10372202335067403</v>
      </c>
      <c r="G235" s="6">
        <v>0.85746147129259331</v>
      </c>
      <c r="H235" s="6">
        <v>0.1932492387554669</v>
      </c>
      <c r="I235" s="6">
        <v>0.5739620638730345</v>
      </c>
      <c r="J235" s="6">
        <v>0.12925348946357379</v>
      </c>
      <c r="K235" s="6">
        <v>-0.15249261530312544</v>
      </c>
      <c r="L235" s="6">
        <v>0.97485760712348635</v>
      </c>
      <c r="N235" s="8">
        <f>SQRT((C235-Sheet5!$C$525)^2+(D235-Sheet5!$D$525)^2+(E235-Sheet5!$E$525)^2+(F235-Sheet5!$F$525)^2+(G235-Sheet5!$G$525)^2+(H235-Sheet5!$H$525)^2+(I235-Sheet5!$I$525)^2+(J235-Sheet5!$J$525)^2+(K235-Sheet5!$K$525)^2+(L235-Sheet5!$L$525)^2)</f>
        <v>2.2391434199469149</v>
      </c>
      <c r="O235" s="8">
        <f>SQRT((C235-Sheet5!$C$526)^2+(D235-Sheet5!$D$526)^2+(E235-Sheet5!$E$526)^2+(F235-Sheet5!$F$526)^2+(G235-Sheet5!$G$526)^2+(H235-Sheet5!$H$526)^2+(I235-Sheet5!$I$526)^2+(J235-Sheet5!$J$526)^2+(K235-Sheet5!$K$526)^2+(L235-Sheet5!$L$526)^2)</f>
        <v>2.4337708058140404</v>
      </c>
      <c r="P235" s="12">
        <f t="shared" si="3"/>
        <v>0</v>
      </c>
      <c r="Q235" s="11">
        <f>IF(P235=Sheet1!$M235, 1, 0)</f>
        <v>1</v>
      </c>
    </row>
    <row r="236" spans="1:17" x14ac:dyDescent="0.35">
      <c r="A236" s="6" t="s">
        <v>253</v>
      </c>
      <c r="B236" s="6" t="s">
        <v>261</v>
      </c>
      <c r="C236" s="6">
        <v>-0.29835180279377166</v>
      </c>
      <c r="D236" s="6">
        <v>-1.0843085887780297</v>
      </c>
      <c r="E236" s="6">
        <v>-0.4132577033975281</v>
      </c>
      <c r="F236" s="6">
        <v>-0.5941985453990839</v>
      </c>
      <c r="G236" s="6">
        <v>0.16061938861044522</v>
      </c>
      <c r="H236" s="6">
        <v>0.32521466726285392</v>
      </c>
      <c r="I236" s="6">
        <v>0.67532390276650645</v>
      </c>
      <c r="J236" s="6">
        <v>-0.5881764892490482</v>
      </c>
      <c r="K236" s="6">
        <v>-0.51241988148266071</v>
      </c>
      <c r="L236" s="6">
        <v>1.3776597790438605E-2</v>
      </c>
      <c r="N236" s="8">
        <f>SQRT((C236-Sheet5!$C$525)^2+(D236-Sheet5!$D$525)^2+(E236-Sheet5!$E$525)^2+(F236-Sheet5!$F$525)^2+(G236-Sheet5!$G$525)^2+(H236-Sheet5!$H$525)^2+(I236-Sheet5!$I$525)^2+(J236-Sheet5!$J$525)^2+(K236-Sheet5!$K$525)^2+(L236-Sheet5!$L$525)^2)</f>
        <v>1.7312026786672132</v>
      </c>
      <c r="O236" s="8">
        <f>SQRT((C236-Sheet5!$C$526)^2+(D236-Sheet5!$D$526)^2+(E236-Sheet5!$E$526)^2+(F236-Sheet5!$F$526)^2+(G236-Sheet5!$G$526)^2+(H236-Sheet5!$H$526)^2+(I236-Sheet5!$I$526)^2+(J236-Sheet5!$J$526)^2+(K236-Sheet5!$K$526)^2+(L236-Sheet5!$L$526)^2)</f>
        <v>3.518686659567432</v>
      </c>
      <c r="P236" s="12">
        <f t="shared" si="3"/>
        <v>0</v>
      </c>
      <c r="Q236" s="11">
        <f>IF(P236=Sheet1!$M236, 1, 0)</f>
        <v>1</v>
      </c>
    </row>
    <row r="237" spans="1:17" x14ac:dyDescent="0.35">
      <c r="A237" s="6" t="s">
        <v>253</v>
      </c>
      <c r="B237" s="6" t="s">
        <v>262</v>
      </c>
      <c r="C237" s="6">
        <v>-0.25003901939571499</v>
      </c>
      <c r="D237" s="6">
        <v>-1.1947885573187804</v>
      </c>
      <c r="E237" s="6">
        <v>-0.33700055913246663</v>
      </c>
      <c r="F237" s="6">
        <v>-0.40161560700235166</v>
      </c>
      <c r="G237" s="6">
        <v>-0.10940691842888441</v>
      </c>
      <c r="H237" s="6">
        <v>-0.70196113748648536</v>
      </c>
      <c r="I237" s="6">
        <v>0.58734947655707759</v>
      </c>
      <c r="J237" s="6">
        <v>0.14443719271675098</v>
      </c>
      <c r="K237" s="6">
        <v>-7.7377359752613006E-2</v>
      </c>
      <c r="L237" s="6">
        <v>0.68378197996613654</v>
      </c>
      <c r="N237" s="8">
        <f>SQRT((C237-Sheet5!$C$525)^2+(D237-Sheet5!$D$525)^2+(E237-Sheet5!$E$525)^2+(F237-Sheet5!$F$525)^2+(G237-Sheet5!$G$525)^2+(H237-Sheet5!$H$525)^2+(I237-Sheet5!$I$525)^2+(J237-Sheet5!$J$525)^2+(K237-Sheet5!$K$525)^2+(L237-Sheet5!$L$525)^2)</f>
        <v>1.7810468938236523</v>
      </c>
      <c r="O237" s="8">
        <f>SQRT((C237-Sheet5!$C$526)^2+(D237-Sheet5!$D$526)^2+(E237-Sheet5!$E$526)^2+(F237-Sheet5!$F$526)^2+(G237-Sheet5!$G$526)^2+(H237-Sheet5!$H$526)^2+(I237-Sheet5!$I$526)^2+(J237-Sheet5!$J$526)^2+(K237-Sheet5!$K$526)^2+(L237-Sheet5!$L$526)^2)</f>
        <v>3.518568487775692</v>
      </c>
      <c r="P237" s="12">
        <f t="shared" si="3"/>
        <v>0</v>
      </c>
      <c r="Q237" s="11">
        <f>IF(P237=Sheet1!$M237, 1, 0)</f>
        <v>1</v>
      </c>
    </row>
    <row r="238" spans="1:17" x14ac:dyDescent="0.35">
      <c r="A238" s="6" t="s">
        <v>253</v>
      </c>
      <c r="B238" s="6" t="s">
        <v>263</v>
      </c>
      <c r="C238" s="6">
        <v>-0.56407211148308389</v>
      </c>
      <c r="D238" s="6">
        <v>-0.62397538652490159</v>
      </c>
      <c r="E238" s="6">
        <v>0.69707578846186946</v>
      </c>
      <c r="F238" s="6">
        <v>0.22389377691023513</v>
      </c>
      <c r="G238" s="6">
        <v>0.3086983311804028</v>
      </c>
      <c r="H238" s="6">
        <v>0.21264007723002179</v>
      </c>
      <c r="I238" s="6">
        <v>0.57523705555722882</v>
      </c>
      <c r="J238" s="6">
        <v>0.13684534109016222</v>
      </c>
      <c r="K238" s="6">
        <v>0.44686452794366632</v>
      </c>
      <c r="L238" s="6">
        <v>0.70012911387170906</v>
      </c>
      <c r="N238" s="8">
        <f>SQRT((C238-Sheet5!$C$525)^2+(D238-Sheet5!$D$525)^2+(E238-Sheet5!$E$525)^2+(F238-Sheet5!$F$525)^2+(G238-Sheet5!$G$525)^2+(H238-Sheet5!$H$525)^2+(I238-Sheet5!$I$525)^2+(J238-Sheet5!$J$525)^2+(K238-Sheet5!$K$525)^2+(L238-Sheet5!$L$525)^2)</f>
        <v>2.2427862473619684</v>
      </c>
      <c r="O238" s="8">
        <f>SQRT((C238-Sheet5!$C$526)^2+(D238-Sheet5!$D$526)^2+(E238-Sheet5!$E$526)^2+(F238-Sheet5!$F$526)^2+(G238-Sheet5!$G$526)^2+(H238-Sheet5!$H$526)^2+(I238-Sheet5!$I$526)^2+(J238-Sheet5!$J$526)^2+(K238-Sheet5!$K$526)^2+(L238-Sheet5!$L$526)^2)</f>
        <v>2.337605866731991</v>
      </c>
      <c r="P238" s="12">
        <f t="shared" si="3"/>
        <v>0</v>
      </c>
      <c r="Q238" s="11">
        <f>IF(P238=Sheet1!$M238, 1, 0)</f>
        <v>1</v>
      </c>
    </row>
    <row r="239" spans="1:17" x14ac:dyDescent="0.35">
      <c r="A239" s="6" t="s">
        <v>253</v>
      </c>
      <c r="B239" s="6" t="s">
        <v>264</v>
      </c>
      <c r="C239" s="6">
        <v>0.3297143813809662</v>
      </c>
      <c r="D239" s="6">
        <v>-1.5323662389710742</v>
      </c>
      <c r="E239" s="6">
        <v>0.13454120250656088</v>
      </c>
      <c r="F239" s="6">
        <v>-0.51408404302604171</v>
      </c>
      <c r="G239" s="6">
        <v>-0.80334549243318876</v>
      </c>
      <c r="H239" s="6">
        <v>-1.3133111838370364</v>
      </c>
      <c r="I239" s="6">
        <v>0.52933735492622291</v>
      </c>
      <c r="J239" s="6">
        <v>-0.22756353698609008</v>
      </c>
      <c r="K239" s="6">
        <v>0.69255400964013314</v>
      </c>
      <c r="L239" s="6">
        <v>-0.16804658500661951</v>
      </c>
      <c r="N239" s="8">
        <f>SQRT((C239-Sheet5!$C$525)^2+(D239-Sheet5!$D$525)^2+(E239-Sheet5!$E$525)^2+(F239-Sheet5!$F$525)^2+(G239-Sheet5!$G$525)^2+(H239-Sheet5!$H$525)^2+(I239-Sheet5!$I$525)^2+(J239-Sheet5!$J$525)^2+(K239-Sheet5!$K$525)^2+(L239-Sheet5!$L$525)^2)</f>
        <v>1.9653073887082155</v>
      </c>
      <c r="O239" s="8">
        <f>SQRT((C239-Sheet5!$C$526)^2+(D239-Sheet5!$D$526)^2+(E239-Sheet5!$E$526)^2+(F239-Sheet5!$F$526)^2+(G239-Sheet5!$G$526)^2+(H239-Sheet5!$H$526)^2+(I239-Sheet5!$I$526)^2+(J239-Sheet5!$J$526)^2+(K239-Sheet5!$K$526)^2+(L239-Sheet5!$L$526)^2)</f>
        <v>4.5262755293754822</v>
      </c>
      <c r="P239" s="12">
        <f t="shared" si="3"/>
        <v>0</v>
      </c>
      <c r="Q239" s="11">
        <f>IF(P239=Sheet1!$M239, 1, 0)</f>
        <v>1</v>
      </c>
    </row>
    <row r="240" spans="1:17" x14ac:dyDescent="0.35">
      <c r="A240" s="6" t="s">
        <v>253</v>
      </c>
      <c r="B240" s="6" t="s">
        <v>265</v>
      </c>
      <c r="C240" s="6">
        <v>4.7889811558968473E-2</v>
      </c>
      <c r="D240" s="6">
        <v>-1.1149974689282383</v>
      </c>
      <c r="E240" s="6">
        <v>-0.12112284638209933</v>
      </c>
      <c r="F240" s="6">
        <v>-0.33074508567235295</v>
      </c>
      <c r="G240" s="6">
        <v>-0.12102095314025532</v>
      </c>
      <c r="H240" s="6">
        <v>-0.93788300559357041</v>
      </c>
      <c r="I240" s="6">
        <v>0.87613509302715742</v>
      </c>
      <c r="J240" s="6">
        <v>-0.52364575042304495</v>
      </c>
      <c r="K240" s="6">
        <v>0.338886348089806</v>
      </c>
      <c r="L240" s="6">
        <v>-0.17234719765172146</v>
      </c>
      <c r="N240" s="8">
        <f>SQRT((C240-Sheet5!$C$525)^2+(D240-Sheet5!$D$525)^2+(E240-Sheet5!$E$525)^2+(F240-Sheet5!$F$525)^2+(G240-Sheet5!$G$525)^2+(H240-Sheet5!$H$525)^2+(I240-Sheet5!$I$525)^2+(J240-Sheet5!$J$525)^2+(K240-Sheet5!$K$525)^2+(L240-Sheet5!$L$525)^2)</f>
        <v>1.5981014105094631</v>
      </c>
      <c r="O240" s="8">
        <f>SQRT((C240-Sheet5!$C$526)^2+(D240-Sheet5!$D$526)^2+(E240-Sheet5!$E$526)^2+(F240-Sheet5!$F$526)^2+(G240-Sheet5!$G$526)^2+(H240-Sheet5!$H$526)^2+(I240-Sheet5!$I$526)^2+(J240-Sheet5!$J$526)^2+(K240-Sheet5!$K$526)^2+(L240-Sheet5!$L$526)^2)</f>
        <v>3.882233750208254</v>
      </c>
      <c r="P240" s="12">
        <f t="shared" si="3"/>
        <v>0</v>
      </c>
      <c r="Q240" s="11">
        <f>IF(P240=Sheet1!$M240, 1, 0)</f>
        <v>1</v>
      </c>
    </row>
    <row r="241" spans="1:17" x14ac:dyDescent="0.35">
      <c r="A241" s="6" t="s">
        <v>253</v>
      </c>
      <c r="B241" s="6" t="s">
        <v>266</v>
      </c>
      <c r="C241" s="6">
        <v>0.89067947750284748</v>
      </c>
      <c r="D241" s="6">
        <v>-1.4218862704303237</v>
      </c>
      <c r="E241" s="6">
        <v>0.23732257086381767</v>
      </c>
      <c r="F241" s="6">
        <v>-0.56492593876277875</v>
      </c>
      <c r="G241" s="6">
        <v>-0.66688058457460209</v>
      </c>
      <c r="H241" s="6">
        <v>-0.81130392110689231</v>
      </c>
      <c r="I241" s="6">
        <v>0.51276246303169348</v>
      </c>
      <c r="J241" s="6">
        <v>-0.19340020466644148</v>
      </c>
      <c r="K241" s="6">
        <v>0.59083543441548092</v>
      </c>
      <c r="L241" s="6">
        <v>3.5528019202226022E-2</v>
      </c>
      <c r="N241" s="8">
        <f>SQRT((C241-Sheet5!$C$525)^2+(D241-Sheet5!$D$525)^2+(E241-Sheet5!$E$525)^2+(F241-Sheet5!$F$525)^2+(G241-Sheet5!$G$525)^2+(H241-Sheet5!$H$525)^2+(I241-Sheet5!$I$525)^2+(J241-Sheet5!$J$525)^2+(K241-Sheet5!$K$525)^2+(L241-Sheet5!$L$525)^2)</f>
        <v>1.7943793598525215</v>
      </c>
      <c r="O241" s="8">
        <f>SQRT((C241-Sheet5!$C$526)^2+(D241-Sheet5!$D$526)^2+(E241-Sheet5!$E$526)^2+(F241-Sheet5!$F$526)^2+(G241-Sheet5!$G$526)^2+(H241-Sheet5!$H$526)^2+(I241-Sheet5!$I$526)^2+(J241-Sheet5!$J$526)^2+(K241-Sheet5!$K$526)^2+(L241-Sheet5!$L$526)^2)</f>
        <v>4.3120978183926395</v>
      </c>
      <c r="P241" s="12">
        <f t="shared" si="3"/>
        <v>0</v>
      </c>
      <c r="Q241" s="11">
        <f>IF(P241=Sheet1!$M241, 1, 0)</f>
        <v>1</v>
      </c>
    </row>
    <row r="242" spans="1:17" x14ac:dyDescent="0.35">
      <c r="A242" s="6" t="s">
        <v>253</v>
      </c>
      <c r="B242" s="6" t="s">
        <v>267</v>
      </c>
      <c r="C242" s="6">
        <v>-0.34532256443077147</v>
      </c>
      <c r="D242" s="6">
        <v>-0.6301131625549431</v>
      </c>
      <c r="E242" s="6">
        <v>-1.0236853996671774E-2</v>
      </c>
      <c r="F242" s="6">
        <v>-0.15356878234735838</v>
      </c>
      <c r="G242" s="6">
        <v>0.17223342332181613</v>
      </c>
      <c r="H242" s="6">
        <v>0.30797836639658327</v>
      </c>
      <c r="I242" s="6">
        <v>0.77923572502836713</v>
      </c>
      <c r="J242" s="6">
        <v>0.36839681570111432</v>
      </c>
      <c r="K242" s="6">
        <v>-6.7987952808798685E-2</v>
      </c>
      <c r="L242" s="6">
        <v>1.7899966096458755</v>
      </c>
      <c r="N242" s="8">
        <f>SQRT((C242-Sheet5!$C$525)^2+(D242-Sheet5!$D$525)^2+(E242-Sheet5!$E$525)^2+(F242-Sheet5!$F$525)^2+(G242-Sheet5!$G$525)^2+(H242-Sheet5!$H$525)^2+(I242-Sheet5!$I$525)^2+(J242-Sheet5!$J$525)^2+(K242-Sheet5!$K$525)^2+(L242-Sheet5!$L$525)^2)</f>
        <v>2.6811608658612616</v>
      </c>
      <c r="O242" s="8">
        <f>SQRT((C242-Sheet5!$C$526)^2+(D242-Sheet5!$D$526)^2+(E242-Sheet5!$E$526)^2+(F242-Sheet5!$F$526)^2+(G242-Sheet5!$G$526)^2+(H242-Sheet5!$H$526)^2+(I242-Sheet5!$I$526)^2+(J242-Sheet5!$J$526)^2+(K242-Sheet5!$K$526)^2+(L242-Sheet5!$L$526)^2)</f>
        <v>2.7821415407474555</v>
      </c>
      <c r="P242" s="12">
        <f t="shared" si="3"/>
        <v>0</v>
      </c>
      <c r="Q242" s="11">
        <f>IF(P242=Sheet1!$M242, 1, 0)</f>
        <v>1</v>
      </c>
    </row>
    <row r="243" spans="1:17" x14ac:dyDescent="0.35">
      <c r="A243" s="6" t="s">
        <v>253</v>
      </c>
      <c r="B243" s="6" t="s">
        <v>268</v>
      </c>
      <c r="C243" s="6">
        <v>-0.85126476834931031</v>
      </c>
      <c r="D243" s="6">
        <v>1.4014907033888628</v>
      </c>
      <c r="E243" s="6">
        <v>1.566849303485107</v>
      </c>
      <c r="F243" s="6">
        <v>1.6520888480604032</v>
      </c>
      <c r="G243" s="6">
        <v>1.2784702295797243</v>
      </c>
      <c r="H243" s="6">
        <v>0.9613418961086696</v>
      </c>
      <c r="I243" s="6">
        <v>0.74481094955511218</v>
      </c>
      <c r="J243" s="6">
        <v>2.2056249093355524</v>
      </c>
      <c r="K243" s="6">
        <v>-0.46860264907819527</v>
      </c>
      <c r="L243" s="6">
        <v>2.4872652682932488</v>
      </c>
      <c r="N243" s="8">
        <f>SQRT((C243-Sheet5!$C$525)^2+(D243-Sheet5!$D$525)^2+(E243-Sheet5!$E$525)^2+(F243-Sheet5!$F$525)^2+(G243-Sheet5!$G$525)^2+(H243-Sheet5!$H$525)^2+(I243-Sheet5!$I$525)^2+(J243-Sheet5!$J$525)^2+(K243-Sheet5!$K$525)^2+(L243-Sheet5!$L$525)^2)</f>
        <v>5.711221888125757</v>
      </c>
      <c r="O243" s="8">
        <f>SQRT((C243-Sheet5!$C$526)^2+(D243-Sheet5!$D$526)^2+(E243-Sheet5!$E$526)^2+(F243-Sheet5!$F$526)^2+(G243-Sheet5!$G$526)^2+(H243-Sheet5!$H$526)^2+(I243-Sheet5!$I$526)^2+(J243-Sheet5!$J$526)^2+(K243-Sheet5!$K$526)^2+(L243-Sheet5!$L$526)^2)</f>
        <v>2.5106926500248199</v>
      </c>
      <c r="P243" s="12">
        <f t="shared" si="3"/>
        <v>1</v>
      </c>
      <c r="Q243" s="11">
        <f>IF(P243=Sheet1!$M243, 1, 0)</f>
        <v>0</v>
      </c>
    </row>
    <row r="244" spans="1:17" x14ac:dyDescent="0.35">
      <c r="A244" s="6" t="s">
        <v>253</v>
      </c>
      <c r="B244" s="6" t="s">
        <v>269</v>
      </c>
      <c r="C244" s="6">
        <v>-0.22185656241351531</v>
      </c>
      <c r="D244" s="6">
        <v>0.12483328914018736</v>
      </c>
      <c r="E244" s="6">
        <v>0.92805757326473681</v>
      </c>
      <c r="F244" s="6">
        <v>0.65065756839739541</v>
      </c>
      <c r="G244" s="6">
        <v>0.85165445393690997</v>
      </c>
      <c r="H244" s="6">
        <v>0.54605477211195208</v>
      </c>
      <c r="I244" s="6">
        <v>0.84362280508019538</v>
      </c>
      <c r="J244" s="6">
        <v>0.1823964508496938</v>
      </c>
      <c r="K244" s="6">
        <v>0.15735781384273634</v>
      </c>
      <c r="L244" s="6">
        <v>0.79891311232576523</v>
      </c>
      <c r="N244" s="8">
        <f>SQRT((C244-Sheet5!$C$525)^2+(D244-Sheet5!$D$525)^2+(E244-Sheet5!$E$525)^2+(F244-Sheet5!$F$525)^2+(G244-Sheet5!$G$525)^2+(H244-Sheet5!$H$525)^2+(I244-Sheet5!$I$525)^2+(J244-Sheet5!$J$525)^2+(K244-Sheet5!$K$525)^2+(L244-Sheet5!$L$525)^2)</f>
        <v>2.8742292787659336</v>
      </c>
      <c r="O244" s="8">
        <f>SQRT((C244-Sheet5!$C$526)^2+(D244-Sheet5!$D$526)^2+(E244-Sheet5!$E$526)^2+(F244-Sheet5!$F$526)^2+(G244-Sheet5!$G$526)^2+(H244-Sheet5!$H$526)^2+(I244-Sheet5!$I$526)^2+(J244-Sheet5!$J$526)^2+(K244-Sheet5!$K$526)^2+(L244-Sheet5!$L$526)^2)</f>
        <v>1.4938972826165606</v>
      </c>
      <c r="P244" s="12">
        <f t="shared" si="3"/>
        <v>1</v>
      </c>
      <c r="Q244" s="11">
        <f>IF(P244=Sheet1!$M244, 1, 0)</f>
        <v>0</v>
      </c>
    </row>
    <row r="245" spans="1:17" x14ac:dyDescent="0.35">
      <c r="A245" s="6" t="s">
        <v>253</v>
      </c>
      <c r="B245" s="6" t="s">
        <v>270</v>
      </c>
      <c r="C245" s="6">
        <v>-0.30506191159905743</v>
      </c>
      <c r="D245" s="6">
        <v>6.9593304869812064E-2</v>
      </c>
      <c r="E245" s="6">
        <v>0.39388917140802598</v>
      </c>
      <c r="F245" s="6">
        <v>0.54281112289522493</v>
      </c>
      <c r="G245" s="6">
        <v>0.82261936715848472</v>
      </c>
      <c r="H245" s="6">
        <v>0.74050179125957216</v>
      </c>
      <c r="I245" s="6">
        <v>0.9118348601846068</v>
      </c>
      <c r="J245" s="6">
        <v>0.77076495191030947</v>
      </c>
      <c r="K245" s="6">
        <v>0.19178563930338741</v>
      </c>
      <c r="L245" s="6">
        <v>0.13768501686359072</v>
      </c>
      <c r="N245" s="8">
        <f>SQRT((C245-Sheet5!$C$525)^2+(D245-Sheet5!$D$525)^2+(E245-Sheet5!$E$525)^2+(F245-Sheet5!$F$525)^2+(G245-Sheet5!$G$525)^2+(H245-Sheet5!$H$525)^2+(I245-Sheet5!$I$525)^2+(J245-Sheet5!$J$525)^2+(K245-Sheet5!$K$525)^2+(L245-Sheet5!$L$525)^2)</f>
        <v>2.731539784963231</v>
      </c>
      <c r="O245" s="8">
        <f>SQRT((C245-Sheet5!$C$526)^2+(D245-Sheet5!$D$526)^2+(E245-Sheet5!$E$526)^2+(F245-Sheet5!$F$526)^2+(G245-Sheet5!$G$526)^2+(H245-Sheet5!$H$526)^2+(I245-Sheet5!$I$526)^2+(J245-Sheet5!$J$526)^2+(K245-Sheet5!$K$526)^2+(L245-Sheet5!$L$526)^2)</f>
        <v>1.5406013092433375</v>
      </c>
      <c r="P245" s="12">
        <f t="shared" si="3"/>
        <v>1</v>
      </c>
      <c r="Q245" s="11">
        <f>IF(P245=Sheet1!$M245, 1, 0)</f>
        <v>0</v>
      </c>
    </row>
    <row r="246" spans="1:17" x14ac:dyDescent="0.35">
      <c r="A246" s="6" t="s">
        <v>253</v>
      </c>
      <c r="B246" s="6" t="s">
        <v>271</v>
      </c>
      <c r="C246" s="6">
        <v>-5.6787885803487995E-2</v>
      </c>
      <c r="D246" s="6">
        <v>-0.40301544944339984</v>
      </c>
      <c r="E246" s="6">
        <v>0.68049814840424738</v>
      </c>
      <c r="F246" s="6">
        <v>0.31479292383349328</v>
      </c>
      <c r="G246" s="6">
        <v>0.56420709483052189</v>
      </c>
      <c r="H246" s="6">
        <v>0.2498058509729186</v>
      </c>
      <c r="I246" s="6">
        <v>0.88569753065861745</v>
      </c>
      <c r="J246" s="6">
        <v>-3.0175394694786566E-2</v>
      </c>
      <c r="K246" s="6">
        <v>-0.81757560715661526</v>
      </c>
      <c r="L246" s="6">
        <v>-6.9442346394103502E-2</v>
      </c>
      <c r="N246" s="8">
        <f>SQRT((C246-Sheet5!$C$525)^2+(D246-Sheet5!$D$525)^2+(E246-Sheet5!$E$525)^2+(F246-Sheet5!$F$525)^2+(G246-Sheet5!$G$525)^2+(H246-Sheet5!$H$525)^2+(I246-Sheet5!$I$525)^2+(J246-Sheet5!$J$525)^2+(K246-Sheet5!$K$525)^2+(L246-Sheet5!$L$525)^2)</f>
        <v>2.3635301542180822</v>
      </c>
      <c r="O246" s="8">
        <f>SQRT((C246-Sheet5!$C$526)^2+(D246-Sheet5!$D$526)^2+(E246-Sheet5!$E$526)^2+(F246-Sheet5!$F$526)^2+(G246-Sheet5!$G$526)^2+(H246-Sheet5!$H$526)^2+(I246-Sheet5!$I$526)^2+(J246-Sheet5!$J$526)^2+(K246-Sheet5!$K$526)^2+(L246-Sheet5!$L$526)^2)</f>
        <v>2.1441371265633027</v>
      </c>
      <c r="P246" s="12">
        <f t="shared" si="3"/>
        <v>1</v>
      </c>
      <c r="Q246" s="11">
        <f>IF(P246=Sheet1!$M246, 1, 0)</f>
        <v>0</v>
      </c>
    </row>
    <row r="247" spans="1:17" x14ac:dyDescent="0.35">
      <c r="A247" s="6" t="s">
        <v>253</v>
      </c>
      <c r="B247" s="6" t="s">
        <v>272</v>
      </c>
      <c r="C247" s="6">
        <v>-4.8735755237145136E-2</v>
      </c>
      <c r="D247" s="6">
        <v>-0.37846434532323298</v>
      </c>
      <c r="E247" s="6">
        <v>0.49114465974607541</v>
      </c>
      <c r="F247" s="6">
        <v>0.30092695226892807</v>
      </c>
      <c r="G247" s="6">
        <v>0.53517200805210074</v>
      </c>
      <c r="H247" s="6">
        <v>0.64031579247437176</v>
      </c>
      <c r="I247" s="6">
        <v>0.63516166471437552</v>
      </c>
      <c r="J247" s="6">
        <v>-2.6379468881492351E-2</v>
      </c>
      <c r="K247" s="6">
        <v>-0.26516549862889294</v>
      </c>
      <c r="L247" s="6">
        <v>-0.17952471998212227</v>
      </c>
      <c r="N247" s="8">
        <f>SQRT((C247-Sheet5!$C$525)^2+(D247-Sheet5!$D$525)^2+(E247-Sheet5!$E$525)^2+(F247-Sheet5!$F$525)^2+(G247-Sheet5!$G$525)^2+(H247-Sheet5!$H$525)^2+(I247-Sheet5!$I$525)^2+(J247-Sheet5!$J$525)^2+(K247-Sheet5!$K$525)^2+(L247-Sheet5!$L$525)^2)</f>
        <v>2.0715999357727926</v>
      </c>
      <c r="O247" s="8">
        <f>SQRT((C247-Sheet5!$C$526)^2+(D247-Sheet5!$D$526)^2+(E247-Sheet5!$E$526)^2+(F247-Sheet5!$F$526)^2+(G247-Sheet5!$G$526)^2+(H247-Sheet5!$H$526)^2+(I247-Sheet5!$I$526)^2+(J247-Sheet5!$J$526)^2+(K247-Sheet5!$K$526)^2+(L247-Sheet5!$L$526)^2)</f>
        <v>2.1702992844594382</v>
      </c>
      <c r="P247" s="12">
        <f t="shared" si="3"/>
        <v>0</v>
      </c>
      <c r="Q247" s="11">
        <f>IF(P247=Sheet1!$M247, 1, 0)</f>
        <v>1</v>
      </c>
    </row>
    <row r="248" spans="1:17" x14ac:dyDescent="0.35">
      <c r="A248" s="6" t="s">
        <v>253</v>
      </c>
      <c r="B248" s="6" t="s">
        <v>273</v>
      </c>
      <c r="C248" s="6">
        <v>-0.21648847536928667</v>
      </c>
      <c r="D248" s="6">
        <v>-4.7024439700981191E-2</v>
      </c>
      <c r="E248" s="6">
        <v>0.5556132599701612</v>
      </c>
      <c r="F248" s="6">
        <v>0.65065756839739541</v>
      </c>
      <c r="G248" s="6">
        <v>0.86907550600396422</v>
      </c>
      <c r="H248" s="6">
        <v>0.603150018731475</v>
      </c>
      <c r="I248" s="6">
        <v>0.94115966892108338</v>
      </c>
      <c r="J248" s="6">
        <v>-0.4553190857837478</v>
      </c>
      <c r="K248" s="6">
        <v>0.60178974251659834</v>
      </c>
      <c r="L248" s="6">
        <v>-0.17859067087872441</v>
      </c>
      <c r="N248" s="8">
        <f>SQRT((C248-Sheet5!$C$525)^2+(D248-Sheet5!$D$525)^2+(E248-Sheet5!$E$525)^2+(F248-Sheet5!$F$525)^2+(G248-Sheet5!$G$525)^2+(H248-Sheet5!$H$525)^2+(I248-Sheet5!$I$525)^2+(J248-Sheet5!$J$525)^2+(K248-Sheet5!$K$525)^2+(L248-Sheet5!$L$525)^2)</f>
        <v>2.5168008380936402</v>
      </c>
      <c r="O248" s="8">
        <f>SQRT((C248-Sheet5!$C$526)^2+(D248-Sheet5!$D$526)^2+(E248-Sheet5!$E$526)^2+(F248-Sheet5!$F$526)^2+(G248-Sheet5!$G$526)^2+(H248-Sheet5!$H$526)^2+(I248-Sheet5!$I$526)^2+(J248-Sheet5!$J$526)^2+(K248-Sheet5!$K$526)^2+(L248-Sheet5!$L$526)^2)</f>
        <v>2.3652333415475826</v>
      </c>
      <c r="P248" s="12">
        <f t="shared" si="3"/>
        <v>1</v>
      </c>
      <c r="Q248" s="11">
        <f>IF(P248=Sheet1!$M248, 1, 0)</f>
        <v>0</v>
      </c>
    </row>
    <row r="249" spans="1:17" x14ac:dyDescent="0.35">
      <c r="A249" s="6" t="s">
        <v>253</v>
      </c>
      <c r="B249" s="6" t="s">
        <v>274</v>
      </c>
      <c r="C249" s="6">
        <v>0.4424442093097653</v>
      </c>
      <c r="D249" s="6">
        <v>-0.72217980300556894</v>
      </c>
      <c r="E249" s="6">
        <v>0.41783465149125787</v>
      </c>
      <c r="F249" s="6">
        <v>0.17151121766632563</v>
      </c>
      <c r="G249" s="6">
        <v>0.79939129773574702</v>
      </c>
      <c r="H249" s="6">
        <v>0.1156858848572466</v>
      </c>
      <c r="I249" s="6">
        <v>0.9424346606052777</v>
      </c>
      <c r="J249" s="6">
        <v>-0.30727797906527027</v>
      </c>
      <c r="K249" s="6">
        <v>0.53449899275259716</v>
      </c>
      <c r="L249" s="6">
        <v>-0.17009843400343092</v>
      </c>
      <c r="N249" s="8">
        <f>SQRT((C249-Sheet5!$C$525)^2+(D249-Sheet5!$D$525)^2+(E249-Sheet5!$E$525)^2+(F249-Sheet5!$F$525)^2+(G249-Sheet5!$G$525)^2+(H249-Sheet5!$H$525)^2+(I249-Sheet5!$I$525)^2+(J249-Sheet5!$J$525)^2+(K249-Sheet5!$K$525)^2+(L249-Sheet5!$L$525)^2)</f>
        <v>2.0707501071208303</v>
      </c>
      <c r="O249" s="8">
        <f>SQRT((C249-Sheet5!$C$526)^2+(D249-Sheet5!$D$526)^2+(E249-Sheet5!$E$526)^2+(F249-Sheet5!$F$526)^2+(G249-Sheet5!$G$526)^2+(H249-Sheet5!$H$526)^2+(I249-Sheet5!$I$526)^2+(J249-Sheet5!$J$526)^2+(K249-Sheet5!$K$526)^2+(L249-Sheet5!$L$526)^2)</f>
        <v>2.9707792423686001</v>
      </c>
      <c r="P249" s="12">
        <f t="shared" si="3"/>
        <v>0</v>
      </c>
      <c r="Q249" s="11">
        <f>IF(P249=Sheet1!$M249, 1, 0)</f>
        <v>1</v>
      </c>
    </row>
    <row r="250" spans="1:17" x14ac:dyDescent="0.35">
      <c r="A250" s="6" t="s">
        <v>253</v>
      </c>
      <c r="B250" s="6" t="s">
        <v>275</v>
      </c>
      <c r="C250" s="6">
        <v>0.13377920426662479</v>
      </c>
      <c r="D250" s="6">
        <v>-0.6485264906450684</v>
      </c>
      <c r="E250" s="6">
        <v>-3.8234646093989029E-2</v>
      </c>
      <c r="F250" s="6">
        <v>-5.1884990873884256E-2</v>
      </c>
      <c r="G250" s="6">
        <v>0.59904919896463049</v>
      </c>
      <c r="H250" s="6">
        <v>0.74104042566164263</v>
      </c>
      <c r="I250" s="6">
        <v>0.77158577492319913</v>
      </c>
      <c r="J250" s="6">
        <v>-9.0910207707495333E-2</v>
      </c>
      <c r="K250" s="6">
        <v>0.37174927239315614</v>
      </c>
      <c r="L250" s="6">
        <v>0.91677793991597745</v>
      </c>
      <c r="N250" s="8">
        <f>SQRT((C250-Sheet5!$C$525)^2+(D250-Sheet5!$D$525)^2+(E250-Sheet5!$E$525)^2+(F250-Sheet5!$F$525)^2+(G250-Sheet5!$G$525)^2+(H250-Sheet5!$H$525)^2+(I250-Sheet5!$I$525)^2+(J250-Sheet5!$J$525)^2+(K250-Sheet5!$K$525)^2+(L250-Sheet5!$L$525)^2)</f>
        <v>2.2020123568073497</v>
      </c>
      <c r="O250" s="8">
        <f>SQRT((C250-Sheet5!$C$526)^2+(D250-Sheet5!$D$526)^2+(E250-Sheet5!$E$526)^2+(F250-Sheet5!$F$526)^2+(G250-Sheet5!$G$526)^2+(H250-Sheet5!$H$526)^2+(I250-Sheet5!$I$526)^2+(J250-Sheet5!$J$526)^2+(K250-Sheet5!$K$526)^2+(L250-Sheet5!$L$526)^2)</f>
        <v>2.7686587444538757</v>
      </c>
      <c r="P250" s="12">
        <f t="shared" si="3"/>
        <v>0</v>
      </c>
      <c r="Q250" s="11">
        <f>IF(P250=Sheet1!$M250, 1, 0)</f>
        <v>1</v>
      </c>
    </row>
    <row r="251" spans="1:17" x14ac:dyDescent="0.35">
      <c r="A251" s="6" t="s">
        <v>253</v>
      </c>
      <c r="B251" s="6" t="s">
        <v>276</v>
      </c>
      <c r="C251" s="6">
        <v>0.54175381962799285</v>
      </c>
      <c r="D251" s="6">
        <v>-0.77128201124590268</v>
      </c>
      <c r="E251" s="6">
        <v>2.0339682109608917E-2</v>
      </c>
      <c r="F251" s="6">
        <v>-0.15665010936170767</v>
      </c>
      <c r="G251" s="6">
        <v>0.5525930601191551</v>
      </c>
      <c r="H251" s="6">
        <v>0.3553781937788284</v>
      </c>
      <c r="I251" s="6">
        <v>0.71803612418702611</v>
      </c>
      <c r="J251" s="6">
        <v>-0.14405316909361568</v>
      </c>
      <c r="K251" s="6">
        <v>0.67377519575250444</v>
      </c>
      <c r="L251" s="6">
        <v>0.46012107834554333</v>
      </c>
      <c r="N251" s="8">
        <f>SQRT((C251-Sheet5!$C$525)^2+(D251-Sheet5!$D$525)^2+(E251-Sheet5!$E$525)^2+(F251-Sheet5!$F$525)^2+(G251-Sheet5!$G$525)^2+(H251-Sheet5!$H$525)^2+(I251-Sheet5!$I$525)^2+(J251-Sheet5!$J$525)^2+(K251-Sheet5!$K$525)^2+(L251-Sheet5!$L$525)^2)</f>
        <v>1.8590807944659411</v>
      </c>
      <c r="O251" s="8">
        <f>SQRT((C251-Sheet5!$C$526)^2+(D251-Sheet5!$D$526)^2+(E251-Sheet5!$E$526)^2+(F251-Sheet5!$F$526)^2+(G251-Sheet5!$G$526)^2+(H251-Sheet5!$H$526)^2+(I251-Sheet5!$I$526)^2+(J251-Sheet5!$J$526)^2+(K251-Sheet5!$K$526)^2+(L251-Sheet5!$L$526)^2)</f>
        <v>3.1218122172027125</v>
      </c>
      <c r="P251" s="12">
        <f t="shared" si="3"/>
        <v>0</v>
      </c>
      <c r="Q251" s="11">
        <f>IF(P251=Sheet1!$M251, 1, 0)</f>
        <v>1</v>
      </c>
    </row>
    <row r="252" spans="1:17" x14ac:dyDescent="0.35">
      <c r="A252" s="6" t="s">
        <v>253</v>
      </c>
      <c r="B252" s="6" t="s">
        <v>277</v>
      </c>
      <c r="C252" s="6">
        <v>0.21295848816899557</v>
      </c>
      <c r="D252" s="6">
        <v>-0.24343327266231607</v>
      </c>
      <c r="E252" s="6">
        <v>0.43662264355656288</v>
      </c>
      <c r="F252" s="6">
        <v>0.49196922715848784</v>
      </c>
      <c r="G252" s="6">
        <v>0.82261936715848472</v>
      </c>
      <c r="H252" s="6">
        <v>0.67317249100070098</v>
      </c>
      <c r="I252" s="6">
        <v>-0.20123288011729001</v>
      </c>
      <c r="J252" s="6">
        <v>-6.0542801201140951E-2</v>
      </c>
      <c r="K252" s="6">
        <v>0.19648034277529458</v>
      </c>
      <c r="L252" s="6">
        <v>0.12395897493554346</v>
      </c>
      <c r="N252" s="8">
        <f>SQRT((C252-Sheet5!$C$525)^2+(D252-Sheet5!$D$525)^2+(E252-Sheet5!$E$525)^2+(F252-Sheet5!$F$525)^2+(G252-Sheet5!$G$525)^2+(H252-Sheet5!$H$525)^2+(I252-Sheet5!$I$525)^2+(J252-Sheet5!$J$525)^2+(K252-Sheet5!$K$525)^2+(L252-Sheet5!$L$525)^2)</f>
        <v>2.0304692505908255</v>
      </c>
      <c r="O252" s="8">
        <f>SQRT((C252-Sheet5!$C$526)^2+(D252-Sheet5!$D$526)^2+(E252-Sheet5!$E$526)^2+(F252-Sheet5!$F$526)^2+(G252-Sheet5!$G$526)^2+(H252-Sheet5!$H$526)^2+(I252-Sheet5!$I$526)^2+(J252-Sheet5!$J$526)^2+(K252-Sheet5!$K$526)^2+(L252-Sheet5!$L$526)^2)</f>
        <v>2.3272434784718699</v>
      </c>
      <c r="P252" s="12">
        <f t="shared" si="3"/>
        <v>0</v>
      </c>
      <c r="Q252" s="11">
        <f>IF(P252=Sheet1!$M252, 1, 0)</f>
        <v>1</v>
      </c>
    </row>
    <row r="253" spans="1:17" x14ac:dyDescent="0.35">
      <c r="A253" s="6" t="s">
        <v>253</v>
      </c>
      <c r="B253" s="6" t="s">
        <v>278</v>
      </c>
      <c r="C253" s="6">
        <v>1.9707354576768584E-2</v>
      </c>
      <c r="D253" s="6">
        <v>0.68950868390402453</v>
      </c>
      <c r="E253" s="6">
        <v>1.0886764858230307</v>
      </c>
      <c r="F253" s="6">
        <v>1.0127134925832513</v>
      </c>
      <c r="G253" s="6">
        <v>0.87488252335964767</v>
      </c>
      <c r="H253" s="6">
        <v>0.77335848978590138</v>
      </c>
      <c r="I253" s="6">
        <v>0.24565170519292129</v>
      </c>
      <c r="J253" s="6">
        <v>1.1161942009200903</v>
      </c>
      <c r="K253" s="6">
        <v>-5.3919065167046297E-3</v>
      </c>
      <c r="L253" s="6">
        <v>1.6581159889102921</v>
      </c>
      <c r="N253" s="8">
        <f>SQRT((C253-Sheet5!$C$525)^2+(D253-Sheet5!$D$525)^2+(E253-Sheet5!$E$525)^2+(F253-Sheet5!$F$525)^2+(G253-Sheet5!$G$525)^2+(H253-Sheet5!$H$525)^2+(I253-Sheet5!$I$525)^2+(J253-Sheet5!$J$525)^2+(K253-Sheet5!$K$525)^2+(L253-Sheet5!$L$525)^2)</f>
        <v>3.7919297881223333</v>
      </c>
      <c r="O253" s="8">
        <f>SQRT((C253-Sheet5!$C$526)^2+(D253-Sheet5!$D$526)^2+(E253-Sheet5!$E$526)^2+(F253-Sheet5!$F$526)^2+(G253-Sheet5!$G$526)^2+(H253-Sheet5!$H$526)^2+(I253-Sheet5!$I$526)^2+(J253-Sheet5!$J$526)^2+(K253-Sheet5!$K$526)^2+(L253-Sheet5!$L$526)^2)</f>
        <v>1.4713655704581516</v>
      </c>
      <c r="P253" s="12">
        <f t="shared" si="3"/>
        <v>1</v>
      </c>
      <c r="Q253" s="11">
        <f>IF(P253=Sheet1!$M253, 1, 0)</f>
        <v>0</v>
      </c>
    </row>
    <row r="254" spans="1:17" x14ac:dyDescent="0.35">
      <c r="A254" s="6" t="s">
        <v>253</v>
      </c>
      <c r="B254" s="6" t="s">
        <v>279</v>
      </c>
      <c r="C254" s="6">
        <v>1.2476572659440446</v>
      </c>
      <c r="D254" s="6">
        <v>-1.5200906869109911</v>
      </c>
      <c r="E254" s="6">
        <v>-0.60850546407618789</v>
      </c>
      <c r="F254" s="6">
        <v>-0.85765200512581274</v>
      </c>
      <c r="G254" s="6">
        <v>0.16352289728828898</v>
      </c>
      <c r="H254" s="6">
        <v>-2.0340040138079942</v>
      </c>
      <c r="I254" s="6">
        <v>0.78114821255465916</v>
      </c>
      <c r="J254" s="6">
        <v>1.1427656816131504</v>
      </c>
      <c r="K254" s="6">
        <v>-0.12588929562898557</v>
      </c>
      <c r="L254" s="6">
        <v>-0.10053216933804988</v>
      </c>
      <c r="N254" s="8">
        <f>SQRT((C254-Sheet5!$C$525)^2+(D254-Sheet5!$D$525)^2+(E254-Sheet5!$E$525)^2+(F254-Sheet5!$F$525)^2+(G254-Sheet5!$G$525)^2+(H254-Sheet5!$H$525)^2+(I254-Sheet5!$I$525)^2+(J254-Sheet5!$J$525)^2+(K254-Sheet5!$K$525)^2+(L254-Sheet5!$L$525)^2)</f>
        <v>3.0913642983857694</v>
      </c>
      <c r="O254" s="8">
        <f>SQRT((C254-Sheet5!$C$526)^2+(D254-Sheet5!$D$526)^2+(E254-Sheet5!$E$526)^2+(F254-Sheet5!$F$526)^2+(G254-Sheet5!$G$526)^2+(H254-Sheet5!$H$526)^2+(I254-Sheet5!$I$526)^2+(J254-Sheet5!$J$526)^2+(K254-Sheet5!$K$526)^2+(L254-Sheet5!$L$526)^2)</f>
        <v>4.9229015734477297</v>
      </c>
      <c r="P254" s="12">
        <f t="shared" si="3"/>
        <v>0</v>
      </c>
      <c r="Q254" s="11">
        <f>IF(P254=Sheet1!$M254, 1, 0)</f>
        <v>0</v>
      </c>
    </row>
    <row r="255" spans="1:17" x14ac:dyDescent="0.35">
      <c r="A255" s="6" t="s">
        <v>253</v>
      </c>
      <c r="B255" s="6" t="s">
        <v>280</v>
      </c>
      <c r="C255" s="6">
        <v>1.5415600316155569</v>
      </c>
      <c r="D255" s="6">
        <v>-2.1952460502155788</v>
      </c>
      <c r="E255" s="6">
        <v>-0.56540359992637057</v>
      </c>
      <c r="F255" s="6">
        <v>-1.097995512244935</v>
      </c>
      <c r="G255" s="6">
        <v>-0.46073146844780222</v>
      </c>
      <c r="H255" s="6">
        <v>-5.2906682990966757E-2</v>
      </c>
      <c r="I255" s="6">
        <v>0.26796405966632758</v>
      </c>
      <c r="J255" s="6">
        <v>-0.61095204412881376</v>
      </c>
      <c r="K255" s="6">
        <v>0.11354058143827095</v>
      </c>
      <c r="L255" s="6">
        <v>-0.16673199583183601</v>
      </c>
      <c r="N255" s="8">
        <f>SQRT((C255-Sheet5!$C$525)^2+(D255-Sheet5!$D$525)^2+(E255-Sheet5!$E$525)^2+(F255-Sheet5!$F$525)^2+(G255-Sheet5!$G$525)^2+(H255-Sheet5!$H$525)^2+(I255-Sheet5!$I$525)^2+(J255-Sheet5!$J$525)^2+(K255-Sheet5!$K$525)^2+(L255-Sheet5!$L$525)^2)</f>
        <v>2.4154632313818962</v>
      </c>
      <c r="O255" s="8">
        <f>SQRT((C255-Sheet5!$C$526)^2+(D255-Sheet5!$D$526)^2+(E255-Sheet5!$E$526)^2+(F255-Sheet5!$F$526)^2+(G255-Sheet5!$G$526)^2+(H255-Sheet5!$H$526)^2+(I255-Sheet5!$I$526)^2+(J255-Sheet5!$J$526)^2+(K255-Sheet5!$K$526)^2+(L255-Sheet5!$L$526)^2)</f>
        <v>5.256888915005594</v>
      </c>
      <c r="P255" s="12">
        <f t="shared" si="3"/>
        <v>0</v>
      </c>
      <c r="Q255" s="11">
        <f>IF(P255=Sheet1!$M255, 1, 0)</f>
        <v>0</v>
      </c>
    </row>
    <row r="256" spans="1:17" x14ac:dyDescent="0.35">
      <c r="A256" s="6" t="s">
        <v>253</v>
      </c>
      <c r="B256" s="6" t="s">
        <v>281</v>
      </c>
      <c r="C256" s="6">
        <v>0.40620962176122277</v>
      </c>
      <c r="D256" s="6">
        <v>-1.0658952606879044</v>
      </c>
      <c r="E256" s="6">
        <v>-0.56024611190844364</v>
      </c>
      <c r="F256" s="6">
        <v>-0.54335664966234465</v>
      </c>
      <c r="G256" s="6">
        <v>-0.57687181556149081</v>
      </c>
      <c r="H256" s="6">
        <v>-0.34215335690307785</v>
      </c>
      <c r="I256" s="6">
        <v>0.25585163866647886</v>
      </c>
      <c r="J256" s="6">
        <v>-0.74380944759411416</v>
      </c>
      <c r="K256" s="6">
        <v>-0.56093181735903319</v>
      </c>
      <c r="L256" s="6">
        <v>-0.21872573824953981</v>
      </c>
      <c r="N256" s="8">
        <f>SQRT((C256-Sheet5!$C$525)^2+(D256-Sheet5!$D$525)^2+(E256-Sheet5!$E$525)^2+(F256-Sheet5!$F$525)^2+(G256-Sheet5!$G$525)^2+(H256-Sheet5!$H$525)^2+(I256-Sheet5!$I$525)^2+(J256-Sheet5!$J$525)^2+(K256-Sheet5!$K$525)^2+(L256-Sheet5!$L$525)^2)</f>
        <v>1.265607160322622</v>
      </c>
      <c r="O256" s="8">
        <f>SQRT((C256-Sheet5!$C$526)^2+(D256-Sheet5!$D$526)^2+(E256-Sheet5!$E$526)^2+(F256-Sheet5!$F$526)^2+(G256-Sheet5!$G$526)^2+(H256-Sheet5!$H$526)^2+(I256-Sheet5!$I$526)^2+(J256-Sheet5!$J$526)^2+(K256-Sheet5!$K$526)^2+(L256-Sheet5!$L$526)^2)</f>
        <v>4.1265622980305769</v>
      </c>
      <c r="P256" s="12">
        <f t="shared" si="3"/>
        <v>0</v>
      </c>
      <c r="Q256" s="11">
        <f>IF(P256=Sheet1!$M256, 1, 0)</f>
        <v>1</v>
      </c>
    </row>
    <row r="257" spans="1:17" x14ac:dyDescent="0.35">
      <c r="A257" s="6" t="s">
        <v>253</v>
      </c>
      <c r="B257" s="6" t="s">
        <v>282</v>
      </c>
      <c r="C257" s="6">
        <v>1.1054029592719887</v>
      </c>
      <c r="D257" s="6">
        <v>-1.5446417910311578</v>
      </c>
      <c r="E257" s="6">
        <v>-0.48804127965746763</v>
      </c>
      <c r="F257" s="6">
        <v>-0.44475418520321763</v>
      </c>
      <c r="G257" s="6">
        <v>0.5525930601191551</v>
      </c>
      <c r="H257" s="6">
        <v>-0.62170461157791113</v>
      </c>
      <c r="I257" s="6">
        <v>0.83852283834341712</v>
      </c>
      <c r="J257" s="6">
        <v>-1.0436875868443634</v>
      </c>
      <c r="K257" s="6">
        <v>0.96484681101073766</v>
      </c>
      <c r="L257" s="6">
        <v>4.5912070129967716E-2</v>
      </c>
      <c r="N257" s="8">
        <f>SQRT((C257-Sheet5!$C$525)^2+(D257-Sheet5!$D$525)^2+(E257-Sheet5!$E$525)^2+(F257-Sheet5!$F$525)^2+(G257-Sheet5!$G$525)^2+(H257-Sheet5!$H$525)^2+(I257-Sheet5!$I$525)^2+(J257-Sheet5!$J$525)^2+(K257-Sheet5!$K$525)^2+(L257-Sheet5!$L$525)^2)</f>
        <v>2.3033696609232837</v>
      </c>
      <c r="O257" s="8">
        <f>SQRT((C257-Sheet5!$C$526)^2+(D257-Sheet5!$D$526)^2+(E257-Sheet5!$E$526)^2+(F257-Sheet5!$F$526)^2+(G257-Sheet5!$G$526)^2+(H257-Sheet5!$H$526)^2+(I257-Sheet5!$I$526)^2+(J257-Sheet5!$J$526)^2+(K257-Sheet5!$K$526)^2+(L257-Sheet5!$L$526)^2)</f>
        <v>4.7082529608365773</v>
      </c>
      <c r="P257" s="12">
        <f t="shared" si="3"/>
        <v>0</v>
      </c>
      <c r="Q257" s="11">
        <f>IF(P257=Sheet1!$M257, 1, 0)</f>
        <v>0</v>
      </c>
    </row>
    <row r="258" spans="1:17" x14ac:dyDescent="0.35">
      <c r="A258" s="6" t="s">
        <v>253</v>
      </c>
      <c r="B258" s="6" t="s">
        <v>283</v>
      </c>
      <c r="C258" s="6">
        <v>-0.60701680783691214</v>
      </c>
      <c r="D258" s="6">
        <v>1.0516374696764854</v>
      </c>
      <c r="E258" s="6">
        <v>0.7493874526436991</v>
      </c>
      <c r="F258" s="6">
        <v>1.3362528290897606</v>
      </c>
      <c r="G258" s="6">
        <v>1.2726632122240409</v>
      </c>
      <c r="H258" s="6">
        <v>0.99904630425363761</v>
      </c>
      <c r="I258" s="6">
        <v>0.88059756392183908</v>
      </c>
      <c r="J258" s="6">
        <v>0.49745829335312031</v>
      </c>
      <c r="K258" s="6">
        <v>-0.33089134723559105</v>
      </c>
      <c r="L258" s="6">
        <v>1.3481782616672624</v>
      </c>
      <c r="N258" s="8">
        <f>SQRT((C258-Sheet5!$C$525)^2+(D258-Sheet5!$D$525)^2+(E258-Sheet5!$E$525)^2+(F258-Sheet5!$F$525)^2+(G258-Sheet5!$G$525)^2+(H258-Sheet5!$H$525)^2+(I258-Sheet5!$I$525)^2+(J258-Sheet5!$J$525)^2+(K258-Sheet5!$K$525)^2+(L258-Sheet5!$L$525)^2)</f>
        <v>4.0618351587517747</v>
      </c>
      <c r="O258" s="8">
        <f>SQRT((C258-Sheet5!$C$526)^2+(D258-Sheet5!$D$526)^2+(E258-Sheet5!$E$526)^2+(F258-Sheet5!$F$526)^2+(G258-Sheet5!$G$526)^2+(H258-Sheet5!$H$526)^2+(I258-Sheet5!$I$526)^2+(J258-Sheet5!$J$526)^2+(K258-Sheet5!$K$526)^2+(L258-Sheet5!$L$526)^2)</f>
        <v>1.1832731227739242</v>
      </c>
      <c r="P258" s="12">
        <f t="shared" si="3"/>
        <v>1</v>
      </c>
      <c r="Q258" s="11">
        <f>IF(P258=Sheet1!$M258, 1, 0)</f>
        <v>0</v>
      </c>
    </row>
    <row r="259" spans="1:17" x14ac:dyDescent="0.35">
      <c r="A259" s="6" t="s">
        <v>253</v>
      </c>
      <c r="B259" s="6" t="s">
        <v>284</v>
      </c>
      <c r="C259" s="6">
        <v>-0.58822850318211239</v>
      </c>
      <c r="D259" s="6">
        <v>1.1743929902773191</v>
      </c>
      <c r="E259" s="6">
        <v>1.2861345985093733</v>
      </c>
      <c r="F259" s="6">
        <v>1.3947980423623687</v>
      </c>
      <c r="G259" s="6">
        <v>1.220400056022878</v>
      </c>
      <c r="H259" s="6">
        <v>1.0539870132648763</v>
      </c>
      <c r="I259" s="6">
        <v>0.7613858414496425</v>
      </c>
      <c r="J259" s="6">
        <v>0.58856051287218347</v>
      </c>
      <c r="K259" s="6">
        <v>7.7547854820316758E-2</v>
      </c>
      <c r="L259" s="6">
        <v>-0.35604077710757687</v>
      </c>
      <c r="N259" s="8">
        <f>SQRT((C259-Sheet5!$C$525)^2+(D259-Sheet5!$D$525)^2+(E259-Sheet5!$E$525)^2+(F259-Sheet5!$F$525)^2+(G259-Sheet5!$G$525)^2+(H259-Sheet5!$H$525)^2+(I259-Sheet5!$I$525)^2+(J259-Sheet5!$J$525)^2+(K259-Sheet5!$K$525)^2+(L259-Sheet5!$L$525)^2)</f>
        <v>3.9610494383904338</v>
      </c>
      <c r="O259" s="8">
        <f>SQRT((C259-Sheet5!$C$526)^2+(D259-Sheet5!$D$526)^2+(E259-Sheet5!$E$526)^2+(F259-Sheet5!$F$526)^2+(G259-Sheet5!$G$526)^2+(H259-Sheet5!$H$526)^2+(I259-Sheet5!$I$526)^2+(J259-Sheet5!$J$526)^2+(K259-Sheet5!$K$526)^2+(L259-Sheet5!$L$526)^2)</f>
        <v>1.4080475343076628</v>
      </c>
      <c r="P259" s="12">
        <f t="shared" ref="P259:P322" si="4">IF(N259&lt;=O259, 0, 1)</f>
        <v>1</v>
      </c>
      <c r="Q259" s="11">
        <f>IF(P259=Sheet1!$M259, 1, 0)</f>
        <v>0</v>
      </c>
    </row>
    <row r="260" spans="1:17" x14ac:dyDescent="0.35">
      <c r="A260" s="6" t="s">
        <v>253</v>
      </c>
      <c r="B260" s="6" t="s">
        <v>285</v>
      </c>
      <c r="C260" s="6">
        <v>-1.0270696190477946</v>
      </c>
      <c r="D260" s="6">
        <v>1.2112196464575697</v>
      </c>
      <c r="E260" s="6">
        <v>2.3349466261549292</v>
      </c>
      <c r="F260" s="6">
        <v>1.8662410755575696</v>
      </c>
      <c r="G260" s="6">
        <v>1.0752246221307642</v>
      </c>
      <c r="H260" s="6">
        <v>0.53205027765810653</v>
      </c>
      <c r="I260" s="6">
        <v>0.94307215644737541</v>
      </c>
      <c r="J260" s="6">
        <v>1.742521960113649</v>
      </c>
      <c r="K260" s="6">
        <v>-0.29333371946033371</v>
      </c>
      <c r="L260" s="6">
        <v>0.65496739465853504</v>
      </c>
      <c r="N260" s="8">
        <f>SQRT((C260-Sheet5!$C$525)^2+(D260-Sheet5!$D$525)^2+(E260-Sheet5!$E$525)^2+(F260-Sheet5!$F$525)^2+(G260-Sheet5!$G$525)^2+(H260-Sheet5!$H$525)^2+(I260-Sheet5!$I$525)^2+(J260-Sheet5!$J$525)^2+(K260-Sheet5!$K$525)^2+(L260-Sheet5!$L$525)^2)</f>
        <v>5.185854888192269</v>
      </c>
      <c r="O260" s="8">
        <f>SQRT((C260-Sheet5!$C$526)^2+(D260-Sheet5!$D$526)^2+(E260-Sheet5!$E$526)^2+(F260-Sheet5!$F$526)^2+(G260-Sheet5!$G$526)^2+(H260-Sheet5!$H$526)^2+(I260-Sheet5!$I$526)^2+(J260-Sheet5!$J$526)^2+(K260-Sheet5!$K$526)^2+(L260-Sheet5!$L$526)^2)</f>
        <v>1.8310679843853039</v>
      </c>
      <c r="P260" s="12">
        <f t="shared" si="4"/>
        <v>1</v>
      </c>
      <c r="Q260" s="11">
        <f>IF(P260=Sheet1!$M260, 1, 0)</f>
        <v>0</v>
      </c>
    </row>
    <row r="261" spans="1:17" x14ac:dyDescent="0.35">
      <c r="A261" s="6" t="s">
        <v>253</v>
      </c>
      <c r="B261" s="6" t="s">
        <v>286</v>
      </c>
      <c r="C261" s="6">
        <v>-0.64861948242968326</v>
      </c>
      <c r="D261" s="6">
        <v>0.31510434607147958</v>
      </c>
      <c r="E261" s="6">
        <v>0.7073907644977232</v>
      </c>
      <c r="F261" s="6">
        <v>0.57516505654587502</v>
      </c>
      <c r="G261" s="6">
        <v>0.20126851010023725</v>
      </c>
      <c r="H261" s="6">
        <v>0.67694293181519738</v>
      </c>
      <c r="I261" s="6">
        <v>0.92585976871074749</v>
      </c>
      <c r="J261" s="6">
        <v>0.56578495799241746</v>
      </c>
      <c r="K261" s="6">
        <v>3.8425325887758537E-2</v>
      </c>
      <c r="L261" s="6">
        <v>-0.28423358442572877</v>
      </c>
      <c r="N261" s="8">
        <f>SQRT((C261-Sheet5!$C$525)^2+(D261-Sheet5!$D$525)^2+(E261-Sheet5!$E$525)^2+(F261-Sheet5!$F$525)^2+(G261-Sheet5!$G$525)^2+(H261-Sheet5!$H$525)^2+(I261-Sheet5!$I$525)^2+(J261-Sheet5!$J$525)^2+(K261-Sheet5!$K$525)^2+(L261-Sheet5!$L$525)^2)</f>
        <v>2.6857120115382447</v>
      </c>
      <c r="O261" s="8">
        <f>SQRT((C261-Sheet5!$C$526)^2+(D261-Sheet5!$D$526)^2+(E261-Sheet5!$E$526)^2+(F261-Sheet5!$F$526)^2+(G261-Sheet5!$G$526)^2+(H261-Sheet5!$H$526)^2+(I261-Sheet5!$I$526)^2+(J261-Sheet5!$J$526)^2+(K261-Sheet5!$K$526)^2+(L261-Sheet5!$L$526)^2)</f>
        <v>1.5758664979196741</v>
      </c>
      <c r="P261" s="12">
        <f t="shared" si="4"/>
        <v>1</v>
      </c>
      <c r="Q261" s="11">
        <f>IF(P261=Sheet1!$M261, 1, 0)</f>
        <v>0</v>
      </c>
    </row>
    <row r="262" spans="1:17" x14ac:dyDescent="0.35">
      <c r="A262" s="6" t="s">
        <v>253</v>
      </c>
      <c r="B262" s="6" t="s">
        <v>287</v>
      </c>
      <c r="C262" s="6">
        <v>-0.72377270104888269</v>
      </c>
      <c r="D262" s="6">
        <v>0.54833983521306495</v>
      </c>
      <c r="E262" s="6">
        <v>1.1159374939177868</v>
      </c>
      <c r="F262" s="6">
        <v>0.87713510395195238</v>
      </c>
      <c r="G262" s="6">
        <v>0.56420709483052189</v>
      </c>
      <c r="H262" s="6">
        <v>0.80244474749773331</v>
      </c>
      <c r="I262" s="6">
        <v>0.92522227286865066</v>
      </c>
      <c r="J262" s="6">
        <v>0.44431533196700029</v>
      </c>
      <c r="K262" s="6">
        <v>0.34358105156171315</v>
      </c>
      <c r="L262" s="6">
        <v>-0.33535443745829446</v>
      </c>
      <c r="N262" s="8">
        <f>SQRT((C262-Sheet5!$C$525)^2+(D262-Sheet5!$D$525)^2+(E262-Sheet5!$E$525)^2+(F262-Sheet5!$F$525)^2+(G262-Sheet5!$G$525)^2+(H262-Sheet5!$H$525)^2+(I262-Sheet5!$I$525)^2+(J262-Sheet5!$J$525)^2+(K262-Sheet5!$K$525)^2+(L262-Sheet5!$L$525)^2)</f>
        <v>3.1731784773039244</v>
      </c>
      <c r="O262" s="8">
        <f>SQRT((C262-Sheet5!$C$526)^2+(D262-Sheet5!$D$526)^2+(E262-Sheet5!$E$526)^2+(F262-Sheet5!$F$526)^2+(G262-Sheet5!$G$526)^2+(H262-Sheet5!$H$526)^2+(I262-Sheet5!$I$526)^2+(J262-Sheet5!$J$526)^2+(K262-Sheet5!$K$526)^2+(L262-Sheet5!$L$526)^2)</f>
        <v>1.517593697870417</v>
      </c>
      <c r="P262" s="12">
        <f t="shared" si="4"/>
        <v>1</v>
      </c>
      <c r="Q262" s="11">
        <f>IF(P262=Sheet1!$M262, 1, 0)</f>
        <v>0</v>
      </c>
    </row>
    <row r="263" spans="1:17" x14ac:dyDescent="0.35">
      <c r="A263" s="6" t="s">
        <v>253</v>
      </c>
      <c r="B263" s="6" t="s">
        <v>288</v>
      </c>
      <c r="C263" s="6">
        <v>-0.7895317673406822</v>
      </c>
      <c r="D263" s="6">
        <v>1.2480463026378201</v>
      </c>
      <c r="E263" s="6">
        <v>1.2102458462455923</v>
      </c>
      <c r="F263" s="6">
        <v>1.310061549467807</v>
      </c>
      <c r="G263" s="6">
        <v>1.0839351481642914</v>
      </c>
      <c r="H263" s="6">
        <v>0.98504180979979217</v>
      </c>
      <c r="I263" s="6">
        <v>0.92394728118445546</v>
      </c>
      <c r="J263" s="6">
        <v>0.68725458401783501</v>
      </c>
      <c r="K263" s="6">
        <v>-0.37157877732545014</v>
      </c>
      <c r="L263" s="6">
        <v>-0.35495594955287663</v>
      </c>
      <c r="N263" s="8">
        <f>SQRT((C263-Sheet5!$C$525)^2+(D263-Sheet5!$D$525)^2+(E263-Sheet5!$E$525)^2+(F263-Sheet5!$F$525)^2+(G263-Sheet5!$G$525)^2+(H263-Sheet5!$H$525)^2+(I263-Sheet5!$I$525)^2+(J263-Sheet5!$J$525)^2+(K263-Sheet5!$K$525)^2+(L263-Sheet5!$L$525)^2)</f>
        <v>4.008395883854095</v>
      </c>
      <c r="O263" s="8">
        <f>SQRT((C263-Sheet5!$C$526)^2+(D263-Sheet5!$D$526)^2+(E263-Sheet5!$E$526)^2+(F263-Sheet5!$F$526)^2+(G263-Sheet5!$G$526)^2+(H263-Sheet5!$H$526)^2+(I263-Sheet5!$I$526)^2+(J263-Sheet5!$J$526)^2+(K263-Sheet5!$K$526)^2+(L263-Sheet5!$L$526)^2)</f>
        <v>1.2037246587732267</v>
      </c>
      <c r="P263" s="12">
        <f t="shared" si="4"/>
        <v>1</v>
      </c>
      <c r="Q263" s="11">
        <f>IF(P263=Sheet1!$M263, 1, 0)</f>
        <v>0</v>
      </c>
    </row>
    <row r="264" spans="1:17" x14ac:dyDescent="0.35">
      <c r="A264" s="6" t="s">
        <v>253</v>
      </c>
      <c r="B264" s="6" t="s">
        <v>289</v>
      </c>
      <c r="C264" s="6">
        <v>-0.96399459627810935</v>
      </c>
      <c r="D264" s="6">
        <v>1.8004461453415732</v>
      </c>
      <c r="E264" s="6">
        <v>2.1256999694276106</v>
      </c>
      <c r="F264" s="6">
        <v>1.7445286584908339</v>
      </c>
      <c r="G264" s="6">
        <v>0.92133866220512306</v>
      </c>
      <c r="H264" s="6">
        <v>1.083073270976709</v>
      </c>
      <c r="I264" s="6">
        <v>0.91757232276348277</v>
      </c>
      <c r="J264" s="6">
        <v>1.1731330881195048</v>
      </c>
      <c r="K264" s="6">
        <v>-0.40600660278610123</v>
      </c>
      <c r="L264" s="6">
        <v>-0.23435803268760869</v>
      </c>
      <c r="N264" s="8">
        <f>SQRT((C264-Sheet5!$C$525)^2+(D264-Sheet5!$D$525)^2+(E264-Sheet5!$E$525)^2+(F264-Sheet5!$F$525)^2+(G264-Sheet5!$G$525)^2+(H264-Sheet5!$H$525)^2+(I264-Sheet5!$I$525)^2+(J264-Sheet5!$J$525)^2+(K264-Sheet5!$K$525)^2+(L264-Sheet5!$L$525)^2)</f>
        <v>5.0218953725381299</v>
      </c>
      <c r="O264" s="8">
        <f>SQRT((C264-Sheet5!$C$526)^2+(D264-Sheet5!$D$526)^2+(E264-Sheet5!$E$526)^2+(F264-Sheet5!$F$526)^2+(G264-Sheet5!$G$526)^2+(H264-Sheet5!$H$526)^2+(I264-Sheet5!$I$526)^2+(J264-Sheet5!$J$526)^2+(K264-Sheet5!$K$526)^2+(L264-Sheet5!$L$526)^2)</f>
        <v>1.8725040891536309</v>
      </c>
      <c r="P264" s="12">
        <f t="shared" si="4"/>
        <v>1</v>
      </c>
      <c r="Q264" s="11">
        <f>IF(P264=Sheet1!$M264, 1, 0)</f>
        <v>0</v>
      </c>
    </row>
    <row r="265" spans="1:17" x14ac:dyDescent="0.35">
      <c r="A265" s="6" t="s">
        <v>253</v>
      </c>
      <c r="B265" s="6" t="s">
        <v>290</v>
      </c>
      <c r="C265" s="6">
        <v>-0.94520629162330949</v>
      </c>
      <c r="D265" s="6">
        <v>1.266459630727945</v>
      </c>
      <c r="E265" s="6">
        <v>2.7766486356902367</v>
      </c>
      <c r="F265" s="6">
        <v>1.9078389902512631</v>
      </c>
      <c r="G265" s="6">
        <v>1.313312333713833</v>
      </c>
      <c r="H265" s="6">
        <v>0.96942141213973443</v>
      </c>
      <c r="I265" s="6">
        <v>0.82386043397517872</v>
      </c>
      <c r="J265" s="6">
        <v>1.7539097375535317</v>
      </c>
      <c r="K265" s="6">
        <v>-0.33871585302210222</v>
      </c>
      <c r="L265" s="6">
        <v>8.0605190854491298</v>
      </c>
      <c r="N265" s="8">
        <f>SQRT((C265-Sheet5!$C$525)^2+(D265-Sheet5!$D$525)^2+(E265-Sheet5!$E$525)^2+(F265-Sheet5!$F$525)^2+(G265-Sheet5!$G$525)^2+(H265-Sheet5!$H$525)^2+(I265-Sheet5!$I$525)^2+(J265-Sheet5!$J$525)^2+(K265-Sheet5!$K$525)^2+(L265-Sheet5!$L$525)^2)</f>
        <v>9.9593769991887768</v>
      </c>
      <c r="O265" s="8">
        <f>SQRT((C265-Sheet5!$C$526)^2+(D265-Sheet5!$D$526)^2+(E265-Sheet5!$E$526)^2+(F265-Sheet5!$F$526)^2+(G265-Sheet5!$G$526)^2+(H265-Sheet5!$H$526)^2+(I265-Sheet5!$I$526)^2+(J265-Sheet5!$J$526)^2+(K265-Sheet5!$K$526)^2+(L265-Sheet5!$L$526)^2)</f>
        <v>7.8029161818649264</v>
      </c>
      <c r="P265" s="12">
        <f t="shared" si="4"/>
        <v>1</v>
      </c>
      <c r="Q265" s="11">
        <f>IF(P265=Sheet1!$M265, 1, 0)</f>
        <v>0</v>
      </c>
    </row>
    <row r="266" spans="1:17" x14ac:dyDescent="0.35">
      <c r="A266" s="6" t="s">
        <v>253</v>
      </c>
      <c r="B266" s="6" t="s">
        <v>291</v>
      </c>
      <c r="C266" s="6">
        <v>-1.0981967723838226</v>
      </c>
      <c r="D266" s="6">
        <v>0.53606428315298182</v>
      </c>
      <c r="E266" s="6">
        <v>0.94389842931979795</v>
      </c>
      <c r="F266" s="6">
        <v>0.97881889542542655</v>
      </c>
      <c r="G266" s="6">
        <v>0.86907550600396422</v>
      </c>
      <c r="H266" s="6">
        <v>0.98935088501635982</v>
      </c>
      <c r="I266" s="6">
        <v>0.94753462734205607</v>
      </c>
      <c r="J266" s="6">
        <v>0.57337680961900628</v>
      </c>
      <c r="K266" s="6">
        <v>0.66908049228059729</v>
      </c>
      <c r="L266" s="6">
        <v>-0.21924395559581894</v>
      </c>
      <c r="N266" s="8">
        <f>SQRT((C266-Sheet5!$C$525)^2+(D266-Sheet5!$D$525)^2+(E266-Sheet5!$E$525)^2+(F266-Sheet5!$F$525)^2+(G266-Sheet5!$G$525)^2+(H266-Sheet5!$H$525)^2+(I266-Sheet5!$I$525)^2+(J266-Sheet5!$J$525)^2+(K266-Sheet5!$K$525)^2+(L266-Sheet5!$L$525)^2)</f>
        <v>3.4994754751783415</v>
      </c>
      <c r="O266" s="8">
        <f>SQRT((C266-Sheet5!$C$526)^2+(D266-Sheet5!$D$526)^2+(E266-Sheet5!$E$526)^2+(F266-Sheet5!$F$526)^2+(G266-Sheet5!$G$526)^2+(H266-Sheet5!$H$526)^2+(I266-Sheet5!$I$526)^2+(J266-Sheet5!$J$526)^2+(K266-Sheet5!$K$526)^2+(L266-Sheet5!$L$526)^2)</f>
        <v>1.6971502198276269</v>
      </c>
      <c r="P266" s="12">
        <f t="shared" si="4"/>
        <v>1</v>
      </c>
      <c r="Q266" s="11">
        <f>IF(P266=Sheet1!$M266, 1, 0)</f>
        <v>0</v>
      </c>
    </row>
    <row r="267" spans="1:17" x14ac:dyDescent="0.35">
      <c r="A267" s="6" t="s">
        <v>292</v>
      </c>
      <c r="B267" s="6" t="s">
        <v>293</v>
      </c>
      <c r="C267" s="6">
        <v>-0.20843634480294382</v>
      </c>
      <c r="D267" s="6">
        <v>-0.81424644345619435</v>
      </c>
      <c r="E267" s="6">
        <v>-0.62250436012484656</v>
      </c>
      <c r="F267" s="6">
        <v>-0.73285826104472984</v>
      </c>
      <c r="G267" s="6">
        <v>-1.4130823147800653</v>
      </c>
      <c r="H267" s="6">
        <v>-1.5131445470053662</v>
      </c>
      <c r="I267" s="6">
        <v>-0.19932039259099801</v>
      </c>
      <c r="J267" s="6">
        <v>1.0023164265212616</v>
      </c>
      <c r="K267" s="6">
        <v>-1.1180366293586617</v>
      </c>
      <c r="L267" s="6">
        <v>-3.8369949895332593E-2</v>
      </c>
      <c r="N267" s="8">
        <f>SQRT((C267-Sheet5!$C$525)^2+(D267-Sheet5!$D$525)^2+(E267-Sheet5!$E$525)^2+(F267-Sheet5!$F$525)^2+(G267-Sheet5!$G$525)^2+(H267-Sheet5!$H$525)^2+(I267-Sheet5!$I$525)^2+(J267-Sheet5!$J$525)^2+(K267-Sheet5!$K$525)^2+(L267-Sheet5!$L$525)^2)</f>
        <v>2.6566555984682534</v>
      </c>
      <c r="O267" s="8">
        <f>SQRT((C267-Sheet5!$C$526)^2+(D267-Sheet5!$D$526)^2+(E267-Sheet5!$E$526)^2+(F267-Sheet5!$F$526)^2+(G267-Sheet5!$G$526)^2+(H267-Sheet5!$H$526)^2+(I267-Sheet5!$I$526)^2+(J267-Sheet5!$J$526)^2+(K267-Sheet5!$K$526)^2+(L267-Sheet5!$L$526)^2)</f>
        <v>4.5243492743147744</v>
      </c>
      <c r="P267" s="12">
        <f t="shared" si="4"/>
        <v>0</v>
      </c>
      <c r="Q267" s="11">
        <f>IF(P267=Sheet1!$M267, 1, 0)</f>
        <v>1</v>
      </c>
    </row>
    <row r="268" spans="1:17" x14ac:dyDescent="0.35">
      <c r="A268" s="6" t="s">
        <v>292</v>
      </c>
      <c r="B268" s="6" t="s">
        <v>294</v>
      </c>
      <c r="C268" s="6">
        <v>-0.26614328052840069</v>
      </c>
      <c r="D268" s="6">
        <v>-1.243890765559114</v>
      </c>
      <c r="E268" s="6">
        <v>-0.58971747201088287</v>
      </c>
      <c r="F268" s="6">
        <v>-0.90849390086254977</v>
      </c>
      <c r="G268" s="6">
        <v>-0.67559111060812926</v>
      </c>
      <c r="H268" s="6">
        <v>-1.0978574230086484</v>
      </c>
      <c r="I268" s="6">
        <v>-0.75330427937355815</v>
      </c>
      <c r="J268" s="6">
        <v>1.0630512395339704</v>
      </c>
      <c r="K268" s="6">
        <v>-0.42478541667372988</v>
      </c>
      <c r="L268" s="6">
        <v>-1.5024238595189919E-2</v>
      </c>
      <c r="N268" s="8">
        <f>SQRT((C268-Sheet5!$C$525)^2+(D268-Sheet5!$D$525)^2+(E268-Sheet5!$E$525)^2+(F268-Sheet5!$F$525)^2+(G268-Sheet5!$G$525)^2+(H268-Sheet5!$H$525)^2+(I268-Sheet5!$I$525)^2+(J268-Sheet5!$J$525)^2+(K268-Sheet5!$K$525)^2+(L268-Sheet5!$L$525)^2)</f>
        <v>2.2218726444070174</v>
      </c>
      <c r="O268" s="8">
        <f>SQRT((C268-Sheet5!$C$526)^2+(D268-Sheet5!$D$526)^2+(E268-Sheet5!$E$526)^2+(F268-Sheet5!$F$526)^2+(G268-Sheet5!$G$526)^2+(H268-Sheet5!$H$526)^2+(I268-Sheet5!$I$526)^2+(J268-Sheet5!$J$526)^2+(K268-Sheet5!$K$526)^2+(L268-Sheet5!$L$526)^2)</f>
        <v>4.3786963738613132</v>
      </c>
      <c r="P268" s="12">
        <f t="shared" si="4"/>
        <v>0</v>
      </c>
      <c r="Q268" s="11">
        <f>IF(P268=Sheet1!$M268, 1, 0)</f>
        <v>1</v>
      </c>
    </row>
    <row r="269" spans="1:17" x14ac:dyDescent="0.35">
      <c r="A269" s="6" t="s">
        <v>292</v>
      </c>
      <c r="B269" s="6" t="s">
        <v>295</v>
      </c>
      <c r="C269" s="6">
        <v>-0.69156417878351151</v>
      </c>
      <c r="D269" s="6">
        <v>0.10641996105006153</v>
      </c>
      <c r="E269" s="6">
        <v>0.71770574053357694</v>
      </c>
      <c r="F269" s="6">
        <v>0.36409415606305789</v>
      </c>
      <c r="G269" s="6">
        <v>7.9321145630865258E-2</v>
      </c>
      <c r="H269" s="6">
        <v>0.46795278381166128</v>
      </c>
      <c r="I269" s="6">
        <v>0.81812297139630275</v>
      </c>
      <c r="J269" s="6">
        <v>1.5185623371292858</v>
      </c>
      <c r="K269" s="6">
        <v>-0.86452264187568473</v>
      </c>
      <c r="L269" s="6">
        <v>1.5847998833844377</v>
      </c>
      <c r="N269" s="8">
        <f>SQRT((C269-Sheet5!$C$525)^2+(D269-Sheet5!$D$525)^2+(E269-Sheet5!$E$525)^2+(F269-Sheet5!$F$525)^2+(G269-Sheet5!$G$525)^2+(H269-Sheet5!$H$525)^2+(I269-Sheet5!$I$525)^2+(J269-Sheet5!$J$525)^2+(K269-Sheet5!$K$525)^2+(L269-Sheet5!$L$525)^2)</f>
        <v>3.6336247462583091</v>
      </c>
      <c r="O269" s="8">
        <f>SQRT((C269-Sheet5!$C$526)^2+(D269-Sheet5!$D$526)^2+(E269-Sheet5!$E$526)^2+(F269-Sheet5!$F$526)^2+(G269-Sheet5!$G$526)^2+(H269-Sheet5!$H$526)^2+(I269-Sheet5!$I$526)^2+(J269-Sheet5!$J$526)^2+(K269-Sheet5!$K$526)^2+(L269-Sheet5!$L$526)^2)</f>
        <v>1.813590022266562</v>
      </c>
      <c r="P269" s="12">
        <f t="shared" si="4"/>
        <v>1</v>
      </c>
      <c r="Q269" s="11">
        <f>IF(P269=Sheet1!$M269, 1, 0)</f>
        <v>0</v>
      </c>
    </row>
    <row r="270" spans="1:17" x14ac:dyDescent="0.35">
      <c r="A270" s="6" t="s">
        <v>292</v>
      </c>
      <c r="B270" s="6" t="s">
        <v>296</v>
      </c>
      <c r="C270" s="6">
        <v>-0.91031372583582404</v>
      </c>
      <c r="D270" s="6">
        <v>-0.56873540225452623</v>
      </c>
      <c r="E270" s="6">
        <v>0.14301421853601215</v>
      </c>
      <c r="F270" s="6">
        <v>-0.47864878236104458</v>
      </c>
      <c r="G270" s="6">
        <v>-1.4217928408135925</v>
      </c>
      <c r="H270" s="6">
        <v>0.16901069066227312</v>
      </c>
      <c r="I270" s="6">
        <v>0.45857531645342187</v>
      </c>
      <c r="J270" s="6">
        <v>2.0955430607500185</v>
      </c>
      <c r="K270" s="6">
        <v>-0.87704185113410305</v>
      </c>
      <c r="L270" s="6">
        <v>0.69012994917913772</v>
      </c>
      <c r="N270" s="8">
        <f>SQRT((C270-Sheet5!$C$525)^2+(D270-Sheet5!$D$525)^2+(E270-Sheet5!$E$525)^2+(F270-Sheet5!$F$525)^2+(G270-Sheet5!$G$525)^2+(H270-Sheet5!$H$525)^2+(I270-Sheet5!$I$525)^2+(J270-Sheet5!$J$525)^2+(K270-Sheet5!$K$525)^2+(L270-Sheet5!$L$525)^2)</f>
        <v>3.4549583303625933</v>
      </c>
      <c r="O270" s="8">
        <f>SQRT((C270-Sheet5!$C$526)^2+(D270-Sheet5!$D$526)^2+(E270-Sheet5!$E$526)^2+(F270-Sheet5!$F$526)^2+(G270-Sheet5!$G$526)^2+(H270-Sheet5!$H$526)^2+(I270-Sheet5!$I$526)^2+(J270-Sheet5!$J$526)^2+(K270-Sheet5!$K$526)^2+(L270-Sheet5!$L$526)^2)</f>
        <v>3.5018208447901009</v>
      </c>
      <c r="P270" s="12">
        <f t="shared" si="4"/>
        <v>0</v>
      </c>
      <c r="Q270" s="11">
        <f>IF(P270=Sheet1!$M270, 1, 0)</f>
        <v>1</v>
      </c>
    </row>
    <row r="271" spans="1:17" x14ac:dyDescent="0.35">
      <c r="A271" s="6" t="s">
        <v>292</v>
      </c>
      <c r="B271" s="6" t="s">
        <v>297</v>
      </c>
      <c r="C271" s="6">
        <v>-0.85126476834931031</v>
      </c>
      <c r="D271" s="6">
        <v>1.4690062397193213</v>
      </c>
      <c r="E271" s="6">
        <v>1.5657441274812653</v>
      </c>
      <c r="F271" s="6">
        <v>1.3208461940180229</v>
      </c>
      <c r="G271" s="6">
        <v>0.56420709483052189</v>
      </c>
      <c r="H271" s="6">
        <v>0.95541691768588888</v>
      </c>
      <c r="I271" s="6">
        <v>0.82003545892259477</v>
      </c>
      <c r="J271" s="6">
        <v>1.52235826294258</v>
      </c>
      <c r="K271" s="6">
        <v>-0.77375837475214992</v>
      </c>
      <c r="L271" s="6">
        <v>1.770667861118824</v>
      </c>
      <c r="N271" s="8">
        <f>SQRT((C271-Sheet5!$C$525)^2+(D271-Sheet5!$D$525)^2+(E271-Sheet5!$E$525)^2+(F271-Sheet5!$F$525)^2+(G271-Sheet5!$G$525)^2+(H271-Sheet5!$H$525)^2+(I271-Sheet5!$I$525)^2+(J271-Sheet5!$J$525)^2+(K271-Sheet5!$K$525)^2+(L271-Sheet5!$L$525)^2)</f>
        <v>4.893001144417787</v>
      </c>
      <c r="O271" s="8">
        <f>SQRT((C271-Sheet5!$C$526)^2+(D271-Sheet5!$D$526)^2+(E271-Sheet5!$E$526)^2+(F271-Sheet5!$F$526)^2+(G271-Sheet5!$G$526)^2+(H271-Sheet5!$H$526)^2+(I271-Sheet5!$I$526)^2+(J271-Sheet5!$J$526)^2+(K271-Sheet5!$K$526)^2+(L271-Sheet5!$L$526)^2)</f>
        <v>1.6246677972778478</v>
      </c>
      <c r="P271" s="12">
        <f t="shared" si="4"/>
        <v>1</v>
      </c>
      <c r="Q271" s="11">
        <f>IF(P271=Sheet1!$M271, 1, 0)</f>
        <v>0</v>
      </c>
    </row>
    <row r="272" spans="1:17" x14ac:dyDescent="0.35">
      <c r="A272" s="6" t="s">
        <v>292</v>
      </c>
      <c r="B272" s="6" t="s">
        <v>298</v>
      </c>
      <c r="C272" s="6">
        <v>-1.0780664459679656</v>
      </c>
      <c r="D272" s="6">
        <v>1.0086730374661932</v>
      </c>
      <c r="E272" s="6">
        <v>1.0006307975169935</v>
      </c>
      <c r="F272" s="6">
        <v>0.52740448782348504</v>
      </c>
      <c r="G272" s="6">
        <v>-0.86141566599003516</v>
      </c>
      <c r="H272" s="6">
        <v>1.0701460453270053</v>
      </c>
      <c r="I272" s="6">
        <v>0.86593515955360079</v>
      </c>
      <c r="J272" s="6">
        <v>1.9247263991517753</v>
      </c>
      <c r="K272" s="6">
        <v>-1.2667022393023832</v>
      </c>
      <c r="L272" s="6">
        <v>1.1514678380959502</v>
      </c>
      <c r="N272" s="8">
        <f>SQRT((C272-Sheet5!$C$525)^2+(D272-Sheet5!$D$525)^2+(E272-Sheet5!$E$525)^2+(F272-Sheet5!$F$525)^2+(G272-Sheet5!$G$525)^2+(H272-Sheet5!$H$525)^2+(I272-Sheet5!$I$525)^2+(J272-Sheet5!$J$525)^2+(K272-Sheet5!$K$525)^2+(L272-Sheet5!$L$525)^2)</f>
        <v>4.4262299633986473</v>
      </c>
      <c r="O272" s="8">
        <f>SQRT((C272-Sheet5!$C$526)^2+(D272-Sheet5!$D$526)^2+(E272-Sheet5!$E$526)^2+(F272-Sheet5!$F$526)^2+(G272-Sheet5!$G$526)^2+(H272-Sheet5!$H$526)^2+(I272-Sheet5!$I$526)^2+(J272-Sheet5!$J$526)^2+(K272-Sheet5!$K$526)^2+(L272-Sheet5!$L$526)^2)</f>
        <v>2.3133261877063429</v>
      </c>
      <c r="P272" s="12">
        <f t="shared" si="4"/>
        <v>1</v>
      </c>
      <c r="Q272" s="11">
        <f>IF(P272=Sheet1!$M272, 1, 0)</f>
        <v>0</v>
      </c>
    </row>
    <row r="273" spans="1:17" x14ac:dyDescent="0.35">
      <c r="A273" s="6" t="s">
        <v>292</v>
      </c>
      <c r="B273" s="6" t="s">
        <v>299</v>
      </c>
      <c r="C273" s="6">
        <v>-0.73585089689839689</v>
      </c>
      <c r="D273" s="6">
        <v>0.27827768989123008</v>
      </c>
      <c r="E273" s="6">
        <v>1.0890448778243111</v>
      </c>
      <c r="F273" s="6">
        <v>0.38720410867066446</v>
      </c>
      <c r="G273" s="6">
        <v>-0.44621392505858753</v>
      </c>
      <c r="H273" s="6">
        <v>0.7302677376202239</v>
      </c>
      <c r="I273" s="6">
        <v>0.8442603009222921</v>
      </c>
      <c r="J273" s="6">
        <v>1.6514197405945858</v>
      </c>
      <c r="K273" s="6">
        <v>-1.1430750478754994</v>
      </c>
      <c r="L273" s="6">
        <v>2.9462132734870916E-2</v>
      </c>
      <c r="N273" s="8">
        <f>SQRT((C273-Sheet5!$C$525)^2+(D273-Sheet5!$D$525)^2+(E273-Sheet5!$E$525)^2+(F273-Sheet5!$F$525)^2+(G273-Sheet5!$G$525)^2+(H273-Sheet5!$H$525)^2+(I273-Sheet5!$I$525)^2+(J273-Sheet5!$J$525)^2+(K273-Sheet5!$K$525)^2+(L273-Sheet5!$L$525)^2)</f>
        <v>3.5791851241632049</v>
      </c>
      <c r="O273" s="8">
        <f>SQRT((C273-Sheet5!$C$526)^2+(D273-Sheet5!$D$526)^2+(E273-Sheet5!$E$526)^2+(F273-Sheet5!$F$526)^2+(G273-Sheet5!$G$526)^2+(H273-Sheet5!$H$526)^2+(I273-Sheet5!$I$526)^2+(J273-Sheet5!$J$526)^2+(K273-Sheet5!$K$526)^2+(L273-Sheet5!$L$526)^2)</f>
        <v>1.9213535644436968</v>
      </c>
      <c r="P273" s="12">
        <f t="shared" si="4"/>
        <v>1</v>
      </c>
      <c r="Q273" s="11">
        <f>IF(P273=Sheet1!$M273, 1, 0)</f>
        <v>0</v>
      </c>
    </row>
    <row r="274" spans="1:17" x14ac:dyDescent="0.35">
      <c r="A274" s="6" t="s">
        <v>292</v>
      </c>
      <c r="B274" s="6" t="s">
        <v>300</v>
      </c>
      <c r="C274" s="6">
        <v>-1.3021840800645066</v>
      </c>
      <c r="D274" s="6">
        <v>2.0766460666934505</v>
      </c>
      <c r="E274" s="6">
        <v>1.998973120987122</v>
      </c>
      <c r="F274" s="6">
        <v>1.7984518812419181</v>
      </c>
      <c r="G274" s="6">
        <v>0.81681234980280126</v>
      </c>
      <c r="H274" s="6">
        <v>1.1654843344935675</v>
      </c>
      <c r="I274" s="6">
        <v>0.89780995165846611</v>
      </c>
      <c r="J274" s="6">
        <v>1.3439497497177479</v>
      </c>
      <c r="K274" s="6">
        <v>-1.0804790015834054</v>
      </c>
      <c r="L274" s="6">
        <v>0.84416041753347004</v>
      </c>
      <c r="N274" s="8">
        <f>SQRT((C274-Sheet5!$C$525)^2+(D274-Sheet5!$D$525)^2+(E274-Sheet5!$E$525)^2+(F274-Sheet5!$F$525)^2+(G274-Sheet5!$G$525)^2+(H274-Sheet5!$H$525)^2+(I274-Sheet5!$I$525)^2+(J274-Sheet5!$J$525)^2+(K274-Sheet5!$K$525)^2+(L274-Sheet5!$L$525)^2)</f>
        <v>5.4789291056846459</v>
      </c>
      <c r="O274" s="8">
        <f>SQRT((C274-Sheet5!$C$526)^2+(D274-Sheet5!$D$526)^2+(E274-Sheet5!$E$526)^2+(F274-Sheet5!$F$526)^2+(G274-Sheet5!$G$526)^2+(H274-Sheet5!$H$526)^2+(I274-Sheet5!$I$526)^2+(J274-Sheet5!$J$526)^2+(K274-Sheet5!$K$526)^2+(L274-Sheet5!$L$526)^2)</f>
        <v>2.0106982789806915</v>
      </c>
      <c r="P274" s="12">
        <f t="shared" si="4"/>
        <v>1</v>
      </c>
      <c r="Q274" s="11">
        <f>IF(P274=Sheet1!$M274, 1, 0)</f>
        <v>0</v>
      </c>
    </row>
    <row r="275" spans="1:17" x14ac:dyDescent="0.35">
      <c r="A275" s="6" t="s">
        <v>301</v>
      </c>
      <c r="B275" s="6" t="s">
        <v>302</v>
      </c>
      <c r="C275" s="6">
        <v>-0.96802066156128086</v>
      </c>
      <c r="D275" s="6">
        <v>-5.3162215731022769E-2</v>
      </c>
      <c r="E275" s="6">
        <v>0.49740732376784375</v>
      </c>
      <c r="F275" s="6">
        <v>0.43496467739305439</v>
      </c>
      <c r="G275" s="6">
        <v>0.81390884112495754</v>
      </c>
      <c r="H275" s="6">
        <v>1.0254393899551149</v>
      </c>
      <c r="I275" s="6">
        <v>0.44455040792728123</v>
      </c>
      <c r="J275" s="6">
        <v>-0.36042094045139028</v>
      </c>
      <c r="K275" s="6">
        <v>1.8458861625719505</v>
      </c>
      <c r="L275" s="6">
        <v>-0.27312455994665846</v>
      </c>
      <c r="N275" s="8">
        <f>SQRT((C275-Sheet5!$C$525)^2+(D275-Sheet5!$D$525)^2+(E275-Sheet5!$E$525)^2+(F275-Sheet5!$F$525)^2+(G275-Sheet5!$G$525)^2+(H275-Sheet5!$H$525)^2+(I275-Sheet5!$I$525)^2+(J275-Sheet5!$J$525)^2+(K275-Sheet5!$K$525)^2+(L275-Sheet5!$L$525)^2)</f>
        <v>3.0620396163519135</v>
      </c>
      <c r="O275" s="8">
        <f>SQRT((C275-Sheet5!$C$526)^2+(D275-Sheet5!$D$526)^2+(E275-Sheet5!$E$526)^2+(F275-Sheet5!$F$526)^2+(G275-Sheet5!$G$526)^2+(H275-Sheet5!$H$526)^2+(I275-Sheet5!$I$526)^2+(J275-Sheet5!$J$526)^2+(K275-Sheet5!$K$526)^2+(L275-Sheet5!$L$526)^2)</f>
        <v>3.2031209570200478</v>
      </c>
      <c r="P275" s="12">
        <f t="shared" si="4"/>
        <v>0</v>
      </c>
      <c r="Q275" s="11">
        <f>IF(P275=Sheet1!$M275, 1, 0)</f>
        <v>1</v>
      </c>
    </row>
    <row r="276" spans="1:17" x14ac:dyDescent="0.35">
      <c r="A276" s="6" t="s">
        <v>301</v>
      </c>
      <c r="B276" s="6" t="s">
        <v>303</v>
      </c>
      <c r="C276" s="6">
        <v>-0.95996853099493795</v>
      </c>
      <c r="D276" s="6">
        <v>0.43172209064227285</v>
      </c>
      <c r="E276" s="6">
        <v>1.4740145191624234</v>
      </c>
      <c r="F276" s="6">
        <v>1.0050101750473823</v>
      </c>
      <c r="G276" s="6">
        <v>1.1884614605666131</v>
      </c>
      <c r="H276" s="6">
        <v>1.1385526143900191</v>
      </c>
      <c r="I276" s="6">
        <v>0.82959789655405469</v>
      </c>
      <c r="J276" s="6">
        <v>-0.42495167927739341</v>
      </c>
      <c r="K276" s="6">
        <v>0.86312823578608755</v>
      </c>
      <c r="L276" s="6">
        <v>-0.15561563720137889</v>
      </c>
      <c r="N276" s="8">
        <f>SQRT((C276-Sheet5!$C$525)^2+(D276-Sheet5!$D$525)^2+(E276-Sheet5!$E$525)^2+(F276-Sheet5!$F$525)^2+(G276-Sheet5!$G$525)^2+(H276-Sheet5!$H$525)^2+(I276-Sheet5!$I$525)^2+(J276-Sheet5!$J$525)^2+(K276-Sheet5!$K$525)^2+(L276-Sheet5!$L$525)^2)</f>
        <v>3.7115558300050022</v>
      </c>
      <c r="O276" s="8">
        <f>SQRT((C276-Sheet5!$C$526)^2+(D276-Sheet5!$D$526)^2+(E276-Sheet5!$E$526)^2+(F276-Sheet5!$F$526)^2+(G276-Sheet5!$G$526)^2+(H276-Sheet5!$H$526)^2+(I276-Sheet5!$I$526)^2+(J276-Sheet5!$J$526)^2+(K276-Sheet5!$K$526)^2+(L276-Sheet5!$L$526)^2)</f>
        <v>2.3402005880029018</v>
      </c>
      <c r="P276" s="12">
        <f t="shared" si="4"/>
        <v>1</v>
      </c>
      <c r="Q276" s="11">
        <f>IF(P276=Sheet1!$M276, 1, 0)</f>
        <v>0</v>
      </c>
    </row>
    <row r="277" spans="1:17" x14ac:dyDescent="0.35">
      <c r="A277" s="6" t="s">
        <v>301</v>
      </c>
      <c r="B277" s="6" t="s">
        <v>304</v>
      </c>
      <c r="C277" s="6">
        <v>-1.2954739712592209</v>
      </c>
      <c r="D277" s="6">
        <v>1.3401129430884449</v>
      </c>
      <c r="E277" s="6">
        <v>2.5795589150051748</v>
      </c>
      <c r="F277" s="6">
        <v>1.8338871419069174</v>
      </c>
      <c r="G277" s="6">
        <v>1.6036632014980607</v>
      </c>
      <c r="H277" s="6">
        <v>1.2058819146488902</v>
      </c>
      <c r="I277" s="6">
        <v>0.94753462734205607</v>
      </c>
      <c r="J277" s="6">
        <v>0.71003013889760069</v>
      </c>
      <c r="K277" s="6">
        <v>0.47816255108971334</v>
      </c>
      <c r="L277" s="6">
        <v>0.14805042943510158</v>
      </c>
      <c r="N277" s="8">
        <f>SQRT((C277-Sheet5!$C$525)^2+(D277-Sheet5!$D$525)^2+(E277-Sheet5!$E$525)^2+(F277-Sheet5!$F$525)^2+(G277-Sheet5!$G$525)^2+(H277-Sheet5!$H$525)^2+(I277-Sheet5!$I$525)^2+(J277-Sheet5!$J$525)^2+(K277-Sheet5!$K$525)^2+(L277-Sheet5!$L$525)^2)</f>
        <v>5.3335360159211067</v>
      </c>
      <c r="O277" s="8">
        <f>SQRT((C277-Sheet5!$C$526)^2+(D277-Sheet5!$D$526)^2+(E277-Sheet5!$E$526)^2+(F277-Sheet5!$F$526)^2+(G277-Sheet5!$G$526)^2+(H277-Sheet5!$H$526)^2+(I277-Sheet5!$I$526)^2+(J277-Sheet5!$J$526)^2+(K277-Sheet5!$K$526)^2+(L277-Sheet5!$L$526)^2)</f>
        <v>2.4229692818204547</v>
      </c>
      <c r="P277" s="12">
        <f t="shared" si="4"/>
        <v>1</v>
      </c>
      <c r="Q277" s="11">
        <f>IF(P277=Sheet1!$M277, 1, 0)</f>
        <v>0</v>
      </c>
    </row>
    <row r="278" spans="1:17" x14ac:dyDescent="0.35">
      <c r="A278" s="6" t="s">
        <v>301</v>
      </c>
      <c r="B278" s="6" t="s">
        <v>305</v>
      </c>
      <c r="C278" s="6">
        <v>-0.99620311854348065</v>
      </c>
      <c r="D278" s="6">
        <v>0.52378873109289759</v>
      </c>
      <c r="E278" s="6">
        <v>1.4979599992456551</v>
      </c>
      <c r="F278" s="6">
        <v>1.1975931134441147</v>
      </c>
      <c r="G278" s="6">
        <v>1.1971719866001402</v>
      </c>
      <c r="H278" s="6">
        <v>0.8767762949835276</v>
      </c>
      <c r="I278" s="6">
        <v>0.86529766371150318</v>
      </c>
      <c r="J278" s="6">
        <v>0.69864236145771796</v>
      </c>
      <c r="K278" s="6">
        <v>6.5028645561898399E-2</v>
      </c>
      <c r="L278" s="6">
        <v>-9.8404325160059633E-2</v>
      </c>
      <c r="N278" s="8">
        <f>SQRT((C278-Sheet5!$C$525)^2+(D278-Sheet5!$D$525)^2+(E278-Sheet5!$E$525)^2+(F278-Sheet5!$F$525)^2+(G278-Sheet5!$G$525)^2+(H278-Sheet5!$H$525)^2+(I278-Sheet5!$I$525)^2+(J278-Sheet5!$J$525)^2+(K278-Sheet5!$K$525)^2+(L278-Sheet5!$L$525)^2)</f>
        <v>3.8725180959608627</v>
      </c>
      <c r="O278" s="8">
        <f>SQRT((C278-Sheet5!$C$526)^2+(D278-Sheet5!$D$526)^2+(E278-Sheet5!$E$526)^2+(F278-Sheet5!$F$526)^2+(G278-Sheet5!$G$526)^2+(H278-Sheet5!$H$526)^2+(I278-Sheet5!$I$526)^2+(J278-Sheet5!$J$526)^2+(K278-Sheet5!$K$526)^2+(L278-Sheet5!$L$526)^2)</f>
        <v>1.2879033875552421</v>
      </c>
      <c r="P278" s="12">
        <f t="shared" si="4"/>
        <v>1</v>
      </c>
      <c r="Q278" s="11">
        <f>IF(P278=Sheet1!$M278, 1, 0)</f>
        <v>0</v>
      </c>
    </row>
    <row r="279" spans="1:17" x14ac:dyDescent="0.35">
      <c r="A279" s="6" t="s">
        <v>301</v>
      </c>
      <c r="B279" s="6" t="s">
        <v>306</v>
      </c>
      <c r="C279" s="6">
        <v>-0.89018339941996716</v>
      </c>
      <c r="D279" s="6">
        <v>-0.1820555123618981</v>
      </c>
      <c r="E279" s="6">
        <v>0.35447122727101354</v>
      </c>
      <c r="F279" s="6">
        <v>0.28089832667566861</v>
      </c>
      <c r="G279" s="6">
        <v>0.50904042995151932</v>
      </c>
      <c r="H279" s="6">
        <v>1.007664454686773</v>
      </c>
      <c r="I279" s="6">
        <v>0.94498464397366644</v>
      </c>
      <c r="J279" s="6">
        <v>0.11027386039710205</v>
      </c>
      <c r="K279" s="6">
        <v>0.52667448696608588</v>
      </c>
      <c r="L279" s="6">
        <v>-0.3420137215473979</v>
      </c>
      <c r="N279" s="8">
        <f>SQRT((C279-Sheet5!$C$525)^2+(D279-Sheet5!$D$525)^2+(E279-Sheet5!$E$525)^2+(F279-Sheet5!$F$525)^2+(G279-Sheet5!$G$525)^2+(H279-Sheet5!$H$525)^2+(I279-Sheet5!$I$525)^2+(J279-Sheet5!$J$525)^2+(K279-Sheet5!$K$525)^2+(L279-Sheet5!$L$525)^2)</f>
        <v>2.5865657249186063</v>
      </c>
      <c r="O279" s="8">
        <f>SQRT((C279-Sheet5!$C$526)^2+(D279-Sheet5!$D$526)^2+(E279-Sheet5!$E$526)^2+(F279-Sheet5!$F$526)^2+(G279-Sheet5!$G$526)^2+(H279-Sheet5!$H$526)^2+(I279-Sheet5!$I$526)^2+(J279-Sheet5!$J$526)^2+(K279-Sheet5!$K$526)^2+(L279-Sheet5!$L$526)^2)</f>
        <v>2.3388024985528424</v>
      </c>
      <c r="P279" s="12">
        <f t="shared" si="4"/>
        <v>1</v>
      </c>
      <c r="Q279" s="11">
        <f>IF(P279=Sheet1!$M279, 1, 0)</f>
        <v>0</v>
      </c>
    </row>
    <row r="280" spans="1:17" x14ac:dyDescent="0.35">
      <c r="A280" s="6" t="s">
        <v>301</v>
      </c>
      <c r="B280" s="6" t="s">
        <v>307</v>
      </c>
      <c r="C280" s="6">
        <v>-0.96399459627810935</v>
      </c>
      <c r="D280" s="6">
        <v>-0.77128201124590268</v>
      </c>
      <c r="E280" s="6">
        <v>0.32278951516089138</v>
      </c>
      <c r="F280" s="6">
        <v>-8.5779588031708959E-2</v>
      </c>
      <c r="G280" s="6">
        <v>0.2796632444019817</v>
      </c>
      <c r="H280" s="6">
        <v>0.52827983684361013</v>
      </c>
      <c r="I280" s="6">
        <v>0.38398830292803693</v>
      </c>
      <c r="J280" s="6">
        <v>-1.2372798033223726</v>
      </c>
      <c r="K280" s="6">
        <v>1.9757729586280435</v>
      </c>
      <c r="L280" s="6">
        <v>-0.36732139147607279</v>
      </c>
      <c r="N280" s="8">
        <f>SQRT((C280-Sheet5!$C$525)^2+(D280-Sheet5!$D$525)^2+(E280-Sheet5!$E$525)^2+(F280-Sheet5!$F$525)^2+(G280-Sheet5!$G$525)^2+(H280-Sheet5!$H$525)^2+(I280-Sheet5!$I$525)^2+(J280-Sheet5!$J$525)^2+(K280-Sheet5!$K$525)^2+(L280-Sheet5!$L$525)^2)</f>
        <v>2.7491234958426687</v>
      </c>
      <c r="O280" s="8">
        <f>SQRT((C280-Sheet5!$C$526)^2+(D280-Sheet5!$D$526)^2+(E280-Sheet5!$E$526)^2+(F280-Sheet5!$F$526)^2+(G280-Sheet5!$G$526)^2+(H280-Sheet5!$H$526)^2+(I280-Sheet5!$I$526)^2+(J280-Sheet5!$J$526)^2+(K280-Sheet5!$K$526)^2+(L280-Sheet5!$L$526)^2)</f>
        <v>4.1843490239814738</v>
      </c>
      <c r="P280" s="12">
        <f t="shared" si="4"/>
        <v>0</v>
      </c>
      <c r="Q280" s="11">
        <f>IF(P280=Sheet1!$M280, 1, 0)</f>
        <v>1</v>
      </c>
    </row>
    <row r="281" spans="1:17" x14ac:dyDescent="0.35">
      <c r="A281" s="6" t="s">
        <v>301</v>
      </c>
      <c r="B281" s="6" t="s">
        <v>308</v>
      </c>
      <c r="C281" s="6">
        <v>-0.73719291865945402</v>
      </c>
      <c r="D281" s="6">
        <v>-1.2929929737994477</v>
      </c>
      <c r="E281" s="6">
        <v>-5.5180678152891585E-2</v>
      </c>
      <c r="F281" s="6">
        <v>-0.39545295297365524</v>
      </c>
      <c r="G281" s="6">
        <v>0.2622421923349274</v>
      </c>
      <c r="H281" s="6">
        <v>0.5471320409160938</v>
      </c>
      <c r="I281" s="6">
        <v>0.84872277181697375</v>
      </c>
      <c r="J281" s="6">
        <v>-1.0398916610310691</v>
      </c>
      <c r="K281" s="6">
        <v>1.8286722498416248</v>
      </c>
      <c r="L281" s="6">
        <v>-0.23806685662736335</v>
      </c>
      <c r="N281" s="8">
        <f>SQRT((C281-Sheet5!$C$525)^2+(D281-Sheet5!$D$525)^2+(E281-Sheet5!$E$525)^2+(F281-Sheet5!$F$525)^2+(G281-Sheet5!$G$525)^2+(H281-Sheet5!$H$525)^2+(I281-Sheet5!$I$525)^2+(J281-Sheet5!$J$525)^2+(K281-Sheet5!$K$525)^2+(L281-Sheet5!$L$525)^2)</f>
        <v>2.6908603946392837</v>
      </c>
      <c r="O281" s="8">
        <f>SQRT((C281-Sheet5!$C$526)^2+(D281-Sheet5!$D$526)^2+(E281-Sheet5!$E$526)^2+(F281-Sheet5!$F$526)^2+(G281-Sheet5!$G$526)^2+(H281-Sheet5!$H$526)^2+(I281-Sheet5!$I$526)^2+(J281-Sheet5!$J$526)^2+(K281-Sheet5!$K$526)^2+(L281-Sheet5!$L$526)^2)</f>
        <v>4.3700177850653734</v>
      </c>
      <c r="P281" s="12">
        <f t="shared" si="4"/>
        <v>0</v>
      </c>
      <c r="Q281" s="11">
        <f>IF(P281=Sheet1!$M281, 1, 0)</f>
        <v>1</v>
      </c>
    </row>
    <row r="282" spans="1:17" x14ac:dyDescent="0.35">
      <c r="A282" s="6" t="s">
        <v>301</v>
      </c>
      <c r="B282" s="6" t="s">
        <v>309</v>
      </c>
      <c r="C282" s="6">
        <v>-0.82576635488922479</v>
      </c>
      <c r="D282" s="6">
        <v>-0.72831757903561056</v>
      </c>
      <c r="E282" s="6">
        <v>1.1188846299280308</v>
      </c>
      <c r="F282" s="6">
        <v>0.40569207075675146</v>
      </c>
      <c r="G282" s="6">
        <v>0.66582989855500407</v>
      </c>
      <c r="H282" s="6">
        <v>0.91286479992228275</v>
      </c>
      <c r="I282" s="6">
        <v>0.52551237987363886</v>
      </c>
      <c r="J282" s="6">
        <v>0.12166163783698503</v>
      </c>
      <c r="K282" s="6">
        <v>0.56579701589864417</v>
      </c>
      <c r="L282" s="6">
        <v>-3.4757709884394076E-3</v>
      </c>
      <c r="N282" s="8">
        <f>SQRT((C282-Sheet5!$C$525)^2+(D282-Sheet5!$D$525)^2+(E282-Sheet5!$E$525)^2+(F282-Sheet5!$F$525)^2+(G282-Sheet5!$G$525)^2+(H282-Sheet5!$H$525)^2+(I282-Sheet5!$I$525)^2+(J282-Sheet5!$J$525)^2+(K282-Sheet5!$K$525)^2+(L282-Sheet5!$L$525)^2)</f>
        <v>2.8087032007412489</v>
      </c>
      <c r="O282" s="8">
        <f>SQRT((C282-Sheet5!$C$526)^2+(D282-Sheet5!$D$526)^2+(E282-Sheet5!$E$526)^2+(F282-Sheet5!$F$526)^2+(G282-Sheet5!$G$526)^2+(H282-Sheet5!$H$526)^2+(I282-Sheet5!$I$526)^2+(J282-Sheet5!$J$526)^2+(K282-Sheet5!$K$526)^2+(L282-Sheet5!$L$526)^2)</f>
        <v>2.3836261367239575</v>
      </c>
      <c r="P282" s="12">
        <f t="shared" si="4"/>
        <v>1</v>
      </c>
      <c r="Q282" s="11">
        <f>IF(P282=Sheet1!$M282, 1, 0)</f>
        <v>0</v>
      </c>
    </row>
    <row r="283" spans="1:17" x14ac:dyDescent="0.35">
      <c r="A283" s="6" t="s">
        <v>301</v>
      </c>
      <c r="B283" s="6" t="s">
        <v>310</v>
      </c>
      <c r="C283" s="6">
        <v>-1.2498452313832784</v>
      </c>
      <c r="D283" s="6">
        <v>1.8679616816720328</v>
      </c>
      <c r="E283" s="6">
        <v>3.4161771499131679</v>
      </c>
      <c r="F283" s="6">
        <v>2.1728331134851668</v>
      </c>
      <c r="G283" s="6">
        <v>1.5310754845520038</v>
      </c>
      <c r="H283" s="6">
        <v>1.2263500219275869</v>
      </c>
      <c r="I283" s="6">
        <v>0.94753462734205607</v>
      </c>
      <c r="J283" s="6">
        <v>0.74419347121724921</v>
      </c>
      <c r="K283" s="6">
        <v>-0.12432439447168243</v>
      </c>
      <c r="L283" s="6">
        <v>0.21904202687170493</v>
      </c>
      <c r="N283" s="8">
        <f>SQRT((C283-Sheet5!$C$525)^2+(D283-Sheet5!$D$525)^2+(E283-Sheet5!$E$525)^2+(F283-Sheet5!$F$525)^2+(G283-Sheet5!$G$525)^2+(H283-Sheet5!$H$525)^2+(I283-Sheet5!$I$525)^2+(J283-Sheet5!$J$525)^2+(K283-Sheet5!$K$525)^2+(L283-Sheet5!$L$525)^2)</f>
        <v>6.1441551438024771</v>
      </c>
      <c r="O283" s="8">
        <f>SQRT((C283-Sheet5!$C$526)^2+(D283-Sheet5!$D$526)^2+(E283-Sheet5!$E$526)^2+(F283-Sheet5!$F$526)^2+(G283-Sheet5!$G$526)^2+(H283-Sheet5!$H$526)^2+(I283-Sheet5!$I$526)^2+(J283-Sheet5!$J$526)^2+(K283-Sheet5!$K$526)^2+(L283-Sheet5!$L$526)^2)</f>
        <v>3.069443244047664</v>
      </c>
      <c r="P283" s="12">
        <f t="shared" si="4"/>
        <v>1</v>
      </c>
      <c r="Q283" s="11">
        <f>IF(P283=Sheet1!$M283, 1, 0)</f>
        <v>0</v>
      </c>
    </row>
    <row r="284" spans="1:17" x14ac:dyDescent="0.35">
      <c r="A284" s="6" t="s">
        <v>311</v>
      </c>
      <c r="B284" s="6" t="s">
        <v>312</v>
      </c>
      <c r="C284" s="6">
        <v>0.29482181559348081</v>
      </c>
      <c r="D284" s="6">
        <v>-1.2377529895290724</v>
      </c>
      <c r="E284" s="6">
        <v>0.37178565133119662</v>
      </c>
      <c r="F284" s="6">
        <v>-0.20287001457692297</v>
      </c>
      <c r="G284" s="6">
        <v>-0.71624023209792131</v>
      </c>
      <c r="H284" s="6">
        <v>-0.16709717623001263</v>
      </c>
      <c r="I284" s="6">
        <v>0.42223805345387583</v>
      </c>
      <c r="J284" s="6">
        <v>-0.6602990797016397</v>
      </c>
      <c r="K284" s="6">
        <v>0.15892271500003949</v>
      </c>
      <c r="L284" s="6">
        <v>-0.24011906083948406</v>
      </c>
      <c r="N284" s="8">
        <f>SQRT((C284-Sheet5!$C$525)^2+(D284-Sheet5!$D$525)^2+(E284-Sheet5!$E$525)^2+(F284-Sheet5!$F$525)^2+(G284-Sheet5!$G$525)^2+(H284-Sheet5!$H$525)^2+(I284-Sheet5!$I$525)^2+(J284-Sheet5!$J$525)^2+(K284-Sheet5!$K$525)^2+(L284-Sheet5!$L$525)^2)</f>
        <v>1.4577856153863327</v>
      </c>
      <c r="O284" s="8">
        <f>SQRT((C284-Sheet5!$C$526)^2+(D284-Sheet5!$D$526)^2+(E284-Sheet5!$E$526)^2+(F284-Sheet5!$F$526)^2+(G284-Sheet5!$G$526)^2+(H284-Sheet5!$H$526)^2+(I284-Sheet5!$I$526)^2+(J284-Sheet5!$J$526)^2+(K284-Sheet5!$K$526)^2+(L284-Sheet5!$L$526)^2)</f>
        <v>3.8333775938984704</v>
      </c>
      <c r="P284" s="12">
        <f t="shared" si="4"/>
        <v>0</v>
      </c>
      <c r="Q284" s="11">
        <f>IF(P284=Sheet1!$M284, 1, 0)</f>
        <v>1</v>
      </c>
    </row>
    <row r="285" spans="1:17" x14ac:dyDescent="0.35">
      <c r="A285" s="6" t="s">
        <v>311</v>
      </c>
      <c r="B285" s="6" t="s">
        <v>313</v>
      </c>
      <c r="C285" s="6">
        <v>0.15659357420459602</v>
      </c>
      <c r="D285" s="6">
        <v>-1.3175440779196146</v>
      </c>
      <c r="E285" s="6">
        <v>-0.13364817442563601</v>
      </c>
      <c r="F285" s="6">
        <v>-0.49405541743278225</v>
      </c>
      <c r="G285" s="6">
        <v>-0.95142443500314633</v>
      </c>
      <c r="H285" s="6">
        <v>0.10437456241375656</v>
      </c>
      <c r="I285" s="6">
        <v>0.47068773745327058</v>
      </c>
      <c r="J285" s="6">
        <v>-1.0360957352177749</v>
      </c>
      <c r="K285" s="6">
        <v>0.87408254388720275</v>
      </c>
      <c r="L285" s="6">
        <v>-0.20741256944269451</v>
      </c>
      <c r="N285" s="8">
        <f>SQRT((C285-Sheet5!$C$525)^2+(D285-Sheet5!$D$525)^2+(E285-Sheet5!$E$525)^2+(F285-Sheet5!$F$525)^2+(G285-Sheet5!$G$525)^2+(H285-Sheet5!$H$525)^2+(I285-Sheet5!$I$525)^2+(J285-Sheet5!$J$525)^2+(K285-Sheet5!$K$525)^2+(L285-Sheet5!$L$525)^2)</f>
        <v>1.6900554216532484</v>
      </c>
      <c r="O285" s="8">
        <f>SQRT((C285-Sheet5!$C$526)^2+(D285-Sheet5!$D$526)^2+(E285-Sheet5!$E$526)^2+(F285-Sheet5!$F$526)^2+(G285-Sheet5!$G$526)^2+(H285-Sheet5!$H$526)^2+(I285-Sheet5!$I$526)^2+(J285-Sheet5!$J$526)^2+(K285-Sheet5!$K$526)^2+(L285-Sheet5!$L$526)^2)</f>
        <v>4.451662607487731</v>
      </c>
      <c r="P285" s="12">
        <f t="shared" si="4"/>
        <v>0</v>
      </c>
      <c r="Q285" s="11">
        <f>IF(P285=Sheet1!$M285, 1, 0)</f>
        <v>1</v>
      </c>
    </row>
    <row r="286" spans="1:17" x14ac:dyDescent="0.35">
      <c r="A286" s="6" t="s">
        <v>311</v>
      </c>
      <c r="B286" s="6" t="s">
        <v>314</v>
      </c>
      <c r="C286" s="6">
        <v>0.41694579584967983</v>
      </c>
      <c r="D286" s="6">
        <v>-1.0597574846578628</v>
      </c>
      <c r="E286" s="6">
        <v>-0.32226487908124701</v>
      </c>
      <c r="F286" s="6">
        <v>-0.50329939847582572</v>
      </c>
      <c r="G286" s="6">
        <v>-1.0153016259156762</v>
      </c>
      <c r="H286" s="6">
        <v>0.39523713953208062</v>
      </c>
      <c r="I286" s="6">
        <v>0.62878670629340283</v>
      </c>
      <c r="J286" s="6">
        <v>-0.86148314780623725</v>
      </c>
      <c r="K286" s="6">
        <v>2.4325992698065704E-3</v>
      </c>
      <c r="L286" s="6">
        <v>-0.15782578685604323</v>
      </c>
      <c r="N286" s="8">
        <f>SQRT((C286-Sheet5!$C$525)^2+(D286-Sheet5!$D$525)^2+(E286-Sheet5!$E$525)^2+(F286-Sheet5!$F$525)^2+(G286-Sheet5!$G$525)^2+(H286-Sheet5!$H$525)^2+(I286-Sheet5!$I$525)^2+(J286-Sheet5!$J$525)^2+(K286-Sheet5!$K$525)^2+(L286-Sheet5!$L$525)^2)</f>
        <v>1.571528492799305</v>
      </c>
      <c r="O286" s="8">
        <f>SQRT((C286-Sheet5!$C$526)^2+(D286-Sheet5!$D$526)^2+(E286-Sheet5!$E$526)^2+(F286-Sheet5!$F$526)^2+(G286-Sheet5!$G$526)^2+(H286-Sheet5!$H$526)^2+(I286-Sheet5!$I$526)^2+(J286-Sheet5!$J$526)^2+(K286-Sheet5!$K$526)^2+(L286-Sheet5!$L$526)^2)</f>
        <v>4.145722955359008</v>
      </c>
      <c r="P286" s="12">
        <f t="shared" si="4"/>
        <v>0</v>
      </c>
      <c r="Q286" s="11">
        <f>IF(P286=Sheet1!$M286, 1, 0)</f>
        <v>1</v>
      </c>
    </row>
    <row r="287" spans="1:17" x14ac:dyDescent="0.35">
      <c r="A287" s="6" t="s">
        <v>311</v>
      </c>
      <c r="B287" s="6" t="s">
        <v>315</v>
      </c>
      <c r="C287" s="6">
        <v>0.21966859697428132</v>
      </c>
      <c r="D287" s="6">
        <v>-0.17591773633185653</v>
      </c>
      <c r="E287" s="6">
        <v>-0.42651981544362572</v>
      </c>
      <c r="F287" s="6">
        <v>-0.29530982500735359</v>
      </c>
      <c r="G287" s="6">
        <v>-0.55945076349443645</v>
      </c>
      <c r="H287" s="6">
        <v>0.58214327705070712</v>
      </c>
      <c r="I287" s="6">
        <v>0.74863592460769612</v>
      </c>
      <c r="J287" s="6">
        <v>-0.63372759900857956</v>
      </c>
      <c r="K287" s="6">
        <v>-0.40757150394340436</v>
      </c>
      <c r="L287" s="6">
        <v>-0.24537169230363243</v>
      </c>
      <c r="N287" s="8">
        <f>SQRT((C287-Sheet5!$C$525)^2+(D287-Sheet5!$D$525)^2+(E287-Sheet5!$E$525)^2+(F287-Sheet5!$F$525)^2+(G287-Sheet5!$G$525)^2+(H287-Sheet5!$H$525)^2+(I287-Sheet5!$I$525)^2+(J287-Sheet5!$J$525)^2+(K287-Sheet5!$K$525)^2+(L287-Sheet5!$L$525)^2)</f>
        <v>1.5264396605466137</v>
      </c>
      <c r="O287" s="8">
        <f>SQRT((C287-Sheet5!$C$526)^2+(D287-Sheet5!$D$526)^2+(E287-Sheet5!$E$526)^2+(F287-Sheet5!$F$526)^2+(G287-Sheet5!$G$526)^2+(H287-Sheet5!$H$526)^2+(I287-Sheet5!$I$526)^2+(J287-Sheet5!$J$526)^2+(K287-Sheet5!$K$526)^2+(L287-Sheet5!$L$526)^2)</f>
        <v>3.3567962902048598</v>
      </c>
      <c r="P287" s="12">
        <f t="shared" si="4"/>
        <v>0</v>
      </c>
      <c r="Q287" s="11">
        <f>IF(P287=Sheet1!$M287, 1, 0)</f>
        <v>1</v>
      </c>
    </row>
    <row r="288" spans="1:17" x14ac:dyDescent="0.35">
      <c r="A288" s="6" t="s">
        <v>311</v>
      </c>
      <c r="B288" s="6" t="s">
        <v>316</v>
      </c>
      <c r="C288" s="6">
        <v>4.3863746275796929E-2</v>
      </c>
      <c r="D288" s="6">
        <v>0.17393549738052108</v>
      </c>
      <c r="E288" s="6">
        <v>-0.52524887178679713</v>
      </c>
      <c r="F288" s="6">
        <v>-0.22752063069170417</v>
      </c>
      <c r="G288" s="6">
        <v>-0.77431040565476761</v>
      </c>
      <c r="H288" s="6">
        <v>0.3510691185622607</v>
      </c>
      <c r="I288" s="6">
        <v>0.72887355350267946</v>
      </c>
      <c r="J288" s="6">
        <v>-0.77417685410046855</v>
      </c>
      <c r="K288" s="6">
        <v>-0.29802842293224086</v>
      </c>
      <c r="L288" s="6">
        <v>-0.35489938673862004</v>
      </c>
      <c r="N288" s="8">
        <f>SQRT((C288-Sheet5!$C$525)^2+(D288-Sheet5!$D$525)^2+(E288-Sheet5!$E$525)^2+(F288-Sheet5!$F$525)^2+(G288-Sheet5!$G$525)^2+(H288-Sheet5!$H$525)^2+(I288-Sheet5!$I$525)^2+(J288-Sheet5!$J$525)^2+(K288-Sheet5!$K$525)^2+(L288-Sheet5!$L$525)^2)</f>
        <v>1.5487015628397744</v>
      </c>
      <c r="O288" s="8">
        <f>SQRT((C288-Sheet5!$C$526)^2+(D288-Sheet5!$D$526)^2+(E288-Sheet5!$E$526)^2+(F288-Sheet5!$F$526)^2+(G288-Sheet5!$G$526)^2+(H288-Sheet5!$H$526)^2+(I288-Sheet5!$I$526)^2+(J288-Sheet5!$J$526)^2+(K288-Sheet5!$K$526)^2+(L288-Sheet5!$L$526)^2)</f>
        <v>3.4534495751263989</v>
      </c>
      <c r="P288" s="12">
        <f t="shared" si="4"/>
        <v>0</v>
      </c>
      <c r="Q288" s="11">
        <f>IF(P288=Sheet1!$M288, 1, 0)</f>
        <v>1</v>
      </c>
    </row>
    <row r="289" spans="1:17" x14ac:dyDescent="0.35">
      <c r="A289" s="6" t="s">
        <v>311</v>
      </c>
      <c r="B289" s="6" t="s">
        <v>317</v>
      </c>
      <c r="C289" s="6">
        <v>0.34984470779682325</v>
      </c>
      <c r="D289" s="6">
        <v>-0.32322436105285768</v>
      </c>
      <c r="E289" s="6">
        <v>-0.67407924030411515</v>
      </c>
      <c r="F289" s="6">
        <v>-0.50329939847582572</v>
      </c>
      <c r="G289" s="6">
        <v>-0.91658233086903773</v>
      </c>
      <c r="H289" s="6">
        <v>0.20671509880724115</v>
      </c>
      <c r="I289" s="6">
        <v>0.71803612418702611</v>
      </c>
      <c r="J289" s="6">
        <v>-1.3207901712148469</v>
      </c>
      <c r="K289" s="6">
        <v>0.34201615040441224</v>
      </c>
      <c r="L289" s="6">
        <v>-0.28999252307578455</v>
      </c>
      <c r="N289" s="8">
        <f>SQRT((C289-Sheet5!$C$525)^2+(D289-Sheet5!$D$525)^2+(E289-Sheet5!$E$525)^2+(F289-Sheet5!$F$525)^2+(G289-Sheet5!$G$525)^2+(H289-Sheet5!$H$525)^2+(I289-Sheet5!$I$525)^2+(J289-Sheet5!$J$525)^2+(K289-Sheet5!$K$525)^2+(L289-Sheet5!$L$525)^2)</f>
        <v>1.5709162854194694</v>
      </c>
      <c r="O289" s="8">
        <f>SQRT((C289-Sheet5!$C$526)^2+(D289-Sheet5!$D$526)^2+(E289-Sheet5!$E$526)^2+(F289-Sheet5!$F$526)^2+(G289-Sheet5!$G$526)^2+(H289-Sheet5!$H$526)^2+(I289-Sheet5!$I$526)^2+(J289-Sheet5!$J$526)^2+(K289-Sheet5!$K$526)^2+(L289-Sheet5!$L$526)^2)</f>
        <v>4.2591376701094692</v>
      </c>
      <c r="P289" s="12">
        <f t="shared" si="4"/>
        <v>0</v>
      </c>
      <c r="Q289" s="11">
        <f>IF(P289=Sheet1!$M289, 1, 0)</f>
        <v>1</v>
      </c>
    </row>
    <row r="290" spans="1:17" x14ac:dyDescent="0.35">
      <c r="A290" s="6" t="s">
        <v>311</v>
      </c>
      <c r="B290" s="6" t="s">
        <v>318</v>
      </c>
      <c r="C290" s="6">
        <v>0.17001379181516729</v>
      </c>
      <c r="D290" s="6">
        <v>0.17393549738052108</v>
      </c>
      <c r="E290" s="6">
        <v>0.4506215396052215</v>
      </c>
      <c r="F290" s="6">
        <v>0.29630496174740628</v>
      </c>
      <c r="G290" s="6">
        <v>-0.39104726017958491</v>
      </c>
      <c r="H290" s="6">
        <v>0.84715140286962443</v>
      </c>
      <c r="I290" s="6">
        <v>0.65492403581939218</v>
      </c>
      <c r="J290" s="6">
        <v>0.17480459922310504</v>
      </c>
      <c r="K290" s="6">
        <v>0.24342737749436399</v>
      </c>
      <c r="L290" s="6">
        <v>-0.11592692920926659</v>
      </c>
      <c r="N290" s="8">
        <f>SQRT((C290-Sheet5!$C$525)^2+(D290-Sheet5!$D$525)^2+(E290-Sheet5!$E$525)^2+(F290-Sheet5!$F$525)^2+(G290-Sheet5!$G$525)^2+(H290-Sheet5!$H$525)^2+(I290-Sheet5!$I$525)^2+(J290-Sheet5!$J$525)^2+(K290-Sheet5!$K$525)^2+(L290-Sheet5!$L$525)^2)</f>
        <v>2.0161822939151142</v>
      </c>
      <c r="O290" s="8">
        <f>SQRT((C290-Sheet5!$C$526)^2+(D290-Sheet5!$D$526)^2+(E290-Sheet5!$E$526)^2+(F290-Sheet5!$F$526)^2+(G290-Sheet5!$G$526)^2+(H290-Sheet5!$H$526)^2+(I290-Sheet5!$I$526)^2+(J290-Sheet5!$J$526)^2+(K290-Sheet5!$K$526)^2+(L290-Sheet5!$L$526)^2)</f>
        <v>2.3483099161553533</v>
      </c>
      <c r="P290" s="12">
        <f t="shared" si="4"/>
        <v>0</v>
      </c>
      <c r="Q290" s="11">
        <f>IF(P290=Sheet1!$M290, 1, 0)</f>
        <v>1</v>
      </c>
    </row>
    <row r="291" spans="1:17" x14ac:dyDescent="0.35">
      <c r="A291" s="6" t="s">
        <v>311</v>
      </c>
      <c r="B291" s="6" t="s">
        <v>319</v>
      </c>
      <c r="C291" s="6">
        <v>1.981743169242296</v>
      </c>
      <c r="D291" s="6">
        <v>-1.4709884786706573</v>
      </c>
      <c r="E291" s="6">
        <v>-0.46704293558447968</v>
      </c>
      <c r="F291" s="6">
        <v>-0.79448480133168509</v>
      </c>
      <c r="G291" s="6">
        <v>-0.66688058457460209</v>
      </c>
      <c r="H291" s="6">
        <v>0.10922227203239547</v>
      </c>
      <c r="I291" s="6">
        <v>0.20485197129869362</v>
      </c>
      <c r="J291" s="6">
        <v>-1.2562594323888439</v>
      </c>
      <c r="K291" s="6">
        <v>0.62056855640422703</v>
      </c>
      <c r="L291" s="6">
        <v>-0.39077477480497946</v>
      </c>
      <c r="N291" s="8">
        <f>SQRT((C291-Sheet5!$C$525)^2+(D291-Sheet5!$D$525)^2+(E291-Sheet5!$E$525)^2+(F291-Sheet5!$F$525)^2+(G291-Sheet5!$G$525)^2+(H291-Sheet5!$H$525)^2+(I291-Sheet5!$I$525)^2+(J291-Sheet5!$J$525)^2+(K291-Sheet5!$K$525)^2+(L291-Sheet5!$L$525)^2)</f>
        <v>2.3830172729896608</v>
      </c>
      <c r="O291" s="8">
        <f>SQRT((C291-Sheet5!$C$526)^2+(D291-Sheet5!$D$526)^2+(E291-Sheet5!$E$526)^2+(F291-Sheet5!$F$526)^2+(G291-Sheet5!$G$526)^2+(H291-Sheet5!$H$526)^2+(I291-Sheet5!$I$526)^2+(J291-Sheet5!$J$526)^2+(K291-Sheet5!$K$526)^2+(L291-Sheet5!$L$526)^2)</f>
        <v>5.3363502761774724</v>
      </c>
      <c r="P291" s="12">
        <f t="shared" si="4"/>
        <v>0</v>
      </c>
      <c r="Q291" s="11">
        <f>IF(P291=Sheet1!$M291, 1, 0)</f>
        <v>0</v>
      </c>
    </row>
    <row r="292" spans="1:17" x14ac:dyDescent="0.35">
      <c r="A292" s="6" t="s">
        <v>311</v>
      </c>
      <c r="B292" s="6" t="s">
        <v>320</v>
      </c>
      <c r="C292" s="6">
        <v>-0.48623484934177025</v>
      </c>
      <c r="D292" s="6">
        <v>0.67723313184394029</v>
      </c>
      <c r="E292" s="6">
        <v>1.7219423360241932</v>
      </c>
      <c r="F292" s="6">
        <v>1.41944865847715</v>
      </c>
      <c r="G292" s="6">
        <v>0.64550533781010599</v>
      </c>
      <c r="H292" s="6">
        <v>0.77712893060039778</v>
      </c>
      <c r="I292" s="6">
        <v>0.83023539239615152</v>
      </c>
      <c r="J292" s="6">
        <v>4.953904738439361E-2</v>
      </c>
      <c r="K292" s="6">
        <v>-0.60318414860619551</v>
      </c>
      <c r="L292" s="6">
        <v>-0.17735583798839505</v>
      </c>
      <c r="N292" s="8">
        <f>SQRT((C292-Sheet5!$C$525)^2+(D292-Sheet5!$D$525)^2+(E292-Sheet5!$E$525)^2+(F292-Sheet5!$F$525)^2+(G292-Sheet5!$G$525)^2+(H292-Sheet5!$H$525)^2+(I292-Sheet5!$I$525)^2+(J292-Sheet5!$J$525)^2+(K292-Sheet5!$K$525)^2+(L292-Sheet5!$L$525)^2)</f>
        <v>3.7270536119200703</v>
      </c>
      <c r="O292" s="8">
        <f>SQRT((C292-Sheet5!$C$526)^2+(D292-Sheet5!$D$526)^2+(E292-Sheet5!$E$526)^2+(F292-Sheet5!$F$526)^2+(G292-Sheet5!$G$526)^2+(H292-Sheet5!$H$526)^2+(I292-Sheet5!$I$526)^2+(J292-Sheet5!$J$526)^2+(K292-Sheet5!$K$526)^2+(L292-Sheet5!$L$526)^2)</f>
        <v>1.498422550675987</v>
      </c>
      <c r="P292" s="12">
        <f t="shared" si="4"/>
        <v>1</v>
      </c>
      <c r="Q292" s="11">
        <f>IF(P292=Sheet1!$M292, 1, 0)</f>
        <v>0</v>
      </c>
    </row>
    <row r="293" spans="1:17" x14ac:dyDescent="0.35">
      <c r="A293" s="6" t="s">
        <v>311</v>
      </c>
      <c r="B293" s="6" t="s">
        <v>321</v>
      </c>
      <c r="C293" s="6">
        <v>-0.45536834883745614</v>
      </c>
      <c r="D293" s="6">
        <v>1.3585262711785708</v>
      </c>
      <c r="E293" s="6">
        <v>0.29847564307637903</v>
      </c>
      <c r="F293" s="6">
        <v>0.95262761580347066</v>
      </c>
      <c r="G293" s="6">
        <v>0.24482114026787305</v>
      </c>
      <c r="H293" s="6">
        <v>0.72595866240365625</v>
      </c>
      <c r="I293" s="6">
        <v>0.94307215644737541</v>
      </c>
      <c r="J293" s="6">
        <v>-0.56919686018257654</v>
      </c>
      <c r="K293" s="6">
        <v>0.93824349133659779</v>
      </c>
      <c r="L293" s="6">
        <v>-0.39752656113963664</v>
      </c>
      <c r="N293" s="8">
        <f>SQRT((C293-Sheet5!$C$525)^2+(D293-Sheet5!$D$525)^2+(E293-Sheet5!$E$525)^2+(F293-Sheet5!$F$525)^2+(G293-Sheet5!$G$525)^2+(H293-Sheet5!$H$525)^2+(I293-Sheet5!$I$525)^2+(J293-Sheet5!$J$525)^2+(K293-Sheet5!$K$525)^2+(L293-Sheet5!$L$525)^2)</f>
        <v>3.0564079755085571</v>
      </c>
      <c r="O293" s="8">
        <f>SQRT((C293-Sheet5!$C$526)^2+(D293-Sheet5!$D$526)^2+(E293-Sheet5!$E$526)^2+(F293-Sheet5!$F$526)^2+(G293-Sheet5!$G$526)^2+(H293-Sheet5!$H$526)^2+(I293-Sheet5!$I$526)^2+(J293-Sheet5!$J$526)^2+(K293-Sheet5!$K$526)^2+(L293-Sheet5!$L$526)^2)</f>
        <v>2.6180842142608811</v>
      </c>
      <c r="P293" s="12">
        <f t="shared" si="4"/>
        <v>1</v>
      </c>
      <c r="Q293" s="11">
        <f>IF(P293=Sheet1!$M293, 1, 0)</f>
        <v>0</v>
      </c>
    </row>
    <row r="294" spans="1:17" x14ac:dyDescent="0.35">
      <c r="A294" s="6" t="s">
        <v>322</v>
      </c>
      <c r="B294" s="6" t="s">
        <v>323</v>
      </c>
      <c r="C294" s="6">
        <v>2.1629161069850089</v>
      </c>
      <c r="D294" s="6">
        <v>-0.97996639626732074</v>
      </c>
      <c r="E294" s="6">
        <v>-1.1117289378253377</v>
      </c>
      <c r="F294" s="6">
        <v>-0.93930717100602734</v>
      </c>
      <c r="G294" s="6">
        <v>-0.73656479284281529</v>
      </c>
      <c r="H294" s="6">
        <v>-1.23197738912432</v>
      </c>
      <c r="I294" s="6">
        <v>9.9665157352638603E-2</v>
      </c>
      <c r="J294" s="6">
        <v>-1.2600553582021381</v>
      </c>
      <c r="K294" s="6">
        <v>0.73167653857269133</v>
      </c>
      <c r="L294" s="6">
        <v>-0.42859555175044162</v>
      </c>
      <c r="N294" s="8">
        <f>SQRT((C294-Sheet5!$C$525)^2+(D294-Sheet5!$D$525)^2+(E294-Sheet5!$E$525)^2+(F294-Sheet5!$F$525)^2+(G294-Sheet5!$G$525)^2+(H294-Sheet5!$H$525)^2+(I294-Sheet5!$I$525)^2+(J294-Sheet5!$J$525)^2+(K294-Sheet5!$K$525)^2+(L294-Sheet5!$L$525)^2)</f>
        <v>2.6405798881181783</v>
      </c>
      <c r="O294" s="8">
        <f>SQRT((C294-Sheet5!$C$526)^2+(D294-Sheet5!$D$526)^2+(E294-Sheet5!$E$526)^2+(F294-Sheet5!$F$526)^2+(G294-Sheet5!$G$526)^2+(H294-Sheet5!$H$526)^2+(I294-Sheet5!$I$526)^2+(J294-Sheet5!$J$526)^2+(K294-Sheet5!$K$526)^2+(L294-Sheet5!$L$526)^2)</f>
        <v>5.8483129672049188</v>
      </c>
      <c r="P294" s="12">
        <f t="shared" si="4"/>
        <v>0</v>
      </c>
      <c r="Q294" s="11">
        <f>IF(P294=Sheet1!$M294, 1, 0)</f>
        <v>0</v>
      </c>
    </row>
    <row r="295" spans="1:17" x14ac:dyDescent="0.35">
      <c r="A295" s="6" t="s">
        <v>322</v>
      </c>
      <c r="B295" s="6" t="s">
        <v>324</v>
      </c>
      <c r="C295" s="6">
        <v>2.336036914161379</v>
      </c>
      <c r="D295" s="6">
        <v>-0.68535314682531845</v>
      </c>
      <c r="E295" s="6">
        <v>-0.35763051120417405</v>
      </c>
      <c r="F295" s="6">
        <v>-0.64504044113582093</v>
      </c>
      <c r="G295" s="6">
        <v>-1.3056524936999039</v>
      </c>
      <c r="H295" s="6">
        <v>-0.43856891487378108</v>
      </c>
      <c r="I295" s="6">
        <v>-0.3510444030101576</v>
      </c>
      <c r="J295" s="6">
        <v>-0.64891130226175675</v>
      </c>
      <c r="K295" s="6">
        <v>0.45781883604478379</v>
      </c>
      <c r="L295" s="6">
        <v>-0.37515930085655835</v>
      </c>
      <c r="N295" s="8">
        <f>SQRT((C295-Sheet5!$C$525)^2+(D295-Sheet5!$D$525)^2+(E295-Sheet5!$E$525)^2+(F295-Sheet5!$F$525)^2+(G295-Sheet5!$G$525)^2+(H295-Sheet5!$H$525)^2+(I295-Sheet5!$I$525)^2+(J295-Sheet5!$J$525)^2+(K295-Sheet5!$K$525)^2+(L295-Sheet5!$L$525)^2)</f>
        <v>2.3544446049275694</v>
      </c>
      <c r="O295" s="8">
        <f>SQRT((C295-Sheet5!$C$526)^2+(D295-Sheet5!$D$526)^2+(E295-Sheet5!$E$526)^2+(F295-Sheet5!$F$526)^2+(G295-Sheet5!$G$526)^2+(H295-Sheet5!$H$526)^2+(I295-Sheet5!$I$526)^2+(J295-Sheet5!$J$526)^2+(K295-Sheet5!$K$526)^2+(L295-Sheet5!$L$526)^2)</f>
        <v>5.2724670825433773</v>
      </c>
      <c r="P295" s="12">
        <f t="shared" si="4"/>
        <v>0</v>
      </c>
      <c r="Q295" s="11">
        <f>IF(P295=Sheet1!$M295, 1, 0)</f>
        <v>0</v>
      </c>
    </row>
    <row r="296" spans="1:17" x14ac:dyDescent="0.35">
      <c r="A296" s="6" t="s">
        <v>322</v>
      </c>
      <c r="B296" s="6" t="s">
        <v>325</v>
      </c>
      <c r="C296" s="6">
        <v>1.4368823342531003</v>
      </c>
      <c r="D296" s="6">
        <v>-0.64238871461502689</v>
      </c>
      <c r="E296" s="6">
        <v>-1.0494706896089347</v>
      </c>
      <c r="F296" s="6">
        <v>-0.8499486875899438</v>
      </c>
      <c r="G296" s="6">
        <v>-1.3782402106459608</v>
      </c>
      <c r="H296" s="6">
        <v>-0.1229291552601927</v>
      </c>
      <c r="I296" s="6">
        <v>-3.357147364569868E-2</v>
      </c>
      <c r="J296" s="6">
        <v>-0.40597205021092181</v>
      </c>
      <c r="K296" s="6">
        <v>0.67221029459520354</v>
      </c>
      <c r="L296" s="6">
        <v>-0.35686516915548205</v>
      </c>
      <c r="N296" s="8">
        <f>SQRT((C296-Sheet5!$C$525)^2+(D296-Sheet5!$D$525)^2+(E296-Sheet5!$E$525)^2+(F296-Sheet5!$F$525)^2+(G296-Sheet5!$G$525)^2+(H296-Sheet5!$H$525)^2+(I296-Sheet5!$I$525)^2+(J296-Sheet5!$J$525)^2+(K296-Sheet5!$K$525)^2+(L296-Sheet5!$L$525)^2)</f>
        <v>1.8382590297662138</v>
      </c>
      <c r="O296" s="8">
        <f>SQRT((C296-Sheet5!$C$526)^2+(D296-Sheet5!$D$526)^2+(E296-Sheet5!$E$526)^2+(F296-Sheet5!$F$526)^2+(G296-Sheet5!$G$526)^2+(H296-Sheet5!$H$526)^2+(I296-Sheet5!$I$526)^2+(J296-Sheet5!$J$526)^2+(K296-Sheet5!$K$526)^2+(L296-Sheet5!$L$526)^2)</f>
        <v>5.016059307019237</v>
      </c>
      <c r="P296" s="12">
        <f t="shared" si="4"/>
        <v>0</v>
      </c>
      <c r="Q296" s="11">
        <f>IF(P296=Sheet1!$M296, 1, 0)</f>
        <v>0</v>
      </c>
    </row>
    <row r="297" spans="1:17" x14ac:dyDescent="0.35">
      <c r="A297" s="6" t="s">
        <v>322</v>
      </c>
      <c r="B297" s="6" t="s">
        <v>326</v>
      </c>
      <c r="C297" s="6">
        <v>1.9280622988000107</v>
      </c>
      <c r="D297" s="6">
        <v>-1.0413441565677377</v>
      </c>
      <c r="E297" s="6">
        <v>-1.2841363944246069</v>
      </c>
      <c r="F297" s="6">
        <v>-1.196597976704062</v>
      </c>
      <c r="G297" s="6">
        <v>-0.92819636558040863</v>
      </c>
      <c r="H297" s="6">
        <v>-1.4571265691899855</v>
      </c>
      <c r="I297" s="6">
        <v>-1.5010869021536981</v>
      </c>
      <c r="J297" s="6">
        <v>-0.94499351569871182</v>
      </c>
      <c r="K297" s="6">
        <v>1.4280575535722282</v>
      </c>
      <c r="L297" s="6">
        <v>-0.35689011780720808</v>
      </c>
      <c r="N297" s="8">
        <f>SQRT((C297-Sheet5!$C$525)^2+(D297-Sheet5!$D$525)^2+(E297-Sheet5!$E$525)^2+(F297-Sheet5!$F$525)^2+(G297-Sheet5!$G$525)^2+(H297-Sheet5!$H$525)^2+(I297-Sheet5!$I$525)^2+(J297-Sheet5!$J$525)^2+(K297-Sheet5!$K$525)^2+(L297-Sheet5!$L$525)^2)</f>
        <v>3.091744391547806</v>
      </c>
      <c r="O297" s="8">
        <f>SQRT((C297-Sheet5!$C$526)^2+(D297-Sheet5!$D$526)^2+(E297-Sheet5!$E$526)^2+(F297-Sheet5!$F$526)^2+(G297-Sheet5!$G$526)^2+(H297-Sheet5!$H$526)^2+(I297-Sheet5!$I$526)^2+(J297-Sheet5!$J$526)^2+(K297-Sheet5!$K$526)^2+(L297-Sheet5!$L$526)^2)</f>
        <v>6.4673756221595466</v>
      </c>
      <c r="P297" s="12">
        <f t="shared" si="4"/>
        <v>0</v>
      </c>
      <c r="Q297" s="11">
        <f>IF(P297=Sheet1!$M297, 1, 0)</f>
        <v>0</v>
      </c>
    </row>
    <row r="298" spans="1:17" x14ac:dyDescent="0.35">
      <c r="A298" s="6" t="s">
        <v>322</v>
      </c>
      <c r="B298" s="6" t="s">
        <v>327</v>
      </c>
      <c r="C298" s="6">
        <v>1.3885695508550437</v>
      </c>
      <c r="D298" s="6">
        <v>-0.29253548090264925</v>
      </c>
      <c r="E298" s="6">
        <v>-1.4738582750840594</v>
      </c>
      <c r="F298" s="6">
        <v>-0.96087646010646144</v>
      </c>
      <c r="G298" s="6">
        <v>-0.74527531887634235</v>
      </c>
      <c r="H298" s="6">
        <v>-0.38632137787289705</v>
      </c>
      <c r="I298" s="6">
        <v>0.14110238708896297</v>
      </c>
      <c r="J298" s="6">
        <v>-0.4477272341571592</v>
      </c>
      <c r="K298" s="6">
        <v>1.3998893327407853</v>
      </c>
      <c r="L298" s="6">
        <v>-0.39731579309109355</v>
      </c>
      <c r="N298" s="8">
        <f>SQRT((C298-Sheet5!$C$525)^2+(D298-Sheet5!$D$525)^2+(E298-Sheet5!$E$525)^2+(F298-Sheet5!$F$525)^2+(G298-Sheet5!$G$525)^2+(H298-Sheet5!$H$525)^2+(I298-Sheet5!$I$525)^2+(J298-Sheet5!$J$525)^2+(K298-Sheet5!$K$525)^2+(L298-Sheet5!$L$525)^2)</f>
        <v>2.1036017631148889</v>
      </c>
      <c r="O298" s="8">
        <f>SQRT((C298-Sheet5!$C$526)^2+(D298-Sheet5!$D$526)^2+(E298-Sheet5!$E$526)^2+(F298-Sheet5!$F$526)^2+(G298-Sheet5!$G$526)^2+(H298-Sheet5!$H$526)^2+(I298-Sheet5!$I$526)^2+(J298-Sheet5!$J$526)^2+(K298-Sheet5!$K$526)^2+(L298-Sheet5!$L$526)^2)</f>
        <v>5.1678765892342637</v>
      </c>
      <c r="P298" s="12">
        <f t="shared" si="4"/>
        <v>0</v>
      </c>
      <c r="Q298" s="11">
        <f>IF(P298=Sheet1!$M298, 1, 0)</f>
        <v>0</v>
      </c>
    </row>
    <row r="299" spans="1:17" x14ac:dyDescent="0.35">
      <c r="A299" s="6" t="s">
        <v>322</v>
      </c>
      <c r="B299" s="6" t="s">
        <v>328</v>
      </c>
      <c r="C299" s="6">
        <v>0.45720644868139365</v>
      </c>
      <c r="D299" s="6">
        <v>-0.66080204270515153</v>
      </c>
      <c r="E299" s="6">
        <v>-1.0660483296665568</v>
      </c>
      <c r="F299" s="6">
        <v>-1.1026175027664555</v>
      </c>
      <c r="G299" s="6">
        <v>-1.3840472280016443</v>
      </c>
      <c r="H299" s="6">
        <v>-0.29098308870633555</v>
      </c>
      <c r="I299" s="6">
        <v>0.20038950040401293</v>
      </c>
      <c r="J299" s="6">
        <v>0.11027386039710205</v>
      </c>
      <c r="K299" s="6">
        <v>0.21056445319101608</v>
      </c>
      <c r="L299" s="6">
        <v>-0.39583270648957741</v>
      </c>
      <c r="N299" s="8">
        <f>SQRT((C299-Sheet5!$C$525)^2+(D299-Sheet5!$D$525)^2+(E299-Sheet5!$E$525)^2+(F299-Sheet5!$F$525)^2+(G299-Sheet5!$G$525)^2+(H299-Sheet5!$H$525)^2+(I299-Sheet5!$I$525)^2+(J299-Sheet5!$J$525)^2+(K299-Sheet5!$K$525)^2+(L299-Sheet5!$L$525)^2)</f>
        <v>1.6051828329865341</v>
      </c>
      <c r="O299" s="8">
        <f>SQRT((C299-Sheet5!$C$526)^2+(D299-Sheet5!$D$526)^2+(E299-Sheet5!$E$526)^2+(F299-Sheet5!$F$526)^2+(G299-Sheet5!$G$526)^2+(H299-Sheet5!$H$526)^2+(I299-Sheet5!$I$526)^2+(J299-Sheet5!$J$526)^2+(K299-Sheet5!$K$526)^2+(L299-Sheet5!$L$526)^2)</f>
        <v>4.6076099051007544</v>
      </c>
      <c r="P299" s="12">
        <f t="shared" si="4"/>
        <v>0</v>
      </c>
      <c r="Q299" s="11">
        <f>IF(P299=Sheet1!$M299, 1, 0)</f>
        <v>1</v>
      </c>
    </row>
    <row r="300" spans="1:17" x14ac:dyDescent="0.35">
      <c r="A300" s="6" t="s">
        <v>322</v>
      </c>
      <c r="B300" s="6" t="s">
        <v>329</v>
      </c>
      <c r="C300" s="6">
        <v>1.1832402214133022</v>
      </c>
      <c r="D300" s="6">
        <v>-1.0197783520730632E-2</v>
      </c>
      <c r="E300" s="6">
        <v>-1.3165548905372901</v>
      </c>
      <c r="F300" s="6">
        <v>-1.3183103937707965</v>
      </c>
      <c r="G300" s="6">
        <v>-2.3276875483003843</v>
      </c>
      <c r="H300" s="6">
        <v>0.32090559204628627</v>
      </c>
      <c r="I300" s="6">
        <v>-0.68254224090075621</v>
      </c>
      <c r="J300" s="6">
        <v>-0.93740166407212322</v>
      </c>
      <c r="K300" s="6">
        <v>0.45938373720208692</v>
      </c>
      <c r="L300" s="6">
        <v>-0.41618871679619918</v>
      </c>
      <c r="N300" s="8">
        <f>SQRT((C300-Sheet5!$C$525)^2+(D300-Sheet5!$D$525)^2+(E300-Sheet5!$E$525)^2+(F300-Sheet5!$F$525)^2+(G300-Sheet5!$G$525)^2+(H300-Sheet5!$H$525)^2+(I300-Sheet5!$I$525)^2+(J300-Sheet5!$J$525)^2+(K300-Sheet5!$K$525)^2+(L300-Sheet5!$L$525)^2)</f>
        <v>2.7141688578556065</v>
      </c>
      <c r="O300" s="8">
        <f>SQRT((C300-Sheet5!$C$526)^2+(D300-Sheet5!$D$526)^2+(E300-Sheet5!$E$526)^2+(F300-Sheet5!$F$526)^2+(G300-Sheet5!$G$526)^2+(H300-Sheet5!$H$526)^2+(I300-Sheet5!$I$526)^2+(J300-Sheet5!$J$526)^2+(K300-Sheet5!$K$526)^2+(L300-Sheet5!$L$526)^2)</f>
        <v>5.7614748896022698</v>
      </c>
      <c r="P300" s="12">
        <f t="shared" si="4"/>
        <v>0</v>
      </c>
      <c r="Q300" s="11">
        <f>IF(P300=Sheet1!$M300, 1, 0)</f>
        <v>0</v>
      </c>
    </row>
    <row r="301" spans="1:17" x14ac:dyDescent="0.35">
      <c r="A301" s="6" t="s">
        <v>322</v>
      </c>
      <c r="B301" s="6" t="s">
        <v>330</v>
      </c>
      <c r="C301" s="6">
        <v>1.8703553630745542</v>
      </c>
      <c r="D301" s="6">
        <v>-0.1268155280915228</v>
      </c>
      <c r="E301" s="6">
        <v>-1.1301485378893621</v>
      </c>
      <c r="F301" s="6">
        <v>-0.79756612834603213</v>
      </c>
      <c r="G301" s="6">
        <v>-0.71333672342007748</v>
      </c>
      <c r="H301" s="6">
        <v>0.79059479065217197</v>
      </c>
      <c r="I301" s="6">
        <v>0.49555007529506556</v>
      </c>
      <c r="J301" s="6">
        <v>-4.5359097947963757E-2</v>
      </c>
      <c r="K301" s="6">
        <v>-0.19161514423568365</v>
      </c>
      <c r="L301" s="6">
        <v>-0.43427609229222597</v>
      </c>
      <c r="N301" s="8">
        <f>SQRT((C301-Sheet5!$C$525)^2+(D301-Sheet5!$D$525)^2+(E301-Sheet5!$E$525)^2+(F301-Sheet5!$F$525)^2+(G301-Sheet5!$G$525)^2+(H301-Sheet5!$H$525)^2+(I301-Sheet5!$I$525)^2+(J301-Sheet5!$J$525)^2+(K301-Sheet5!$K$525)^2+(L301-Sheet5!$L$525)^2)</f>
        <v>2.3432344643989094</v>
      </c>
      <c r="O301" s="8">
        <f>SQRT((C301-Sheet5!$C$526)^2+(D301-Sheet5!$D$526)^2+(E301-Sheet5!$E$526)^2+(F301-Sheet5!$F$526)^2+(G301-Sheet5!$G$526)^2+(H301-Sheet5!$H$526)^2+(I301-Sheet5!$I$526)^2+(J301-Sheet5!$J$526)^2+(K301-Sheet5!$K$526)^2+(L301-Sheet5!$L$526)^2)</f>
        <v>4.4991183609731147</v>
      </c>
      <c r="P301" s="12">
        <f t="shared" si="4"/>
        <v>0</v>
      </c>
      <c r="Q301" s="11">
        <f>IF(P301=Sheet1!$M301, 1, 0)</f>
        <v>0</v>
      </c>
    </row>
    <row r="302" spans="1:17" x14ac:dyDescent="0.35">
      <c r="A302" s="6" t="s">
        <v>322</v>
      </c>
      <c r="B302" s="6" t="s">
        <v>331</v>
      </c>
      <c r="C302" s="6">
        <v>-0.15207143083854427</v>
      </c>
      <c r="D302" s="6">
        <v>-0.43984210562365039</v>
      </c>
      <c r="E302" s="6">
        <v>-1.0118947054783247</v>
      </c>
      <c r="F302" s="6">
        <v>-0.87922129422624684</v>
      </c>
      <c r="G302" s="6">
        <v>-1.262099863532268</v>
      </c>
      <c r="H302" s="6">
        <v>0.85415365009654687</v>
      </c>
      <c r="I302" s="6">
        <v>0.88633502650071505</v>
      </c>
      <c r="J302" s="6">
        <v>-0.47429871485021918</v>
      </c>
      <c r="K302" s="6">
        <v>0.36548966776394587</v>
      </c>
      <c r="L302" s="6">
        <v>-0.3854336947288074</v>
      </c>
      <c r="N302" s="8">
        <f>SQRT((C302-Sheet5!$C$525)^2+(D302-Sheet5!$D$525)^2+(E302-Sheet5!$E$525)^2+(F302-Sheet5!$F$525)^2+(G302-Sheet5!$G$525)^2+(H302-Sheet5!$H$525)^2+(I302-Sheet5!$I$525)^2+(J302-Sheet5!$J$525)^2+(K302-Sheet5!$K$525)^2+(L302-Sheet5!$L$525)^2)</f>
        <v>2.0514829008489679</v>
      </c>
      <c r="O302" s="8">
        <f>SQRT((C302-Sheet5!$C$526)^2+(D302-Sheet5!$D$526)^2+(E302-Sheet5!$E$526)^2+(F302-Sheet5!$F$526)^2+(G302-Sheet5!$G$526)^2+(H302-Sheet5!$H$526)^2+(I302-Sheet5!$I$526)^2+(J302-Sheet5!$J$526)^2+(K302-Sheet5!$K$526)^2+(L302-Sheet5!$L$526)^2)</f>
        <v>4.3050541860102394</v>
      </c>
      <c r="P302" s="12">
        <f t="shared" si="4"/>
        <v>0</v>
      </c>
      <c r="Q302" s="11">
        <f>IF(P302=Sheet1!$M302, 1, 0)</f>
        <v>1</v>
      </c>
    </row>
    <row r="303" spans="1:17" x14ac:dyDescent="0.35">
      <c r="A303" s="6" t="s">
        <v>322</v>
      </c>
      <c r="B303" s="6" t="s">
        <v>332</v>
      </c>
      <c r="C303" s="6">
        <v>0.14451537835508185</v>
      </c>
      <c r="D303" s="6">
        <v>-0.9124508599368617</v>
      </c>
      <c r="E303" s="6">
        <v>-0.84869704891106756</v>
      </c>
      <c r="F303" s="6">
        <v>-0.69588233687255807</v>
      </c>
      <c r="G303" s="6">
        <v>-0.64074900647402055</v>
      </c>
      <c r="H303" s="6">
        <v>0.31982832324214455</v>
      </c>
      <c r="I303" s="6">
        <v>0.44455040792728123</v>
      </c>
      <c r="J303" s="6">
        <v>-0.19719613047973569</v>
      </c>
      <c r="K303" s="6">
        <v>0.69724871311204029</v>
      </c>
      <c r="L303" s="6">
        <v>-0.38849611038565041</v>
      </c>
      <c r="N303" s="8">
        <f>SQRT((C303-Sheet5!$C$525)^2+(D303-Sheet5!$D$525)^2+(E303-Sheet5!$E$525)^2+(F303-Sheet5!$F$525)^2+(G303-Sheet5!$G$525)^2+(H303-Sheet5!$H$525)^2+(I303-Sheet5!$I$525)^2+(J303-Sheet5!$J$525)^2+(K303-Sheet5!$K$525)^2+(L303-Sheet5!$L$525)^2)</f>
        <v>1.3376031151310419</v>
      </c>
      <c r="O303" s="8">
        <f>SQRT((C303-Sheet5!$C$526)^2+(D303-Sheet5!$D$526)^2+(E303-Sheet5!$E$526)^2+(F303-Sheet5!$F$526)^2+(G303-Sheet5!$G$526)^2+(H303-Sheet5!$H$526)^2+(I303-Sheet5!$I$526)^2+(J303-Sheet5!$J$526)^2+(K303-Sheet5!$K$526)^2+(L303-Sheet5!$L$526)^2)</f>
        <v>4.1140231340595603</v>
      </c>
      <c r="P303" s="12">
        <f t="shared" si="4"/>
        <v>0</v>
      </c>
      <c r="Q303" s="11">
        <f>IF(P303=Sheet1!$M303, 1, 0)</f>
        <v>1</v>
      </c>
    </row>
    <row r="304" spans="1:17" x14ac:dyDescent="0.35">
      <c r="A304" s="6" t="s">
        <v>322</v>
      </c>
      <c r="B304" s="6" t="s">
        <v>333</v>
      </c>
      <c r="C304" s="6">
        <v>1.5912148367746703</v>
      </c>
      <c r="D304" s="6">
        <v>-0.24957104869235763</v>
      </c>
      <c r="E304" s="6">
        <v>-0.47809469562289436</v>
      </c>
      <c r="F304" s="6">
        <v>-0.40469693401669876</v>
      </c>
      <c r="G304" s="6">
        <v>-1.2272577593981593</v>
      </c>
      <c r="H304" s="6">
        <v>0.50781172956491283</v>
      </c>
      <c r="I304" s="6">
        <v>0.82003545892259477</v>
      </c>
      <c r="J304" s="6">
        <v>-0.92980981244553462</v>
      </c>
      <c r="K304" s="6">
        <v>1.2684376355273892</v>
      </c>
      <c r="L304" s="6">
        <v>-0.37195417222543659</v>
      </c>
      <c r="N304" s="8">
        <f>SQRT((C304-Sheet5!$C$525)^2+(D304-Sheet5!$D$525)^2+(E304-Sheet5!$E$525)^2+(F304-Sheet5!$F$525)^2+(G304-Sheet5!$G$525)^2+(H304-Sheet5!$H$525)^2+(I304-Sheet5!$I$525)^2+(J304-Sheet5!$J$525)^2+(K304-Sheet5!$K$525)^2+(L304-Sheet5!$L$525)^2)</f>
        <v>2.3978944956227193</v>
      </c>
      <c r="O304" s="8">
        <f>SQRT((C304-Sheet5!$C$526)^2+(D304-Sheet5!$D$526)^2+(E304-Sheet5!$E$526)^2+(F304-Sheet5!$F$526)^2+(G304-Sheet5!$G$526)^2+(H304-Sheet5!$H$526)^2+(I304-Sheet5!$I$526)^2+(J304-Sheet5!$J$526)^2+(K304-Sheet5!$K$526)^2+(L304-Sheet5!$L$526)^2)</f>
        <v>4.8019179357530364</v>
      </c>
      <c r="P304" s="12">
        <f t="shared" si="4"/>
        <v>0</v>
      </c>
      <c r="Q304" s="11">
        <f>IF(P304=Sheet1!$M304, 1, 0)</f>
        <v>0</v>
      </c>
    </row>
    <row r="305" spans="1:17" x14ac:dyDescent="0.35">
      <c r="A305" s="6" t="s">
        <v>322</v>
      </c>
      <c r="B305" s="6" t="s">
        <v>334</v>
      </c>
      <c r="C305" s="6">
        <v>4.1179702753682719E-2</v>
      </c>
      <c r="D305" s="6">
        <v>5.7317752809727819E-2</v>
      </c>
      <c r="E305" s="6">
        <v>-0.55472023188923636</v>
      </c>
      <c r="F305" s="6">
        <v>-0.31533845060061522</v>
      </c>
      <c r="G305" s="6">
        <v>-0.44621392505858753</v>
      </c>
      <c r="H305" s="6">
        <v>0.76474033935276597</v>
      </c>
      <c r="I305" s="6">
        <v>0.60009939339902385</v>
      </c>
      <c r="J305" s="6">
        <v>-0.78556463154035128</v>
      </c>
      <c r="K305" s="6">
        <v>0.47346784761780619</v>
      </c>
      <c r="L305" s="6">
        <v>-0.41013171071157739</v>
      </c>
      <c r="N305" s="8">
        <f>SQRT((C305-Sheet5!$C$525)^2+(D305-Sheet5!$D$525)^2+(E305-Sheet5!$E$525)^2+(F305-Sheet5!$F$525)^2+(G305-Sheet5!$G$525)^2+(H305-Sheet5!$H$525)^2+(I305-Sheet5!$I$525)^2+(J305-Sheet5!$J$525)^2+(K305-Sheet5!$K$525)^2+(L305-Sheet5!$L$525)^2)</f>
        <v>1.5312233542328311</v>
      </c>
      <c r="O305" s="8">
        <f>SQRT((C305-Sheet5!$C$526)^2+(D305-Sheet5!$D$526)^2+(E305-Sheet5!$E$526)^2+(F305-Sheet5!$F$526)^2+(G305-Sheet5!$G$526)^2+(H305-Sheet5!$H$526)^2+(I305-Sheet5!$I$526)^2+(J305-Sheet5!$J$526)^2+(K305-Sheet5!$K$526)^2+(L305-Sheet5!$L$526)^2)</f>
        <v>3.540208151078633</v>
      </c>
      <c r="P305" s="12">
        <f t="shared" si="4"/>
        <v>0</v>
      </c>
      <c r="Q305" s="11">
        <f>IF(P305=Sheet1!$M305, 1, 0)</f>
        <v>1</v>
      </c>
    </row>
    <row r="306" spans="1:17" x14ac:dyDescent="0.35">
      <c r="A306" s="6" t="s">
        <v>322</v>
      </c>
      <c r="B306" s="6" t="s">
        <v>335</v>
      </c>
      <c r="C306" s="6">
        <v>1.1013768939888173</v>
      </c>
      <c r="D306" s="6">
        <v>-0.50735764195410882</v>
      </c>
      <c r="E306" s="6">
        <v>-1.1758291460481429</v>
      </c>
      <c r="F306" s="6">
        <v>-0.7575088771595111</v>
      </c>
      <c r="G306" s="6">
        <v>-0.73946830152065901</v>
      </c>
      <c r="H306" s="6">
        <v>-0.23496511089095434</v>
      </c>
      <c r="I306" s="6">
        <v>0.41713808671709751</v>
      </c>
      <c r="J306" s="6">
        <v>-0.51605389879645636</v>
      </c>
      <c r="K306" s="6">
        <v>1.2731323389992963</v>
      </c>
      <c r="L306" s="6">
        <v>-0.39571398099618771</v>
      </c>
      <c r="N306" s="8">
        <f>SQRT((C306-Sheet5!$C$525)^2+(D306-Sheet5!$D$525)^2+(E306-Sheet5!$E$525)^2+(F306-Sheet5!$F$525)^2+(G306-Sheet5!$G$525)^2+(H306-Sheet5!$H$525)^2+(I306-Sheet5!$I$525)^2+(J306-Sheet5!$J$525)^2+(K306-Sheet5!$K$525)^2+(L306-Sheet5!$L$525)^2)</f>
        <v>1.7810870386125748</v>
      </c>
      <c r="O306" s="8">
        <f>SQRT((C306-Sheet5!$C$526)^2+(D306-Sheet5!$D$526)^2+(E306-Sheet5!$E$526)^2+(F306-Sheet5!$F$526)^2+(G306-Sheet5!$G$526)^2+(H306-Sheet5!$H$526)^2+(I306-Sheet5!$I$526)^2+(J306-Sheet5!$J$526)^2+(K306-Sheet5!$K$526)^2+(L306-Sheet5!$L$526)^2)</f>
        <v>4.8170231025406061</v>
      </c>
      <c r="P306" s="12">
        <f t="shared" si="4"/>
        <v>0</v>
      </c>
      <c r="Q306" s="11">
        <f>IF(P306=Sheet1!$M306, 1, 0)</f>
        <v>0</v>
      </c>
    </row>
    <row r="307" spans="1:17" x14ac:dyDescent="0.35">
      <c r="A307" s="6" t="s">
        <v>322</v>
      </c>
      <c r="B307" s="6" t="s">
        <v>336</v>
      </c>
      <c r="C307" s="6">
        <v>2.1213134323922374</v>
      </c>
      <c r="D307" s="6">
        <v>-0.44597988165369196</v>
      </c>
      <c r="E307" s="6">
        <v>-1.4079161068548518</v>
      </c>
      <c r="F307" s="6">
        <v>-1.1288087823884114</v>
      </c>
      <c r="G307" s="6">
        <v>-1.386950736679488</v>
      </c>
      <c r="H307" s="6">
        <v>0.55628882575130034</v>
      </c>
      <c r="I307" s="6">
        <v>0.4573003247692275</v>
      </c>
      <c r="J307" s="6">
        <v>-0.52744167623633942</v>
      </c>
      <c r="K307" s="6">
        <v>0.73480634088729546</v>
      </c>
      <c r="L307" s="6">
        <v>-0.41774111217307142</v>
      </c>
      <c r="N307" s="8">
        <f>SQRT((C307-Sheet5!$C$525)^2+(D307-Sheet5!$D$525)^2+(E307-Sheet5!$E$525)^2+(F307-Sheet5!$F$525)^2+(G307-Sheet5!$G$525)^2+(H307-Sheet5!$H$525)^2+(I307-Sheet5!$I$525)^2+(J307-Sheet5!$J$525)^2+(K307-Sheet5!$K$525)^2+(L307-Sheet5!$L$525)^2)</f>
        <v>2.7450325546988101</v>
      </c>
      <c r="O307" s="8">
        <f>SQRT((C307-Sheet5!$C$526)^2+(D307-Sheet5!$D$526)^2+(E307-Sheet5!$E$526)^2+(F307-Sheet5!$F$526)^2+(G307-Sheet5!$G$526)^2+(H307-Sheet5!$H$526)^2+(I307-Sheet5!$I$526)^2+(J307-Sheet5!$J$526)^2+(K307-Sheet5!$K$526)^2+(L307-Sheet5!$L$526)^2)</f>
        <v>5.5008589129734426</v>
      </c>
      <c r="P307" s="12">
        <f t="shared" si="4"/>
        <v>0</v>
      </c>
      <c r="Q307" s="11">
        <f>IF(P307=Sheet1!$M307, 1, 0)</f>
        <v>0</v>
      </c>
    </row>
    <row r="308" spans="1:17" x14ac:dyDescent="0.35">
      <c r="A308" s="6" t="s">
        <v>322</v>
      </c>
      <c r="B308" s="6" t="s">
        <v>337</v>
      </c>
      <c r="C308" s="6">
        <v>0.75781932315819156</v>
      </c>
      <c r="D308" s="6">
        <v>-0.5380465221043178</v>
      </c>
      <c r="E308" s="6">
        <v>-1.0737845616934472</v>
      </c>
      <c r="F308" s="6">
        <v>-0.88692461176211568</v>
      </c>
      <c r="G308" s="6">
        <v>-0.63784549779618094</v>
      </c>
      <c r="H308" s="6">
        <v>-0.23658101409716734</v>
      </c>
      <c r="I308" s="6">
        <v>0.35020102329687958</v>
      </c>
      <c r="J308" s="6">
        <v>-4.5359097947963757E-2</v>
      </c>
      <c r="K308" s="6">
        <v>0.58144602747166874</v>
      </c>
      <c r="L308" s="6">
        <v>-0.41094878950311398</v>
      </c>
      <c r="N308" s="8">
        <f>SQRT((C308-Sheet5!$C$525)^2+(D308-Sheet5!$D$525)^2+(E308-Sheet5!$E$525)^2+(F308-Sheet5!$F$525)^2+(G308-Sheet5!$G$525)^2+(H308-Sheet5!$H$525)^2+(I308-Sheet5!$I$525)^2+(J308-Sheet5!$J$525)^2+(K308-Sheet5!$K$525)^2+(L308-Sheet5!$L$525)^2)</f>
        <v>1.2939429167634342</v>
      </c>
      <c r="O308" s="8">
        <f>SQRT((C308-Sheet5!$C$526)^2+(D308-Sheet5!$D$526)^2+(E308-Sheet5!$E$526)^2+(F308-Sheet5!$F$526)^2+(G308-Sheet5!$G$526)^2+(H308-Sheet5!$H$526)^2+(I308-Sheet5!$I$526)^2+(J308-Sheet5!$J$526)^2+(K308-Sheet5!$K$526)^2+(L308-Sheet5!$L$526)^2)</f>
        <v>4.3325465634555975</v>
      </c>
      <c r="P308" s="12">
        <f t="shared" si="4"/>
        <v>0</v>
      </c>
      <c r="Q308" s="11">
        <f>IF(P308=Sheet1!$M308, 1, 0)</f>
        <v>1</v>
      </c>
    </row>
    <row r="309" spans="1:17" x14ac:dyDescent="0.35">
      <c r="A309" s="6" t="s">
        <v>322</v>
      </c>
      <c r="B309" s="6" t="s">
        <v>338</v>
      </c>
      <c r="C309" s="6">
        <v>2.952024902486603</v>
      </c>
      <c r="D309" s="6">
        <v>-1.2070641093788641</v>
      </c>
      <c r="E309" s="6">
        <v>-1.5707453714208284</v>
      </c>
      <c r="F309" s="6">
        <v>-1.2520618629623208</v>
      </c>
      <c r="G309" s="6">
        <v>-0.35910866472332004</v>
      </c>
      <c r="H309" s="6">
        <v>-1.4361198275092175</v>
      </c>
      <c r="I309" s="6">
        <v>-1.5590990237845532</v>
      </c>
      <c r="J309" s="6">
        <v>-1.3701372067876727</v>
      </c>
      <c r="K309" s="6">
        <v>-5.3903842393077189E-2</v>
      </c>
      <c r="L309" s="6">
        <v>-0.44290788699405059</v>
      </c>
      <c r="N309" s="8">
        <f>SQRT((C309-Sheet5!$C$525)^2+(D309-Sheet5!$D$525)^2+(E309-Sheet5!$E$525)^2+(F309-Sheet5!$F$525)^2+(G309-Sheet5!$G$525)^2+(H309-Sheet5!$H$525)^2+(I309-Sheet5!$I$525)^2+(J309-Sheet5!$J$525)^2+(K309-Sheet5!$K$525)^2+(L309-Sheet5!$L$525)^2)</f>
        <v>3.7419790286816883</v>
      </c>
      <c r="O309" s="8">
        <f>SQRT((C309-Sheet5!$C$526)^2+(D309-Sheet5!$D$526)^2+(E309-Sheet5!$E$526)^2+(F309-Sheet5!$F$526)^2+(G309-Sheet5!$G$526)^2+(H309-Sheet5!$H$526)^2+(I309-Sheet5!$I$526)^2+(J309-Sheet5!$J$526)^2+(K309-Sheet5!$K$526)^2+(L309-Sheet5!$L$526)^2)</f>
        <v>6.8731070044348481</v>
      </c>
      <c r="P309" s="12">
        <f t="shared" si="4"/>
        <v>0</v>
      </c>
      <c r="Q309" s="11">
        <f>IF(P309=Sheet1!$M309, 1, 0)</f>
        <v>0</v>
      </c>
    </row>
    <row r="310" spans="1:17" x14ac:dyDescent="0.35">
      <c r="A310" s="6" t="s">
        <v>322</v>
      </c>
      <c r="B310" s="6" t="s">
        <v>339</v>
      </c>
      <c r="C310" s="6">
        <v>2.1347336500028091</v>
      </c>
      <c r="D310" s="6">
        <v>-1.2807174217393646</v>
      </c>
      <c r="E310" s="6">
        <v>-1.4624381230443642</v>
      </c>
      <c r="F310" s="6">
        <v>-1.1765693511108013</v>
      </c>
      <c r="G310" s="6">
        <v>-0.31555603455568837</v>
      </c>
      <c r="H310" s="6">
        <v>-1.8880340908467614</v>
      </c>
      <c r="I310" s="6">
        <v>-0.15214570027579766</v>
      </c>
      <c r="J310" s="6">
        <v>-1.1461775838033095</v>
      </c>
      <c r="K310" s="6">
        <v>2.1698207021335314</v>
      </c>
      <c r="L310" s="6">
        <v>-0.40972860402054001</v>
      </c>
      <c r="N310" s="8">
        <f>SQRT((C310-Sheet5!$C$525)^2+(D310-Sheet5!$D$525)^2+(E310-Sheet5!$E$525)^2+(F310-Sheet5!$F$525)^2+(G310-Sheet5!$G$525)^2+(H310-Sheet5!$H$525)^2+(I310-Sheet5!$I$525)^2+(J310-Sheet5!$J$525)^2+(K310-Sheet5!$K$525)^2+(L310-Sheet5!$L$525)^2)</f>
        <v>3.6029874633592316</v>
      </c>
      <c r="O310" s="8">
        <f>SQRT((C310-Sheet5!$C$526)^2+(D310-Sheet5!$D$526)^2+(E310-Sheet5!$E$526)^2+(F310-Sheet5!$F$526)^2+(G310-Sheet5!$G$526)^2+(H310-Sheet5!$H$526)^2+(I310-Sheet5!$I$526)^2+(J310-Sheet5!$J$526)^2+(K310-Sheet5!$K$526)^2+(L310-Sheet5!$L$526)^2)</f>
        <v>6.725348695839811</v>
      </c>
      <c r="P310" s="12">
        <f t="shared" si="4"/>
        <v>0</v>
      </c>
      <c r="Q310" s="11">
        <f>IF(P310=Sheet1!$M310, 1, 0)</f>
        <v>0</v>
      </c>
    </row>
    <row r="311" spans="1:17" x14ac:dyDescent="0.35">
      <c r="A311" s="6" t="s">
        <v>322</v>
      </c>
      <c r="B311" s="6" t="s">
        <v>340</v>
      </c>
      <c r="C311" s="6">
        <v>8.5466420868568094E-2</v>
      </c>
      <c r="D311" s="6">
        <v>-0.32936213708289924</v>
      </c>
      <c r="E311" s="6">
        <v>-0.76286171261271329</v>
      </c>
      <c r="F311" s="6">
        <v>-0.63271513307843041</v>
      </c>
      <c r="G311" s="6">
        <v>-0.69881918003086696</v>
      </c>
      <c r="H311" s="6">
        <v>0.63923852367022937</v>
      </c>
      <c r="I311" s="6">
        <v>0.58352450150449442</v>
      </c>
      <c r="J311" s="6">
        <v>-1.552341645825799</v>
      </c>
      <c r="K311" s="6">
        <v>-0.35592976575242774</v>
      </c>
      <c r="L311" s="6">
        <v>-0.42955388086498325</v>
      </c>
      <c r="N311" s="8">
        <f>SQRT((C311-Sheet5!$C$525)^2+(D311-Sheet5!$D$525)^2+(E311-Sheet5!$E$525)^2+(F311-Sheet5!$F$525)^2+(G311-Sheet5!$G$525)^2+(H311-Sheet5!$H$525)^2+(I311-Sheet5!$I$525)^2+(J311-Sheet5!$J$525)^2+(K311-Sheet5!$K$525)^2+(L311-Sheet5!$L$525)^2)</f>
        <v>1.8871125658252181</v>
      </c>
      <c r="O311" s="8">
        <f>SQRT((C311-Sheet5!$C$526)^2+(D311-Sheet5!$D$526)^2+(E311-Sheet5!$E$526)^2+(F311-Sheet5!$F$526)^2+(G311-Sheet5!$G$526)^2+(H311-Sheet5!$H$526)^2+(I311-Sheet5!$I$526)^2+(J311-Sheet5!$J$526)^2+(K311-Sheet5!$K$526)^2+(L311-Sheet5!$L$526)^2)</f>
        <v>4.2597505855619078</v>
      </c>
      <c r="P311" s="12">
        <f t="shared" si="4"/>
        <v>0</v>
      </c>
      <c r="Q311" s="11">
        <f>IF(P311=Sheet1!$M311, 1, 0)</f>
        <v>1</v>
      </c>
    </row>
    <row r="312" spans="1:17" x14ac:dyDescent="0.35">
      <c r="A312" s="6" t="s">
        <v>322</v>
      </c>
      <c r="B312" s="6" t="s">
        <v>341</v>
      </c>
      <c r="C312" s="6">
        <v>1.9092739941452108</v>
      </c>
      <c r="D312" s="6">
        <v>-0.6669398187351937</v>
      </c>
      <c r="E312" s="6">
        <v>-1.6742635237806462</v>
      </c>
      <c r="F312" s="6">
        <v>-1.3183103937707965</v>
      </c>
      <c r="G312" s="6">
        <v>-0.46073146844780222</v>
      </c>
      <c r="H312" s="6">
        <v>-1.627873674646483</v>
      </c>
      <c r="I312" s="6">
        <v>-0.60604273984908019</v>
      </c>
      <c r="J312" s="6">
        <v>-1.1765449903096639</v>
      </c>
      <c r="K312" s="6">
        <v>1.9538643424258106</v>
      </c>
      <c r="L312" s="6">
        <v>-0.41533519709292871</v>
      </c>
      <c r="N312" s="8">
        <f>SQRT((C312-Sheet5!$C$525)^2+(D312-Sheet5!$D$525)^2+(E312-Sheet5!$E$525)^2+(F312-Sheet5!$F$525)^2+(G312-Sheet5!$G$525)^2+(H312-Sheet5!$H$525)^2+(I312-Sheet5!$I$525)^2+(J312-Sheet5!$J$525)^2+(K312-Sheet5!$K$525)^2+(L312-Sheet5!$L$525)^2)</f>
        <v>3.279274156773289</v>
      </c>
      <c r="O312" s="8">
        <f>SQRT((C312-Sheet5!$C$526)^2+(D312-Sheet5!$D$526)^2+(E312-Sheet5!$E$526)^2+(F312-Sheet5!$F$526)^2+(G312-Sheet5!$G$526)^2+(H312-Sheet5!$H$526)^2+(I312-Sheet5!$I$526)^2+(J312-Sheet5!$J$526)^2+(K312-Sheet5!$K$526)^2+(L312-Sheet5!$L$526)^2)</f>
        <v>6.522154535682561</v>
      </c>
      <c r="P312" s="12">
        <f t="shared" si="4"/>
        <v>0</v>
      </c>
      <c r="Q312" s="11">
        <f>IF(P312=Sheet1!$M312, 1, 0)</f>
        <v>0</v>
      </c>
    </row>
    <row r="313" spans="1:17" x14ac:dyDescent="0.35">
      <c r="A313" s="6" t="s">
        <v>322</v>
      </c>
      <c r="B313" s="6" t="s">
        <v>342</v>
      </c>
      <c r="C313" s="6">
        <v>2.3964278934089496</v>
      </c>
      <c r="D313" s="6">
        <v>-1.0904463648080713</v>
      </c>
      <c r="E313" s="6">
        <v>-1.867300932451623</v>
      </c>
      <c r="F313" s="6">
        <v>-1.9869583558842505</v>
      </c>
      <c r="G313" s="6">
        <v>-2.6122313987289285</v>
      </c>
      <c r="H313" s="6">
        <v>0.21964232445694415</v>
      </c>
      <c r="I313" s="6">
        <v>-2.2412195748286714</v>
      </c>
      <c r="J313" s="6">
        <v>-1.4460557230535587</v>
      </c>
      <c r="K313" s="6">
        <v>-0.10085087711214884</v>
      </c>
      <c r="L313" s="6">
        <v>-0.44253432585874242</v>
      </c>
      <c r="N313" s="8">
        <f>SQRT((C313-Sheet5!$C$525)^2+(D313-Sheet5!$D$525)^2+(E313-Sheet5!$E$525)^2+(F313-Sheet5!$F$525)^2+(G313-Sheet5!$G$525)^2+(H313-Sheet5!$H$525)^2+(I313-Sheet5!$I$525)^2+(J313-Sheet5!$J$525)^2+(K313-Sheet5!$K$525)^2+(L313-Sheet5!$L$525)^2)</f>
        <v>4.4755707456212654</v>
      </c>
      <c r="O313" s="8">
        <f>SQRT((C313-Sheet5!$C$526)^2+(D313-Sheet5!$D$526)^2+(E313-Sheet5!$E$526)^2+(F313-Sheet5!$F$526)^2+(G313-Sheet5!$G$526)^2+(H313-Sheet5!$H$526)^2+(I313-Sheet5!$I$526)^2+(J313-Sheet5!$J$526)^2+(K313-Sheet5!$K$526)^2+(L313-Sheet5!$L$526)^2)</f>
        <v>7.673068860753534</v>
      </c>
      <c r="P313" s="12">
        <f t="shared" si="4"/>
        <v>0</v>
      </c>
      <c r="Q313" s="11">
        <f>IF(P313=Sheet1!$M313, 1, 0)</f>
        <v>0</v>
      </c>
    </row>
    <row r="314" spans="1:17" x14ac:dyDescent="0.35">
      <c r="A314" s="6" t="s">
        <v>322</v>
      </c>
      <c r="B314" s="6" t="s">
        <v>343</v>
      </c>
      <c r="C314" s="6">
        <v>0.54443786315010712</v>
      </c>
      <c r="D314" s="6">
        <v>-0.82038421948623641</v>
      </c>
      <c r="E314" s="6">
        <v>-1.6444237716769265</v>
      </c>
      <c r="F314" s="6">
        <v>-1.4646734269523125</v>
      </c>
      <c r="G314" s="6">
        <v>-1.3492051238675355</v>
      </c>
      <c r="H314" s="6">
        <v>-0.32976476565544532</v>
      </c>
      <c r="I314" s="6">
        <v>5.6315440090021318E-2</v>
      </c>
      <c r="J314" s="6">
        <v>-0.61854389575540236</v>
      </c>
      <c r="K314" s="6">
        <v>9.9456471022549467E-2</v>
      </c>
      <c r="L314" s="6">
        <v>-0.41891455549994094</v>
      </c>
      <c r="N314" s="8">
        <f>SQRT((C314-Sheet5!$C$525)^2+(D314-Sheet5!$D$525)^2+(E314-Sheet5!$E$525)^2+(F314-Sheet5!$F$525)^2+(G314-Sheet5!$G$525)^2+(H314-Sheet5!$H$525)^2+(I314-Sheet5!$I$525)^2+(J314-Sheet5!$J$525)^2+(K314-Sheet5!$K$525)^2+(L314-Sheet5!$L$525)^2)</f>
        <v>2.012395900980692</v>
      </c>
      <c r="O314" s="8">
        <f>SQRT((C314-Sheet5!$C$526)^2+(D314-Sheet5!$D$526)^2+(E314-Sheet5!$E$526)^2+(F314-Sheet5!$F$526)^2+(G314-Sheet5!$G$526)^2+(H314-Sheet5!$H$526)^2+(I314-Sheet5!$I$526)^2+(J314-Sheet5!$J$526)^2+(K314-Sheet5!$K$526)^2+(L314-Sheet5!$L$526)^2)</f>
        <v>5.310696888311031</v>
      </c>
      <c r="P314" s="12">
        <f t="shared" si="4"/>
        <v>0</v>
      </c>
      <c r="Q314" s="11">
        <f>IF(P314=Sheet1!$M314, 1, 0)</f>
        <v>1</v>
      </c>
    </row>
    <row r="315" spans="1:17" x14ac:dyDescent="0.35">
      <c r="A315" s="6" t="s">
        <v>322</v>
      </c>
      <c r="B315" s="6" t="s">
        <v>344</v>
      </c>
      <c r="C315" s="6">
        <v>-0.4164497177667994</v>
      </c>
      <c r="D315" s="6">
        <v>1.9416149940325327</v>
      </c>
      <c r="E315" s="6">
        <v>1.0658361817436401</v>
      </c>
      <c r="F315" s="6">
        <v>1.5118884689075804</v>
      </c>
      <c r="G315" s="6">
        <v>2.1250972074018888E-2</v>
      </c>
      <c r="H315" s="6">
        <v>0.68179064143383628</v>
      </c>
      <c r="I315" s="6">
        <v>0.73014854518687478</v>
      </c>
      <c r="J315" s="6">
        <v>1.7842771440598861</v>
      </c>
      <c r="K315" s="6">
        <v>-1.1149068270440565</v>
      </c>
      <c r="L315" s="6">
        <v>-0.11353933906008178</v>
      </c>
      <c r="N315" s="8">
        <f>SQRT((C315-Sheet5!$C$525)^2+(D315-Sheet5!$D$525)^2+(E315-Sheet5!$E$525)^2+(F315-Sheet5!$F$525)^2+(G315-Sheet5!$G$525)^2+(H315-Sheet5!$H$525)^2+(I315-Sheet5!$I$525)^2+(J315-Sheet5!$J$525)^2+(K315-Sheet5!$K$525)^2+(L315-Sheet5!$L$525)^2)</f>
        <v>4.5256597054777963</v>
      </c>
      <c r="O315" s="8">
        <f>SQRT((C315-Sheet5!$C$526)^2+(D315-Sheet5!$D$526)^2+(E315-Sheet5!$E$526)^2+(F315-Sheet5!$F$526)^2+(G315-Sheet5!$G$526)^2+(H315-Sheet5!$H$526)^2+(I315-Sheet5!$I$526)^2+(J315-Sheet5!$J$526)^2+(K315-Sheet5!$K$526)^2+(L315-Sheet5!$L$526)^2)</f>
        <v>1.8491085938457048</v>
      </c>
      <c r="P315" s="12">
        <f t="shared" si="4"/>
        <v>1</v>
      </c>
      <c r="Q315" s="11">
        <f>IF(P315=Sheet1!$M315, 1, 0)</f>
        <v>0</v>
      </c>
    </row>
    <row r="316" spans="1:17" x14ac:dyDescent="0.35">
      <c r="A316" s="6" t="s">
        <v>345</v>
      </c>
      <c r="B316" s="6" t="s">
        <v>346</v>
      </c>
      <c r="C316" s="6">
        <v>-0.61909500368642634</v>
      </c>
      <c r="D316" s="6">
        <v>-1.0536197086278214</v>
      </c>
      <c r="E316" s="6">
        <v>-0.18301270259722169</v>
      </c>
      <c r="F316" s="6">
        <v>-0.43551020416017633</v>
      </c>
      <c r="G316" s="6">
        <v>-0.16747709198573077</v>
      </c>
      <c r="H316" s="6">
        <v>0.83260827401370774</v>
      </c>
      <c r="I316" s="6">
        <v>0.66703645681924084</v>
      </c>
      <c r="J316" s="6">
        <v>-0.41356390183751041</v>
      </c>
      <c r="K316" s="6">
        <v>0.528239388123389</v>
      </c>
      <c r="L316" s="6">
        <v>-0.16749357745504403</v>
      </c>
      <c r="N316" s="8">
        <f>SQRT((C316-Sheet5!$C$525)^2+(D316-Sheet5!$D$525)^2+(E316-Sheet5!$E$525)^2+(F316-Sheet5!$F$525)^2+(G316-Sheet5!$G$525)^2+(H316-Sheet5!$H$525)^2+(I316-Sheet5!$I$525)^2+(J316-Sheet5!$J$525)^2+(K316-Sheet5!$K$525)^2+(L316-Sheet5!$L$525)^2)</f>
        <v>1.8743647509002044</v>
      </c>
      <c r="O316" s="8">
        <f>SQRT((C316-Sheet5!$C$526)^2+(D316-Sheet5!$D$526)^2+(E316-Sheet5!$E$526)^2+(F316-Sheet5!$F$526)^2+(G316-Sheet5!$G$526)^2+(H316-Sheet5!$H$526)^2+(I316-Sheet5!$I$526)^2+(J316-Sheet5!$J$526)^2+(K316-Sheet5!$K$526)^2+(L316-Sheet5!$L$526)^2)</f>
        <v>3.5233024566555842</v>
      </c>
      <c r="P316" s="12">
        <f t="shared" si="4"/>
        <v>0</v>
      </c>
      <c r="Q316" s="11">
        <f>IF(P316=Sheet1!$M316, 1, 0)</f>
        <v>1</v>
      </c>
    </row>
    <row r="317" spans="1:17" x14ac:dyDescent="0.35">
      <c r="A317" s="6" t="s">
        <v>345</v>
      </c>
      <c r="B317" s="6" t="s">
        <v>347</v>
      </c>
      <c r="C317" s="6">
        <v>-0.77745357149116789</v>
      </c>
      <c r="D317" s="6">
        <v>-1.0045175003874875</v>
      </c>
      <c r="E317" s="6">
        <v>-0.41694162341033297</v>
      </c>
      <c r="F317" s="6">
        <v>-0.29068783448583185</v>
      </c>
      <c r="G317" s="6">
        <v>1.2145930386671946</v>
      </c>
      <c r="H317" s="6">
        <v>0.26758078624126053</v>
      </c>
      <c r="I317" s="6">
        <v>-0.67744227416397784</v>
      </c>
      <c r="J317" s="6">
        <v>-0.24274724023926728</v>
      </c>
      <c r="K317" s="6">
        <v>0.10884587796636379</v>
      </c>
      <c r="L317" s="6">
        <v>-0.33685166998712923</v>
      </c>
      <c r="N317" s="8">
        <f>SQRT((C317-Sheet5!$C$525)^2+(D317-Sheet5!$D$525)^2+(E317-Sheet5!$E$525)^2+(F317-Sheet5!$F$525)^2+(G317-Sheet5!$G$525)^2+(H317-Sheet5!$H$525)^2+(I317-Sheet5!$I$525)^2+(J317-Sheet5!$J$525)^2+(K317-Sheet5!$K$525)^2+(L317-Sheet5!$L$525)^2)</f>
        <v>2.1046545589249677</v>
      </c>
      <c r="O317" s="8">
        <f>SQRT((C317-Sheet5!$C$526)^2+(D317-Sheet5!$D$526)^2+(E317-Sheet5!$E$526)^2+(F317-Sheet5!$F$526)^2+(G317-Sheet5!$G$526)^2+(H317-Sheet5!$H$526)^2+(I317-Sheet5!$I$526)^2+(J317-Sheet5!$J$526)^2+(K317-Sheet5!$K$526)^2+(L317-Sheet5!$L$526)^2)</f>
        <v>3.5478080096990228</v>
      </c>
      <c r="P317" s="12">
        <f t="shared" si="4"/>
        <v>0</v>
      </c>
      <c r="Q317" s="11">
        <f>IF(P317=Sheet1!$M317, 1, 0)</f>
        <v>1</v>
      </c>
    </row>
    <row r="318" spans="1:17" x14ac:dyDescent="0.35">
      <c r="A318" s="6" t="s">
        <v>345</v>
      </c>
      <c r="B318" s="6" t="s">
        <v>348</v>
      </c>
      <c r="C318" s="6">
        <v>-0.17220175725440129</v>
      </c>
      <c r="D318" s="6">
        <v>-0.80810866742615273</v>
      </c>
      <c r="E318" s="6">
        <v>-1.0660483296665568</v>
      </c>
      <c r="F318" s="6">
        <v>-0.5726292562986498</v>
      </c>
      <c r="G318" s="6">
        <v>0.98231234443981319</v>
      </c>
      <c r="H318" s="6">
        <v>-0.77306087855985339</v>
      </c>
      <c r="I318" s="6">
        <v>-1.2492760445252618</v>
      </c>
      <c r="J318" s="6">
        <v>-0.69825833783458258</v>
      </c>
      <c r="K318" s="6">
        <v>0.11354058143827095</v>
      </c>
      <c r="L318" s="6">
        <v>-0.30614159310387706</v>
      </c>
      <c r="N318" s="8">
        <f>SQRT((C318-Sheet5!$C$525)^2+(D318-Sheet5!$D$525)^2+(E318-Sheet5!$E$525)^2+(F318-Sheet5!$F$525)^2+(G318-Sheet5!$G$525)^2+(H318-Sheet5!$H$525)^2+(I318-Sheet5!$I$525)^2+(J318-Sheet5!$J$525)^2+(K318-Sheet5!$K$525)^2+(L318-Sheet5!$L$525)^2)</f>
        <v>1.9710209084406645</v>
      </c>
      <c r="O318" s="8">
        <f>SQRT((C318-Sheet5!$C$526)^2+(D318-Sheet5!$D$526)^2+(E318-Sheet5!$E$526)^2+(F318-Sheet5!$F$526)^2+(G318-Sheet5!$G$526)^2+(H318-Sheet5!$H$526)^2+(I318-Sheet5!$I$526)^2+(J318-Sheet5!$J$526)^2+(K318-Sheet5!$K$526)^2+(L318-Sheet5!$L$526)^2)</f>
        <v>4.487726101207973</v>
      </c>
      <c r="P318" s="12">
        <f t="shared" si="4"/>
        <v>0</v>
      </c>
      <c r="Q318" s="11">
        <f>IF(P318=Sheet1!$M318, 1, 0)</f>
        <v>1</v>
      </c>
    </row>
    <row r="319" spans="1:17" x14ac:dyDescent="0.35">
      <c r="A319" s="6" t="s">
        <v>345</v>
      </c>
      <c r="B319" s="6" t="s">
        <v>349</v>
      </c>
      <c r="C319" s="6">
        <v>-0.95191640042859527</v>
      </c>
      <c r="D319" s="6">
        <v>-0.85721087566648646</v>
      </c>
      <c r="E319" s="6">
        <v>-0.94558414524783652</v>
      </c>
      <c r="F319" s="6">
        <v>-0.6003611994277781</v>
      </c>
      <c r="G319" s="6">
        <v>0.44225973036114985</v>
      </c>
      <c r="H319" s="6">
        <v>0.36345770980989323</v>
      </c>
      <c r="I319" s="6">
        <v>0.2373642592456566</v>
      </c>
      <c r="J319" s="6">
        <v>1.0061123523345556</v>
      </c>
      <c r="K319" s="6">
        <v>-1.3465121983248018</v>
      </c>
      <c r="L319" s="6">
        <v>-0.34472088010487245</v>
      </c>
      <c r="N319" s="8">
        <f>SQRT((C319-Sheet5!$C$525)^2+(D319-Sheet5!$D$525)^2+(E319-Sheet5!$E$525)^2+(F319-Sheet5!$F$525)^2+(G319-Sheet5!$G$525)^2+(H319-Sheet5!$H$525)^2+(I319-Sheet5!$I$525)^2+(J319-Sheet5!$J$525)^2+(K319-Sheet5!$K$525)^2+(L319-Sheet5!$L$525)^2)</f>
        <v>2.7867351767328312</v>
      </c>
      <c r="O319" s="8">
        <f>SQRT((C319-Sheet5!$C$526)^2+(D319-Sheet5!$D$526)^2+(E319-Sheet5!$E$526)^2+(F319-Sheet5!$F$526)^2+(G319-Sheet5!$G$526)^2+(H319-Sheet5!$H$526)^2+(I319-Sheet5!$I$526)^2+(J319-Sheet5!$J$526)^2+(K319-Sheet5!$K$526)^2+(L319-Sheet5!$L$526)^2)</f>
        <v>3.4455672072086561</v>
      </c>
      <c r="P319" s="12">
        <f t="shared" si="4"/>
        <v>0</v>
      </c>
      <c r="Q319" s="11">
        <f>IF(P319=Sheet1!$M319, 1, 0)</f>
        <v>1</v>
      </c>
    </row>
    <row r="320" spans="1:17" x14ac:dyDescent="0.35">
      <c r="A320" s="6" t="s">
        <v>345</v>
      </c>
      <c r="B320" s="6" t="s">
        <v>350</v>
      </c>
      <c r="C320" s="6">
        <v>-1.0364637713751945</v>
      </c>
      <c r="D320" s="6">
        <v>-0.64238871461502689</v>
      </c>
      <c r="E320" s="6">
        <v>-0.735600704517957</v>
      </c>
      <c r="F320" s="6">
        <v>-0.57416991980582233</v>
      </c>
      <c r="G320" s="6">
        <v>0.51194393862936305</v>
      </c>
      <c r="H320" s="6">
        <v>-0.36962371140869682</v>
      </c>
      <c r="I320" s="6">
        <v>-0.22035775538020902</v>
      </c>
      <c r="J320" s="6">
        <v>-0.61095204412881376</v>
      </c>
      <c r="K320" s="6">
        <v>-8.5217088313108893E-3</v>
      </c>
      <c r="L320" s="6">
        <v>-0.17078811586902648</v>
      </c>
      <c r="N320" s="8">
        <f>SQRT((C320-Sheet5!$C$525)^2+(D320-Sheet5!$D$525)^2+(E320-Sheet5!$E$525)^2+(F320-Sheet5!$F$525)^2+(G320-Sheet5!$G$525)^2+(H320-Sheet5!$H$525)^2+(I320-Sheet5!$I$525)^2+(J320-Sheet5!$J$525)^2+(K320-Sheet5!$K$525)^2+(L320-Sheet5!$L$525)^2)</f>
        <v>1.6503332323276547</v>
      </c>
      <c r="O320" s="8">
        <f>SQRT((C320-Sheet5!$C$526)^2+(D320-Sheet5!$D$526)^2+(E320-Sheet5!$E$526)^2+(F320-Sheet5!$F$526)^2+(G320-Sheet5!$G$526)^2+(H320-Sheet5!$H$526)^2+(I320-Sheet5!$I$526)^2+(J320-Sheet5!$J$526)^2+(K320-Sheet5!$K$526)^2+(L320-Sheet5!$L$526)^2)</f>
        <v>3.7173540462780523</v>
      </c>
      <c r="P320" s="12">
        <f t="shared" si="4"/>
        <v>0</v>
      </c>
      <c r="Q320" s="11">
        <f>IF(P320=Sheet1!$M320, 1, 0)</f>
        <v>1</v>
      </c>
    </row>
    <row r="321" spans="1:17" x14ac:dyDescent="0.35">
      <c r="A321" s="6" t="s">
        <v>345</v>
      </c>
      <c r="B321" s="6" t="s">
        <v>351</v>
      </c>
      <c r="C321" s="6">
        <v>-0.2876156287053146</v>
      </c>
      <c r="D321" s="6">
        <v>-0.59942428240473467</v>
      </c>
      <c r="E321" s="6">
        <v>-0.41104735138984516</v>
      </c>
      <c r="F321" s="6">
        <v>-0.38466830842343708</v>
      </c>
      <c r="G321" s="6">
        <v>0.42193516961625177</v>
      </c>
      <c r="H321" s="6">
        <v>-9.384289754836074E-2</v>
      </c>
      <c r="I321" s="6">
        <v>-1.7777600976239292</v>
      </c>
      <c r="J321" s="6">
        <v>0.71382606471089516</v>
      </c>
      <c r="K321" s="6">
        <v>-0.78627758401056824</v>
      </c>
      <c r="L321" s="6">
        <v>-6.5095806499006745E-2</v>
      </c>
      <c r="N321" s="8">
        <f>SQRT((C321-Sheet5!$C$525)^2+(D321-Sheet5!$D$525)^2+(E321-Sheet5!$E$525)^2+(F321-Sheet5!$F$525)^2+(G321-Sheet5!$G$525)^2+(H321-Sheet5!$H$525)^2+(I321-Sheet5!$I$525)^2+(J321-Sheet5!$J$525)^2+(K321-Sheet5!$K$525)^2+(L321-Sheet5!$L$525)^2)</f>
        <v>2.3524836164830965</v>
      </c>
      <c r="O321" s="8">
        <f>SQRT((C321-Sheet5!$C$526)^2+(D321-Sheet5!$D$526)^2+(E321-Sheet5!$E$526)^2+(F321-Sheet5!$F$526)^2+(G321-Sheet5!$G$526)^2+(H321-Sheet5!$H$526)^2+(I321-Sheet5!$I$526)^2+(J321-Sheet5!$J$526)^2+(K321-Sheet5!$K$526)^2+(L321-Sheet5!$L$526)^2)</f>
        <v>3.7335296050173077</v>
      </c>
      <c r="P321" s="12">
        <f t="shared" si="4"/>
        <v>0</v>
      </c>
      <c r="Q321" s="11">
        <f>IF(P321=Sheet1!$M321, 1, 0)</f>
        <v>1</v>
      </c>
    </row>
    <row r="322" spans="1:17" x14ac:dyDescent="0.35">
      <c r="A322" s="6" t="s">
        <v>345</v>
      </c>
      <c r="B322" s="6" t="s">
        <v>352</v>
      </c>
      <c r="C322" s="6">
        <v>-0.40168747839517105</v>
      </c>
      <c r="D322" s="6">
        <v>-0.83265977154631954</v>
      </c>
      <c r="E322" s="6">
        <v>-0.59561174403137074</v>
      </c>
      <c r="F322" s="6">
        <v>-0.46170148378213</v>
      </c>
      <c r="G322" s="6">
        <v>0.6338913030987392</v>
      </c>
      <c r="H322" s="6">
        <v>-0.63947954684625308</v>
      </c>
      <c r="I322" s="6">
        <v>-2.1041579687777499</v>
      </c>
      <c r="J322" s="6">
        <v>-0.421155753464099</v>
      </c>
      <c r="K322" s="6">
        <v>1.3013005598307392</v>
      </c>
      <c r="L322" s="6">
        <v>-0.25558998305202518</v>
      </c>
      <c r="N322" s="8">
        <f>SQRT((C322-Sheet5!$C$525)^2+(D322-Sheet5!$D$525)^2+(E322-Sheet5!$E$525)^2+(F322-Sheet5!$F$525)^2+(G322-Sheet5!$G$525)^2+(H322-Sheet5!$H$525)^2+(I322-Sheet5!$I$525)^2+(J322-Sheet5!$J$525)^2+(K322-Sheet5!$K$525)^2+(L322-Sheet5!$L$525)^2)</f>
        <v>2.5047922065733683</v>
      </c>
      <c r="O322" s="8">
        <f>SQRT((C322-Sheet5!$C$526)^2+(D322-Sheet5!$D$526)^2+(E322-Sheet5!$E$526)^2+(F322-Sheet5!$F$526)^2+(G322-Sheet5!$G$526)^2+(H322-Sheet5!$H$526)^2+(I322-Sheet5!$I$526)^2+(J322-Sheet5!$J$526)^2+(K322-Sheet5!$K$526)^2+(L322-Sheet5!$L$526)^2)</f>
        <v>4.8696239601518929</v>
      </c>
      <c r="P322" s="12">
        <f t="shared" si="4"/>
        <v>0</v>
      </c>
      <c r="Q322" s="11">
        <f>IF(P322=Sheet1!$M322, 1, 0)</f>
        <v>1</v>
      </c>
    </row>
    <row r="323" spans="1:17" x14ac:dyDescent="0.35">
      <c r="A323" s="6" t="s">
        <v>345</v>
      </c>
      <c r="B323" s="6" t="s">
        <v>353</v>
      </c>
      <c r="C323" s="6">
        <v>-0.44865824003217064</v>
      </c>
      <c r="D323" s="6">
        <v>-0.55645985019444255</v>
      </c>
      <c r="E323" s="6">
        <v>-1.1629354260033258</v>
      </c>
      <c r="F323" s="6">
        <v>-0.6434997776286463</v>
      </c>
      <c r="G323" s="6">
        <v>0.83423340186985562</v>
      </c>
      <c r="H323" s="6">
        <v>-0.40409631314123895</v>
      </c>
      <c r="I323" s="6">
        <v>-0.51870580948174894</v>
      </c>
      <c r="J323" s="6">
        <v>-0.33384945975833041</v>
      </c>
      <c r="K323" s="6">
        <v>0.45155923141557353</v>
      </c>
      <c r="L323" s="6">
        <v>-0.32289509332332544</v>
      </c>
      <c r="N323" s="8">
        <f>SQRT((C323-Sheet5!$C$525)^2+(D323-Sheet5!$D$525)^2+(E323-Sheet5!$E$525)^2+(F323-Sheet5!$F$525)^2+(G323-Sheet5!$G$525)^2+(H323-Sheet5!$H$525)^2+(I323-Sheet5!$I$525)^2+(J323-Sheet5!$J$525)^2+(K323-Sheet5!$K$525)^2+(L323-Sheet5!$L$525)^2)</f>
        <v>1.6340380322024384</v>
      </c>
      <c r="O323" s="8">
        <f>SQRT((C323-Sheet5!$C$526)^2+(D323-Sheet5!$D$526)^2+(E323-Sheet5!$E$526)^2+(F323-Sheet5!$F$526)^2+(G323-Sheet5!$G$526)^2+(H323-Sheet5!$H$526)^2+(I323-Sheet5!$I$526)^2+(J323-Sheet5!$J$526)^2+(K323-Sheet5!$K$526)^2+(L323-Sheet5!$L$526)^2)</f>
        <v>4.0101590419401285</v>
      </c>
      <c r="P323" s="12">
        <f t="shared" ref="P323:P386" si="5">IF(N323&lt;=O323, 0, 1)</f>
        <v>0</v>
      </c>
      <c r="Q323" s="11">
        <f>IF(P323=Sheet1!$M323, 1, 0)</f>
        <v>1</v>
      </c>
    </row>
    <row r="324" spans="1:17" x14ac:dyDescent="0.35">
      <c r="A324" s="6" t="s">
        <v>345</v>
      </c>
      <c r="B324" s="6" t="s">
        <v>354</v>
      </c>
      <c r="C324" s="6">
        <v>-0.80697805023442493</v>
      </c>
      <c r="D324" s="6">
        <v>-0.97382862023727912</v>
      </c>
      <c r="E324" s="6">
        <v>-1.0546281776268616</v>
      </c>
      <c r="F324" s="6">
        <v>-0.76983418521690161</v>
      </c>
      <c r="G324" s="6">
        <v>0.69486498533342511</v>
      </c>
      <c r="H324" s="6">
        <v>-0.40786675395573613</v>
      </c>
      <c r="I324" s="6">
        <v>-2.3132566049856664</v>
      </c>
      <c r="J324" s="6">
        <v>-0.81213611223341153</v>
      </c>
      <c r="K324" s="6">
        <v>0.39365788859538886</v>
      </c>
      <c r="L324" s="6">
        <v>-0.36626368565499096</v>
      </c>
      <c r="N324" s="8">
        <f>SQRT((C324-Sheet5!$C$525)^2+(D324-Sheet5!$D$525)^2+(E324-Sheet5!$E$525)^2+(F324-Sheet5!$F$525)^2+(G324-Sheet5!$G$525)^2+(H324-Sheet5!$H$525)^2+(I324-Sheet5!$I$525)^2+(J324-Sheet5!$J$525)^2+(K324-Sheet5!$K$525)^2+(L324-Sheet5!$L$525)^2)</f>
        <v>2.7331647902203242</v>
      </c>
      <c r="O324" s="8">
        <f>SQRT((C324-Sheet5!$C$526)^2+(D324-Sheet5!$D$526)^2+(E324-Sheet5!$E$526)^2+(F324-Sheet5!$F$526)^2+(G324-Sheet5!$G$526)^2+(H324-Sheet5!$H$526)^2+(I324-Sheet5!$I$526)^2+(J324-Sheet5!$J$526)^2+(K324-Sheet5!$K$526)^2+(L324-Sheet5!$L$526)^2)</f>
        <v>5.1475730131666007</v>
      </c>
      <c r="P324" s="12">
        <f t="shared" si="5"/>
        <v>0</v>
      </c>
      <c r="Q324" s="11">
        <f>IF(P324=Sheet1!$M324, 1, 0)</f>
        <v>1</v>
      </c>
    </row>
    <row r="325" spans="1:17" x14ac:dyDescent="0.35">
      <c r="A325" s="6" t="s">
        <v>345</v>
      </c>
      <c r="B325" s="6" t="s">
        <v>355</v>
      </c>
      <c r="C325" s="6">
        <v>-3.5315537626573863E-2</v>
      </c>
      <c r="D325" s="6">
        <v>-0.93700196405702862</v>
      </c>
      <c r="E325" s="6">
        <v>-0.70355060040655437</v>
      </c>
      <c r="F325" s="6">
        <v>-0.62501181554255936</v>
      </c>
      <c r="G325" s="6">
        <v>0.96489129237275895</v>
      </c>
      <c r="H325" s="6">
        <v>-0.30067850794361262</v>
      </c>
      <c r="I325" s="6">
        <v>-1.2167637565782996</v>
      </c>
      <c r="J325" s="6">
        <v>-0.91083018337906307</v>
      </c>
      <c r="K325" s="6">
        <v>0.44529962678636542</v>
      </c>
      <c r="L325" s="6">
        <v>-0.38580439324662275</v>
      </c>
      <c r="N325" s="8">
        <f>SQRT((C325-Sheet5!$C$525)^2+(D325-Sheet5!$D$525)^2+(E325-Sheet5!$E$525)^2+(F325-Sheet5!$F$525)^2+(G325-Sheet5!$G$525)^2+(H325-Sheet5!$H$525)^2+(I325-Sheet5!$I$525)^2+(J325-Sheet5!$J$525)^2+(K325-Sheet5!$K$525)^2+(L325-Sheet5!$L$525)^2)</f>
        <v>1.8588468498561128</v>
      </c>
      <c r="O325" s="8">
        <f>SQRT((C325-Sheet5!$C$526)^2+(D325-Sheet5!$D$526)^2+(E325-Sheet5!$E$526)^2+(F325-Sheet5!$F$526)^2+(G325-Sheet5!$G$526)^2+(H325-Sheet5!$H$526)^2+(I325-Sheet5!$I$526)^2+(J325-Sheet5!$J$526)^2+(K325-Sheet5!$K$526)^2+(L325-Sheet5!$L$526)^2)</f>
        <v>4.4429636247625499</v>
      </c>
      <c r="P325" s="12">
        <f t="shared" si="5"/>
        <v>0</v>
      </c>
      <c r="Q325" s="11">
        <f>IF(P325=Sheet1!$M325, 1, 0)</f>
        <v>1</v>
      </c>
    </row>
    <row r="326" spans="1:17" x14ac:dyDescent="0.35">
      <c r="A326" s="6" t="s">
        <v>345</v>
      </c>
      <c r="B326" s="6" t="s">
        <v>356</v>
      </c>
      <c r="C326" s="6">
        <v>-0.39497736958988527</v>
      </c>
      <c r="D326" s="6">
        <v>-1.483264030730741</v>
      </c>
      <c r="E326" s="6">
        <v>-0.88590464104039701</v>
      </c>
      <c r="F326" s="6">
        <v>-1.0825888771731962</v>
      </c>
      <c r="G326" s="6">
        <v>-0.34168761265626574</v>
      </c>
      <c r="H326" s="6">
        <v>-0.31576027120159983</v>
      </c>
      <c r="I326" s="6">
        <v>0.87358510965876879</v>
      </c>
      <c r="J326" s="6">
        <v>-0.48568649229010219</v>
      </c>
      <c r="K326" s="6">
        <v>-0.61570335786461383</v>
      </c>
      <c r="L326" s="6">
        <v>-0.40392344559023469</v>
      </c>
      <c r="N326" s="8">
        <f>SQRT((C326-Sheet5!$C$525)^2+(D326-Sheet5!$D$525)^2+(E326-Sheet5!$E$525)^2+(F326-Sheet5!$F$525)^2+(G326-Sheet5!$G$525)^2+(H326-Sheet5!$H$525)^2+(I326-Sheet5!$I$525)^2+(J326-Sheet5!$J$525)^2+(K326-Sheet5!$K$525)^2+(L326-Sheet5!$L$525)^2)</f>
        <v>2.0882324775680061</v>
      </c>
      <c r="O326" s="8">
        <f>SQRT((C326-Sheet5!$C$526)^2+(D326-Sheet5!$D$526)^2+(E326-Sheet5!$E$526)^2+(F326-Sheet5!$F$526)^2+(G326-Sheet5!$G$526)^2+(H326-Sheet5!$H$526)^2+(I326-Sheet5!$I$526)^2+(J326-Sheet5!$J$526)^2+(K326-Sheet5!$K$526)^2+(L326-Sheet5!$L$526)^2)</f>
        <v>4.4368165288667711</v>
      </c>
      <c r="P326" s="12">
        <f t="shared" si="5"/>
        <v>0</v>
      </c>
      <c r="Q326" s="11">
        <f>IF(P326=Sheet1!$M326, 1, 0)</f>
        <v>1</v>
      </c>
    </row>
    <row r="327" spans="1:17" x14ac:dyDescent="0.35">
      <c r="A327" s="6" t="s">
        <v>345</v>
      </c>
      <c r="B327" s="6" t="s">
        <v>357</v>
      </c>
      <c r="C327" s="6">
        <v>-1.0646462283573943</v>
      </c>
      <c r="D327" s="6">
        <v>-0.88176197978665327</v>
      </c>
      <c r="E327" s="6">
        <v>-0.62434632013124902</v>
      </c>
      <c r="F327" s="6">
        <v>-0.27219987239974702</v>
      </c>
      <c r="G327" s="6">
        <v>0.29998780514687567</v>
      </c>
      <c r="H327" s="6">
        <v>-7.8761134290373527E-2</v>
      </c>
      <c r="I327" s="6">
        <v>0.74098597450252912</v>
      </c>
      <c r="J327" s="6">
        <v>0.74419347121724921</v>
      </c>
      <c r="K327" s="6">
        <v>-0.31211253334796235</v>
      </c>
      <c r="L327" s="6">
        <v>-6.7054275659500187E-2</v>
      </c>
      <c r="N327" s="8">
        <f>SQRT((C327-Sheet5!$C$525)^2+(D327-Sheet5!$D$525)^2+(E327-Sheet5!$E$525)^2+(F327-Sheet5!$F$525)^2+(G327-Sheet5!$G$525)^2+(H327-Sheet5!$H$525)^2+(I327-Sheet5!$I$525)^2+(J327-Sheet5!$J$525)^2+(K327-Sheet5!$K$525)^2+(L327-Sheet5!$L$525)^2)</f>
        <v>2.2816205972437129</v>
      </c>
      <c r="O327" s="8">
        <f>SQRT((C327-Sheet5!$C$526)^2+(D327-Sheet5!$D$526)^2+(E327-Sheet5!$E$526)^2+(F327-Sheet5!$F$526)^2+(G327-Sheet5!$G$526)^2+(H327-Sheet5!$H$526)^2+(I327-Sheet5!$I$526)^2+(J327-Sheet5!$J$526)^2+(K327-Sheet5!$K$526)^2+(L327-Sheet5!$L$526)^2)</f>
        <v>3.0584307022610342</v>
      </c>
      <c r="P327" s="12">
        <f t="shared" si="5"/>
        <v>0</v>
      </c>
      <c r="Q327" s="11">
        <f>IF(P327=Sheet1!$M327, 1, 0)</f>
        <v>1</v>
      </c>
    </row>
    <row r="328" spans="1:17" x14ac:dyDescent="0.35">
      <c r="A328" s="6" t="s">
        <v>345</v>
      </c>
      <c r="B328" s="6" t="s">
        <v>358</v>
      </c>
      <c r="C328" s="6">
        <v>-1.0324377060920231</v>
      </c>
      <c r="D328" s="6">
        <v>1.2234951985176528</v>
      </c>
      <c r="E328" s="6">
        <v>1.5786378475260825</v>
      </c>
      <c r="F328" s="6">
        <v>1.5411610755438856</v>
      </c>
      <c r="G328" s="6">
        <v>1.005540413862551</v>
      </c>
      <c r="H328" s="6">
        <v>1.0383666156048186</v>
      </c>
      <c r="I328" s="6">
        <v>0.71166116576605254</v>
      </c>
      <c r="J328" s="6">
        <v>2.7788097071429916</v>
      </c>
      <c r="K328" s="6">
        <v>-1.1775028733361506</v>
      </c>
      <c r="L328" s="6">
        <v>6.1751872993741137E-2</v>
      </c>
      <c r="N328" s="8">
        <f>SQRT((C328-Sheet5!$C$525)^2+(D328-Sheet5!$D$525)^2+(E328-Sheet5!$E$525)^2+(F328-Sheet5!$F$525)^2+(G328-Sheet5!$G$525)^2+(H328-Sheet5!$H$525)^2+(I328-Sheet5!$I$525)^2+(J328-Sheet5!$J$525)^2+(K328-Sheet5!$K$525)^2+(L328-Sheet5!$L$525)^2)</f>
        <v>5.3703669226060411</v>
      </c>
      <c r="O328" s="8">
        <f>SQRT((C328-Sheet5!$C$526)^2+(D328-Sheet5!$D$526)^2+(E328-Sheet5!$E$526)^2+(F328-Sheet5!$F$526)^2+(G328-Sheet5!$G$526)^2+(H328-Sheet5!$H$526)^2+(I328-Sheet5!$I$526)^2+(J328-Sheet5!$J$526)^2+(K328-Sheet5!$K$526)^2+(L328-Sheet5!$L$526)^2)</f>
        <v>2.1898257583687744</v>
      </c>
      <c r="P328" s="12">
        <f t="shared" si="5"/>
        <v>1</v>
      </c>
      <c r="Q328" s="11">
        <f>IF(P328=Sheet1!$M328, 1, 0)</f>
        <v>0</v>
      </c>
    </row>
    <row r="329" spans="1:17" x14ac:dyDescent="0.35">
      <c r="A329" s="6" t="s">
        <v>345</v>
      </c>
      <c r="B329" s="6" t="s">
        <v>359</v>
      </c>
      <c r="C329" s="6">
        <v>-0.9988871620655948</v>
      </c>
      <c r="D329" s="6">
        <v>-0.32936213708289924</v>
      </c>
      <c r="E329" s="6">
        <v>0.5312993878856489</v>
      </c>
      <c r="F329" s="6">
        <v>0.33636221293392737</v>
      </c>
      <c r="G329" s="6">
        <v>0.73261059814537755</v>
      </c>
      <c r="H329" s="6">
        <v>0.80836972592051393</v>
      </c>
      <c r="I329" s="6">
        <v>0.30748880187635996</v>
      </c>
      <c r="J329" s="6">
        <v>1.5565215952622287</v>
      </c>
      <c r="K329" s="6">
        <v>-0.80662129905549784</v>
      </c>
      <c r="L329" s="6">
        <v>-0.31313908395750112</v>
      </c>
      <c r="N329" s="8">
        <f>SQRT((C329-Sheet5!$C$525)^2+(D329-Sheet5!$D$525)^2+(E329-Sheet5!$E$525)^2+(F329-Sheet5!$F$525)^2+(G329-Sheet5!$G$525)^2+(H329-Sheet5!$H$525)^2+(I329-Sheet5!$I$525)^2+(J329-Sheet5!$J$525)^2+(K329-Sheet5!$K$525)^2+(L329-Sheet5!$L$525)^2)</f>
        <v>3.267080999644346</v>
      </c>
      <c r="O329" s="8">
        <f>SQRT((C329-Sheet5!$C$526)^2+(D329-Sheet5!$D$526)^2+(E329-Sheet5!$E$526)^2+(F329-Sheet5!$F$526)^2+(G329-Sheet5!$G$526)^2+(H329-Sheet5!$H$526)^2+(I329-Sheet5!$I$526)^2+(J329-Sheet5!$J$526)^2+(K329-Sheet5!$K$526)^2+(L329-Sheet5!$L$526)^2)</f>
        <v>1.9573619518420282</v>
      </c>
      <c r="P329" s="12">
        <f t="shared" si="5"/>
        <v>1</v>
      </c>
      <c r="Q329" s="11">
        <f>IF(P329=Sheet1!$M329, 1, 0)</f>
        <v>0</v>
      </c>
    </row>
    <row r="330" spans="1:17" x14ac:dyDescent="0.35">
      <c r="A330" s="6" t="s">
        <v>360</v>
      </c>
      <c r="B330" s="6" t="s">
        <v>361</v>
      </c>
      <c r="C330" s="6">
        <v>-1.1169850770386225</v>
      </c>
      <c r="D330" s="6">
        <v>5.7317752809727819E-2</v>
      </c>
      <c r="E330" s="6">
        <v>1.0286285896143106</v>
      </c>
      <c r="F330" s="6">
        <v>0.48426590962261684</v>
      </c>
      <c r="G330" s="6">
        <v>0.297084296469036</v>
      </c>
      <c r="H330" s="6">
        <v>0.72865183441401093</v>
      </c>
      <c r="I330" s="6">
        <v>9.4565190615860259E-2</v>
      </c>
      <c r="J330" s="6">
        <v>-0.13646131746702692</v>
      </c>
      <c r="K330" s="6">
        <v>8.5372360606830192E-2</v>
      </c>
      <c r="L330" s="6">
        <v>-0.17196795307146395</v>
      </c>
      <c r="N330" s="8">
        <f>SQRT((C330-Sheet5!$C$525)^2+(D330-Sheet5!$D$525)^2+(E330-Sheet5!$E$525)^2+(F330-Sheet5!$F$525)^2+(G330-Sheet5!$G$525)^2+(H330-Sheet5!$H$525)^2+(I330-Sheet5!$I$525)^2+(J330-Sheet5!$J$525)^2+(K330-Sheet5!$K$525)^2+(L330-Sheet5!$L$525)^2)</f>
        <v>2.5817185090509276</v>
      </c>
      <c r="O330" s="8">
        <f>SQRT((C330-Sheet5!$C$526)^2+(D330-Sheet5!$D$526)^2+(E330-Sheet5!$E$526)^2+(F330-Sheet5!$F$526)^2+(G330-Sheet5!$G$526)^2+(H330-Sheet5!$H$526)^2+(I330-Sheet5!$I$526)^2+(J330-Sheet5!$J$526)^2+(K330-Sheet5!$K$526)^2+(L330-Sheet5!$L$526)^2)</f>
        <v>2.0569007275076165</v>
      </c>
      <c r="P330" s="12">
        <f t="shared" si="5"/>
        <v>1</v>
      </c>
      <c r="Q330" s="11">
        <f>IF(P330=Sheet1!$M330, 1, 0)</f>
        <v>0</v>
      </c>
    </row>
    <row r="331" spans="1:17" x14ac:dyDescent="0.35">
      <c r="A331" s="6" t="s">
        <v>360</v>
      </c>
      <c r="B331" s="6" t="s">
        <v>362</v>
      </c>
      <c r="C331" s="6">
        <v>-0.85394881187142446</v>
      </c>
      <c r="D331" s="6">
        <v>-0.17591773633185653</v>
      </c>
      <c r="E331" s="6">
        <v>0.56777019601241741</v>
      </c>
      <c r="F331" s="6">
        <v>0.22389377691023513</v>
      </c>
      <c r="G331" s="6">
        <v>7.0610619597338095E-2</v>
      </c>
      <c r="H331" s="6">
        <v>-0.24681506773651563</v>
      </c>
      <c r="I331" s="6">
        <v>1.4878210353696941E-2</v>
      </c>
      <c r="J331" s="6">
        <v>3.4355344131216416E-2</v>
      </c>
      <c r="K331" s="6">
        <v>-0.45295363750517287</v>
      </c>
      <c r="L331" s="6">
        <v>-7.7193374288930097E-2</v>
      </c>
      <c r="N331" s="8">
        <f>SQRT((C331-Sheet5!$C$525)^2+(D331-Sheet5!$D$525)^2+(E331-Sheet5!$E$525)^2+(F331-Sheet5!$F$525)^2+(G331-Sheet5!$G$525)^2+(H331-Sheet5!$H$525)^2+(I331-Sheet5!$I$525)^2+(J331-Sheet5!$J$525)^2+(K331-Sheet5!$K$525)^2+(L331-Sheet5!$L$525)^2)</f>
        <v>1.9047495233240404</v>
      </c>
      <c r="O331" s="8">
        <f>SQRT((C331-Sheet5!$C$526)^2+(D331-Sheet5!$D$526)^2+(E331-Sheet5!$E$526)^2+(F331-Sheet5!$F$526)^2+(G331-Sheet5!$G$526)^2+(H331-Sheet5!$H$526)^2+(I331-Sheet5!$I$526)^2+(J331-Sheet5!$J$526)^2+(K331-Sheet5!$K$526)^2+(L331-Sheet5!$L$526)^2)</f>
        <v>2.3251220670871522</v>
      </c>
      <c r="P331" s="12">
        <f t="shared" si="5"/>
        <v>0</v>
      </c>
      <c r="Q331" s="11">
        <f>IF(P331=Sheet1!$M331, 1, 0)</f>
        <v>1</v>
      </c>
    </row>
    <row r="332" spans="1:17" x14ac:dyDescent="0.35">
      <c r="A332" s="6" t="s">
        <v>360</v>
      </c>
      <c r="B332" s="6" t="s">
        <v>363</v>
      </c>
      <c r="C332" s="6">
        <v>-0.92910203049062401</v>
      </c>
      <c r="D332" s="6">
        <v>-0.51349541798415099</v>
      </c>
      <c r="E332" s="6">
        <v>0.30326473909302543</v>
      </c>
      <c r="F332" s="6">
        <v>-4.5722336845190045E-2</v>
      </c>
      <c r="G332" s="6">
        <v>-0.25458235232099824</v>
      </c>
      <c r="H332" s="6">
        <v>-1.5066809341805147</v>
      </c>
      <c r="I332" s="6">
        <v>-0.89419086047706242</v>
      </c>
      <c r="J332" s="6">
        <v>-5.6746875387846736E-2</v>
      </c>
      <c r="K332" s="6">
        <v>0.11980018606748125</v>
      </c>
      <c r="L332" s="6">
        <v>-0.22270005429049292</v>
      </c>
      <c r="N332" s="8">
        <f>SQRT((C332-Sheet5!$C$525)^2+(D332-Sheet5!$D$525)^2+(E332-Sheet5!$E$525)^2+(F332-Sheet5!$F$525)^2+(G332-Sheet5!$G$525)^2+(H332-Sheet5!$H$525)^2+(I332-Sheet5!$I$525)^2+(J332-Sheet5!$J$525)^2+(K332-Sheet5!$K$525)^2+(L332-Sheet5!$L$525)^2)</f>
        <v>2.0400043187229273</v>
      </c>
      <c r="O332" s="8">
        <f>SQRT((C332-Sheet5!$C$526)^2+(D332-Sheet5!$D$526)^2+(E332-Sheet5!$E$526)^2+(F332-Sheet5!$F$526)^2+(G332-Sheet5!$G$526)^2+(H332-Sheet5!$H$526)^2+(I332-Sheet5!$I$526)^2+(J332-Sheet5!$J$526)^2+(K332-Sheet5!$K$526)^2+(L332-Sheet5!$L$526)^2)</f>
        <v>3.8062969833500064</v>
      </c>
      <c r="P332" s="12">
        <f t="shared" si="5"/>
        <v>0</v>
      </c>
      <c r="Q332" s="11">
        <f>IF(P332=Sheet1!$M332, 1, 0)</f>
        <v>1</v>
      </c>
    </row>
    <row r="333" spans="1:17" x14ac:dyDescent="0.35">
      <c r="A333" s="6" t="s">
        <v>360</v>
      </c>
      <c r="B333" s="6" t="s">
        <v>364</v>
      </c>
      <c r="C333" s="6">
        <v>-1.0270696190477946</v>
      </c>
      <c r="D333" s="6">
        <v>0.31510434607147958</v>
      </c>
      <c r="E333" s="6">
        <v>0.42999158753351407</v>
      </c>
      <c r="F333" s="6">
        <v>9.4478042307632709E-2</v>
      </c>
      <c r="G333" s="6">
        <v>-0.71624023209792131</v>
      </c>
      <c r="H333" s="6">
        <v>-0.72943149199210511</v>
      </c>
      <c r="I333" s="6">
        <v>-1.9588089167795646</v>
      </c>
      <c r="J333" s="6">
        <v>-0.34144131138491884</v>
      </c>
      <c r="K333" s="6">
        <v>-0.93650809511159194</v>
      </c>
      <c r="L333" s="6">
        <v>-0.3685332816364229</v>
      </c>
      <c r="N333" s="8">
        <f>SQRT((C333-Sheet5!$C$525)^2+(D333-Sheet5!$D$525)^2+(E333-Sheet5!$E$525)^2+(F333-Sheet5!$F$525)^2+(G333-Sheet5!$G$525)^2+(H333-Sheet5!$H$525)^2+(I333-Sheet5!$I$525)^2+(J333-Sheet5!$J$525)^2+(K333-Sheet5!$K$525)^2+(L333-Sheet5!$L$525)^2)</f>
        <v>2.7708817311047409</v>
      </c>
      <c r="O333" s="8">
        <f>SQRT((C333-Sheet5!$C$526)^2+(D333-Sheet5!$D$526)^2+(E333-Sheet5!$E$526)^2+(F333-Sheet5!$F$526)^2+(G333-Sheet5!$G$526)^2+(H333-Sheet5!$H$526)^2+(I333-Sheet5!$I$526)^2+(J333-Sheet5!$J$526)^2+(K333-Sheet5!$K$526)^2+(L333-Sheet5!$L$526)^2)</f>
        <v>4.000687682312666</v>
      </c>
      <c r="P333" s="12">
        <f t="shared" si="5"/>
        <v>0</v>
      </c>
      <c r="Q333" s="11">
        <f>IF(P333=Sheet1!$M333, 1, 0)</f>
        <v>1</v>
      </c>
    </row>
    <row r="334" spans="1:17" x14ac:dyDescent="0.35">
      <c r="A334" s="6" t="s">
        <v>360</v>
      </c>
      <c r="B334" s="6" t="s">
        <v>365</v>
      </c>
      <c r="C334" s="6">
        <v>-0.89420946470313845</v>
      </c>
      <c r="D334" s="6">
        <v>0.25372658577106266</v>
      </c>
      <c r="E334" s="6">
        <v>-0.13770048643972138</v>
      </c>
      <c r="F334" s="6">
        <v>0.13299462998697917</v>
      </c>
      <c r="G334" s="6">
        <v>0.4771018344952544</v>
      </c>
      <c r="H334" s="6">
        <v>-0.26782180941728351</v>
      </c>
      <c r="I334" s="6">
        <v>-1.6024487410471699</v>
      </c>
      <c r="J334" s="6">
        <v>3.0559418317921867E-2</v>
      </c>
      <c r="K334" s="6">
        <v>0.15422801152813231</v>
      </c>
      <c r="L334" s="6">
        <v>-0.30950326721132332</v>
      </c>
      <c r="N334" s="8">
        <f>SQRT((C334-Sheet5!$C$525)^2+(D334-Sheet5!$D$525)^2+(E334-Sheet5!$E$525)^2+(F334-Sheet5!$F$525)^2+(G334-Sheet5!$G$525)^2+(H334-Sheet5!$H$525)^2+(I334-Sheet5!$I$525)^2+(J334-Sheet5!$J$525)^2+(K334-Sheet5!$K$525)^2+(L334-Sheet5!$L$525)^2)</f>
        <v>2.1826515122696573</v>
      </c>
      <c r="O334" s="8">
        <f>SQRT((C334-Sheet5!$C$526)^2+(D334-Sheet5!$D$526)^2+(E334-Sheet5!$E$526)^2+(F334-Sheet5!$F$526)^2+(G334-Sheet5!$G$526)^2+(H334-Sheet5!$H$526)^2+(I334-Sheet5!$I$526)^2+(J334-Sheet5!$J$526)^2+(K334-Sheet5!$K$526)^2+(L334-Sheet5!$L$526)^2)</f>
        <v>3.3420502677072279</v>
      </c>
      <c r="P334" s="12">
        <f t="shared" si="5"/>
        <v>0</v>
      </c>
      <c r="Q334" s="11">
        <f>IF(P334=Sheet1!$M334, 1, 0)</f>
        <v>1</v>
      </c>
    </row>
    <row r="335" spans="1:17" x14ac:dyDescent="0.35">
      <c r="A335" s="6" t="s">
        <v>360</v>
      </c>
      <c r="B335" s="6" t="s">
        <v>366</v>
      </c>
      <c r="C335" s="6">
        <v>-1.1559037081092793</v>
      </c>
      <c r="D335" s="6">
        <v>-0.21274439251210708</v>
      </c>
      <c r="E335" s="6">
        <v>-0.57166626394813891</v>
      </c>
      <c r="F335" s="6">
        <v>-0.25525257382083466</v>
      </c>
      <c r="G335" s="6">
        <v>0.5525930601191551</v>
      </c>
      <c r="H335" s="6">
        <v>0.22449003407558307</v>
      </c>
      <c r="I335" s="6">
        <v>6.1415406826799662E-2</v>
      </c>
      <c r="J335" s="6">
        <v>-0.15544094653349833</v>
      </c>
      <c r="K335" s="6">
        <v>0.36861947007854989</v>
      </c>
      <c r="L335" s="6">
        <v>-0.39534953008881302</v>
      </c>
      <c r="N335" s="8">
        <f>SQRT((C335-Sheet5!$C$525)^2+(D335-Sheet5!$D$525)^2+(E335-Sheet5!$E$525)^2+(F335-Sheet5!$F$525)^2+(G335-Sheet5!$G$525)^2+(H335-Sheet5!$H$525)^2+(I335-Sheet5!$I$525)^2+(J335-Sheet5!$J$525)^2+(K335-Sheet5!$K$525)^2+(L335-Sheet5!$L$525)^2)</f>
        <v>1.8326607672577648</v>
      </c>
      <c r="O335" s="8">
        <f>SQRT((C335-Sheet5!$C$526)^2+(D335-Sheet5!$D$526)^2+(E335-Sheet5!$E$526)^2+(F335-Sheet5!$F$526)^2+(G335-Sheet5!$G$526)^2+(H335-Sheet5!$H$526)^2+(I335-Sheet5!$I$526)^2+(J335-Sheet5!$J$526)^2+(K335-Sheet5!$K$526)^2+(L335-Sheet5!$L$526)^2)</f>
        <v>3.1060098555160356</v>
      </c>
      <c r="P335" s="12">
        <f t="shared" si="5"/>
        <v>0</v>
      </c>
      <c r="Q335" s="11">
        <f>IF(P335=Sheet1!$M335, 1, 0)</f>
        <v>1</v>
      </c>
    </row>
    <row r="336" spans="1:17" x14ac:dyDescent="0.35">
      <c r="A336" s="6" t="s">
        <v>360</v>
      </c>
      <c r="B336" s="6" t="s">
        <v>367</v>
      </c>
      <c r="C336" s="6">
        <v>-1.1693239257198504</v>
      </c>
      <c r="D336" s="6">
        <v>-4.0600074906890537E-3</v>
      </c>
      <c r="E336" s="6">
        <v>0.33494645120314759</v>
      </c>
      <c r="F336" s="6">
        <v>0.10064069633632691</v>
      </c>
      <c r="G336" s="6">
        <v>-7.7468322972619519E-2</v>
      </c>
      <c r="H336" s="6">
        <v>0.25249902298327331</v>
      </c>
      <c r="I336" s="6">
        <v>-1.1396267596845251</v>
      </c>
      <c r="J336" s="6">
        <v>-1.0474835126576578</v>
      </c>
      <c r="K336" s="6">
        <v>0.15266311037082919</v>
      </c>
      <c r="L336" s="6">
        <v>-0.37601248623953765</v>
      </c>
      <c r="N336" s="8">
        <f>SQRT((C336-Sheet5!$C$525)^2+(D336-Sheet5!$D$525)^2+(E336-Sheet5!$E$525)^2+(F336-Sheet5!$F$525)^2+(G336-Sheet5!$G$525)^2+(H336-Sheet5!$H$525)^2+(I336-Sheet5!$I$525)^2+(J336-Sheet5!$J$525)^2+(K336-Sheet5!$K$525)^2+(L336-Sheet5!$L$525)^2)</f>
        <v>2.1337413820624436</v>
      </c>
      <c r="O336" s="8">
        <f>SQRT((C336-Sheet5!$C$526)^2+(D336-Sheet5!$D$526)^2+(E336-Sheet5!$E$526)^2+(F336-Sheet5!$F$526)^2+(G336-Sheet5!$G$526)^2+(H336-Sheet5!$H$526)^2+(I336-Sheet5!$I$526)^2+(J336-Sheet5!$J$526)^2+(K336-Sheet5!$K$526)^2+(L336-Sheet5!$L$526)^2)</f>
        <v>3.5335306980404111</v>
      </c>
      <c r="P336" s="12">
        <f t="shared" si="5"/>
        <v>0</v>
      </c>
      <c r="Q336" s="11">
        <f>IF(P336=Sheet1!$M336, 1, 0)</f>
        <v>1</v>
      </c>
    </row>
    <row r="337" spans="1:17" x14ac:dyDescent="0.35">
      <c r="A337" s="6" t="s">
        <v>360</v>
      </c>
      <c r="B337" s="6" t="s">
        <v>368</v>
      </c>
      <c r="C337" s="6">
        <v>-0.67814396117294018</v>
      </c>
      <c r="D337" s="6">
        <v>-0.29253548090264925</v>
      </c>
      <c r="E337" s="6">
        <v>-0.3333166391196617</v>
      </c>
      <c r="F337" s="6">
        <v>-0.34769238425126531</v>
      </c>
      <c r="G337" s="6">
        <v>-0.1152139357845678</v>
      </c>
      <c r="H337" s="6">
        <v>-8.3608843909011674E-2</v>
      </c>
      <c r="I337" s="6">
        <v>-1.5361491734690502</v>
      </c>
      <c r="J337" s="6">
        <v>-0.30727797906527027</v>
      </c>
      <c r="K337" s="6">
        <v>0.31228302841566613</v>
      </c>
      <c r="L337" s="6">
        <v>-0.33286853624849744</v>
      </c>
      <c r="N337" s="8">
        <f>SQRT((C337-Sheet5!$C$525)^2+(D337-Sheet5!$D$525)^2+(E337-Sheet5!$E$525)^2+(F337-Sheet5!$F$525)^2+(G337-Sheet5!$G$525)^2+(H337-Sheet5!$H$525)^2+(I337-Sheet5!$I$525)^2+(J337-Sheet5!$J$525)^2+(K337-Sheet5!$K$525)^2+(L337-Sheet5!$L$525)^2)</f>
        <v>1.611292991487449</v>
      </c>
      <c r="O337" s="8">
        <f>SQRT((C337-Sheet5!$C$526)^2+(D337-Sheet5!$D$526)^2+(E337-Sheet5!$E$526)^2+(F337-Sheet5!$F$526)^2+(G337-Sheet5!$G$526)^2+(H337-Sheet5!$H$526)^2+(I337-Sheet5!$I$526)^2+(J337-Sheet5!$J$526)^2+(K337-Sheet5!$K$526)^2+(L337-Sheet5!$L$526)^2)</f>
        <v>3.873307219520949</v>
      </c>
      <c r="P337" s="12">
        <f t="shared" si="5"/>
        <v>0</v>
      </c>
      <c r="Q337" s="11">
        <f>IF(P337=Sheet1!$M337, 1, 0)</f>
        <v>1</v>
      </c>
    </row>
    <row r="338" spans="1:17" x14ac:dyDescent="0.35">
      <c r="A338" s="6" t="s">
        <v>360</v>
      </c>
      <c r="B338" s="6" t="s">
        <v>369</v>
      </c>
      <c r="C338" s="6">
        <v>-0.94252224810119523</v>
      </c>
      <c r="D338" s="6">
        <v>0.14938439326035369</v>
      </c>
      <c r="E338" s="6">
        <v>8.9597378350341081E-2</v>
      </c>
      <c r="F338" s="6">
        <v>-0.15973143637605478</v>
      </c>
      <c r="G338" s="6">
        <v>-1.0995033775730998</v>
      </c>
      <c r="H338" s="6">
        <v>-0.19133572432320567</v>
      </c>
      <c r="I338" s="6">
        <v>-0.11389594974995963</v>
      </c>
      <c r="J338" s="6">
        <v>0.16721274759651661</v>
      </c>
      <c r="K338" s="6">
        <v>-0.79566699095438254</v>
      </c>
      <c r="L338" s="6">
        <v>-0.35263683237832011</v>
      </c>
      <c r="N338" s="8">
        <f>SQRT((C338-Sheet5!$C$525)^2+(D338-Sheet5!$D$525)^2+(E338-Sheet5!$E$525)^2+(F338-Sheet5!$F$525)^2+(G338-Sheet5!$G$525)^2+(H338-Sheet5!$H$525)^2+(I338-Sheet5!$I$525)^2+(J338-Sheet5!$J$525)^2+(K338-Sheet5!$K$525)^2+(L338-Sheet5!$L$525)^2)</f>
        <v>2.0079703441271497</v>
      </c>
      <c r="O338" s="8">
        <f>SQRT((C338-Sheet5!$C$526)^2+(D338-Sheet5!$D$526)^2+(E338-Sheet5!$E$526)^2+(F338-Sheet5!$F$526)^2+(G338-Sheet5!$G$526)^2+(H338-Sheet5!$H$526)^2+(I338-Sheet5!$I$526)^2+(J338-Sheet5!$J$526)^2+(K338-Sheet5!$K$526)^2+(L338-Sheet5!$L$526)^2)</f>
        <v>3.1395768406066291</v>
      </c>
      <c r="P338" s="12">
        <f t="shared" si="5"/>
        <v>0</v>
      </c>
      <c r="Q338" s="11">
        <f>IF(P338=Sheet1!$M338, 1, 0)</f>
        <v>1</v>
      </c>
    </row>
    <row r="339" spans="1:17" x14ac:dyDescent="0.35">
      <c r="A339" s="6" t="s">
        <v>360</v>
      </c>
      <c r="B339" s="6" t="s">
        <v>370</v>
      </c>
      <c r="C339" s="6">
        <v>-1.0780664459679656</v>
      </c>
      <c r="D339" s="6">
        <v>-0.15136663221169019</v>
      </c>
      <c r="E339" s="6">
        <v>-8.9441134271977168E-2</v>
      </c>
      <c r="F339" s="6">
        <v>-0.21519532263431357</v>
      </c>
      <c r="G339" s="6">
        <v>-0.45202094241427504</v>
      </c>
      <c r="H339" s="6">
        <v>-0.7595950185080792</v>
      </c>
      <c r="I339" s="6">
        <v>0.15066482472042295</v>
      </c>
      <c r="J339" s="6">
        <v>-0.93360573825882887</v>
      </c>
      <c r="K339" s="6">
        <v>0.62369835871883106</v>
      </c>
      <c r="L339" s="6">
        <v>-0.38378409572728733</v>
      </c>
      <c r="N339" s="8">
        <f>SQRT((C339-Sheet5!$C$525)^2+(D339-Sheet5!$D$525)^2+(E339-Sheet5!$E$525)^2+(F339-Sheet5!$F$525)^2+(G339-Sheet5!$G$525)^2+(H339-Sheet5!$H$525)^2+(I339-Sheet5!$I$525)^2+(J339-Sheet5!$J$525)^2+(K339-Sheet5!$K$525)^2+(L339-Sheet5!$L$525)^2)</f>
        <v>1.6991279048398178</v>
      </c>
      <c r="O339" s="8">
        <f>SQRT((C339-Sheet5!$C$526)^2+(D339-Sheet5!$D$526)^2+(E339-Sheet5!$E$526)^2+(F339-Sheet5!$F$526)^2+(G339-Sheet5!$G$526)^2+(H339-Sheet5!$H$526)^2+(I339-Sheet5!$I$526)^2+(J339-Sheet5!$J$526)^2+(K339-Sheet5!$K$526)^2+(L339-Sheet5!$L$526)^2)</f>
        <v>3.7762038765123584</v>
      </c>
      <c r="P339" s="12">
        <f t="shared" si="5"/>
        <v>0</v>
      </c>
      <c r="Q339" s="11">
        <f>IF(P339=Sheet1!$M339, 1, 0)</f>
        <v>1</v>
      </c>
    </row>
    <row r="340" spans="1:17" x14ac:dyDescent="0.35">
      <c r="A340" s="6" t="s">
        <v>360</v>
      </c>
      <c r="B340" s="6" t="s">
        <v>371</v>
      </c>
      <c r="C340" s="6">
        <v>-0.92910203049062401</v>
      </c>
      <c r="D340" s="6">
        <v>0.45627319476243916</v>
      </c>
      <c r="E340" s="6">
        <v>0.17837985065893922</v>
      </c>
      <c r="F340" s="6">
        <v>0.16997055415915097</v>
      </c>
      <c r="G340" s="6">
        <v>0.23320710555650215</v>
      </c>
      <c r="H340" s="6">
        <v>0.41355070920249304</v>
      </c>
      <c r="I340" s="6">
        <v>-1.4182124426810483</v>
      </c>
      <c r="J340" s="6">
        <v>-0.74001352178081992</v>
      </c>
      <c r="K340" s="6">
        <v>3.6860424730457635E-2</v>
      </c>
      <c r="L340" s="6">
        <v>-0.37944033486961065</v>
      </c>
      <c r="N340" s="8">
        <f>SQRT((C340-Sheet5!$C$525)^2+(D340-Sheet5!$D$525)^2+(E340-Sheet5!$E$525)^2+(F340-Sheet5!$F$525)^2+(G340-Sheet5!$G$525)^2+(H340-Sheet5!$H$525)^2+(I340-Sheet5!$I$525)^2+(J340-Sheet5!$J$525)^2+(K340-Sheet5!$K$525)^2+(L340-Sheet5!$L$525)^2)</f>
        <v>2.2573593456742778</v>
      </c>
      <c r="O340" s="8">
        <f>SQRT((C340-Sheet5!$C$526)^2+(D340-Sheet5!$D$526)^2+(E340-Sheet5!$E$526)^2+(F340-Sheet5!$F$526)^2+(G340-Sheet5!$G$526)^2+(H340-Sheet5!$H$526)^2+(I340-Sheet5!$I$526)^2+(J340-Sheet5!$J$526)^2+(K340-Sheet5!$K$526)^2+(L340-Sheet5!$L$526)^2)</f>
        <v>3.3098562450658222</v>
      </c>
      <c r="P340" s="12">
        <f t="shared" si="5"/>
        <v>0</v>
      </c>
      <c r="Q340" s="11">
        <f>IF(P340=Sheet1!$M340, 1, 0)</f>
        <v>1</v>
      </c>
    </row>
    <row r="341" spans="1:17" x14ac:dyDescent="0.35">
      <c r="A341" s="6" t="s">
        <v>360</v>
      </c>
      <c r="B341" s="6" t="s">
        <v>372</v>
      </c>
      <c r="C341" s="6">
        <v>-0.79087378910173933</v>
      </c>
      <c r="D341" s="6">
        <v>0.48696207491264815</v>
      </c>
      <c r="E341" s="6">
        <v>0.36736494731583069</v>
      </c>
      <c r="F341" s="6">
        <v>0.23775974847480039</v>
      </c>
      <c r="G341" s="6">
        <v>-0.39104726017958491</v>
      </c>
      <c r="H341" s="6">
        <v>3.8661165361098287E-2</v>
      </c>
      <c r="I341" s="6">
        <v>-1.1428142388950124</v>
      </c>
      <c r="J341" s="6">
        <v>-0.69825833783458258</v>
      </c>
      <c r="K341" s="6">
        <v>1.3983244315834844</v>
      </c>
      <c r="L341" s="6">
        <v>-0.34743689815006207</v>
      </c>
      <c r="N341" s="8">
        <f>SQRT((C341-Sheet5!$C$525)^2+(D341-Sheet5!$D$525)^2+(E341-Sheet5!$E$525)^2+(F341-Sheet5!$F$525)^2+(G341-Sheet5!$G$525)^2+(H341-Sheet5!$H$525)^2+(I341-Sheet5!$I$525)^2+(J341-Sheet5!$J$525)^2+(K341-Sheet5!$K$525)^2+(L341-Sheet5!$L$525)^2)</f>
        <v>2.2870712716430632</v>
      </c>
      <c r="O341" s="8">
        <f>SQRT((C341-Sheet5!$C$526)^2+(D341-Sheet5!$D$526)^2+(E341-Sheet5!$E$526)^2+(F341-Sheet5!$F$526)^2+(G341-Sheet5!$G$526)^2+(H341-Sheet5!$H$526)^2+(I341-Sheet5!$I$526)^2+(J341-Sheet5!$J$526)^2+(K341-Sheet5!$K$526)^2+(L341-Sheet5!$L$526)^2)</f>
        <v>3.7590311319933316</v>
      </c>
      <c r="P341" s="12">
        <f t="shared" si="5"/>
        <v>0</v>
      </c>
      <c r="Q341" s="11">
        <f>IF(P341=Sheet1!$M341, 1, 0)</f>
        <v>1</v>
      </c>
    </row>
    <row r="342" spans="1:17" x14ac:dyDescent="0.35">
      <c r="A342" s="6" t="s">
        <v>360</v>
      </c>
      <c r="B342" s="6" t="s">
        <v>373</v>
      </c>
      <c r="C342" s="6">
        <v>-0.82174028960605328</v>
      </c>
      <c r="D342" s="6">
        <v>-0.50735764195410882</v>
      </c>
      <c r="E342" s="6">
        <v>4.5758730197962741E-2</v>
      </c>
      <c r="F342" s="6">
        <v>-0.27836252642844123</v>
      </c>
      <c r="G342" s="6">
        <v>-3.6819201482827475E-2</v>
      </c>
      <c r="H342" s="6">
        <v>-0.97073970411989952</v>
      </c>
      <c r="I342" s="6">
        <v>-1.5355116776269531</v>
      </c>
      <c r="J342" s="6">
        <v>-0.7703809282871743</v>
      </c>
      <c r="K342" s="6">
        <v>-0.28863901598842656</v>
      </c>
      <c r="L342" s="6">
        <v>-0.33407129528589591</v>
      </c>
      <c r="N342" s="8">
        <f>SQRT((C342-Sheet5!$C$525)^2+(D342-Sheet5!$D$525)^2+(E342-Sheet5!$E$525)^2+(F342-Sheet5!$F$525)^2+(G342-Sheet5!$G$525)^2+(H342-Sheet5!$H$525)^2+(I342-Sheet5!$I$525)^2+(J342-Sheet5!$J$525)^2+(K342-Sheet5!$K$525)^2+(L342-Sheet5!$L$525)^2)</f>
        <v>2.0018386658791347</v>
      </c>
      <c r="O342" s="8">
        <f>SQRT((C342-Sheet5!$C$526)^2+(D342-Sheet5!$D$526)^2+(E342-Sheet5!$E$526)^2+(F342-Sheet5!$F$526)^2+(G342-Sheet5!$G$526)^2+(H342-Sheet5!$H$526)^2+(I342-Sheet5!$I$526)^2+(J342-Sheet5!$J$526)^2+(K342-Sheet5!$K$526)^2+(L342-Sheet5!$L$526)^2)</f>
        <v>4.1484837657554881</v>
      </c>
      <c r="P342" s="12">
        <f t="shared" si="5"/>
        <v>0</v>
      </c>
      <c r="Q342" s="11">
        <f>IF(P342=Sheet1!$M342, 1, 0)</f>
        <v>1</v>
      </c>
    </row>
    <row r="343" spans="1:17" x14ac:dyDescent="0.35">
      <c r="A343" s="6" t="s">
        <v>360</v>
      </c>
      <c r="B343" s="6" t="s">
        <v>374</v>
      </c>
      <c r="C343" s="6">
        <v>-1.1438255122597651</v>
      </c>
      <c r="D343" s="6">
        <v>1.8986505618222407</v>
      </c>
      <c r="E343" s="6">
        <v>1.3797061668346178</v>
      </c>
      <c r="F343" s="6">
        <v>1.6782801276823569</v>
      </c>
      <c r="G343" s="6">
        <v>1.0403825179966555</v>
      </c>
      <c r="H343" s="6">
        <v>0.81752651075572047</v>
      </c>
      <c r="I343" s="6">
        <v>0.9424346606052777</v>
      </c>
      <c r="J343" s="6">
        <v>0.30386607687511136</v>
      </c>
      <c r="K343" s="6">
        <v>-0.96467631594303382</v>
      </c>
      <c r="L343" s="6">
        <v>-0.22843705317144289</v>
      </c>
      <c r="N343" s="8">
        <f>SQRT((C343-Sheet5!$C$525)^2+(D343-Sheet5!$D$525)^2+(E343-Sheet5!$E$525)^2+(F343-Sheet5!$F$525)^2+(G343-Sheet5!$G$525)^2+(H343-Sheet5!$H$525)^2+(I343-Sheet5!$I$525)^2+(J343-Sheet5!$J$525)^2+(K343-Sheet5!$K$525)^2+(L343-Sheet5!$L$525)^2)</f>
        <v>4.6213977112591715</v>
      </c>
      <c r="O343" s="8">
        <f>SQRT((C343-Sheet5!$C$526)^2+(D343-Sheet5!$D$526)^2+(E343-Sheet5!$E$526)^2+(F343-Sheet5!$F$526)^2+(G343-Sheet5!$G$526)^2+(H343-Sheet5!$H$526)^2+(I343-Sheet5!$I$526)^2+(J343-Sheet5!$J$526)^2+(K343-Sheet5!$K$526)^2+(L343-Sheet5!$L$526)^2)</f>
        <v>1.7753789397316355</v>
      </c>
      <c r="P343" s="12">
        <f t="shared" si="5"/>
        <v>1</v>
      </c>
      <c r="Q343" s="11">
        <f>IF(P343=Sheet1!$M343, 1, 0)</f>
        <v>0</v>
      </c>
    </row>
    <row r="344" spans="1:17" x14ac:dyDescent="0.35">
      <c r="A344" s="6" t="s">
        <v>375</v>
      </c>
      <c r="B344" s="6" t="s">
        <v>376</v>
      </c>
      <c r="C344" s="6">
        <v>-1.0337797278530803</v>
      </c>
      <c r="D344" s="6">
        <v>-0.33549991311294136</v>
      </c>
      <c r="E344" s="6">
        <v>0.36294424330046482</v>
      </c>
      <c r="F344" s="6">
        <v>-8.7464126730160494E-3</v>
      </c>
      <c r="G344" s="6">
        <v>-1.9398149415773152E-2</v>
      </c>
      <c r="H344" s="6">
        <v>-0.58076839702051719</v>
      </c>
      <c r="I344" s="6">
        <v>-1.3780502046289178</v>
      </c>
      <c r="J344" s="6">
        <v>-0.58438056343575373</v>
      </c>
      <c r="K344" s="6">
        <v>0.43904002215715515</v>
      </c>
      <c r="L344" s="6">
        <v>-0.23919945019365965</v>
      </c>
      <c r="N344" s="8">
        <f>SQRT((C344-Sheet5!$C$525)^2+(D344-Sheet5!$D$525)^2+(E344-Sheet5!$E$525)^2+(F344-Sheet5!$F$525)^2+(G344-Sheet5!$G$525)^2+(H344-Sheet5!$H$525)^2+(I344-Sheet5!$I$525)^2+(J344-Sheet5!$J$525)^2+(K344-Sheet5!$K$525)^2+(L344-Sheet5!$L$525)^2)</f>
        <v>1.9899088892599517</v>
      </c>
      <c r="O344" s="8">
        <f>SQRT((C344-Sheet5!$C$526)^2+(D344-Sheet5!$D$526)^2+(E344-Sheet5!$E$526)^2+(F344-Sheet5!$F$526)^2+(G344-Sheet5!$G$526)^2+(H344-Sheet5!$H$526)^2+(I344-Sheet5!$I$526)^2+(J344-Sheet5!$J$526)^2+(K344-Sheet5!$K$526)^2+(L344-Sheet5!$L$526)^2)</f>
        <v>3.7432282831150046</v>
      </c>
      <c r="P344" s="12">
        <f t="shared" si="5"/>
        <v>0</v>
      </c>
      <c r="Q344" s="11">
        <f>IF(P344=Sheet1!$M344, 1, 0)</f>
        <v>1</v>
      </c>
    </row>
    <row r="345" spans="1:17" x14ac:dyDescent="0.35">
      <c r="A345" s="6" t="s">
        <v>375</v>
      </c>
      <c r="B345" s="6" t="s">
        <v>377</v>
      </c>
      <c r="C345" s="6">
        <v>-0.9948610967824234</v>
      </c>
      <c r="D345" s="6">
        <v>-0.59942428240473467</v>
      </c>
      <c r="E345" s="6">
        <v>0.51398496382546588</v>
      </c>
      <c r="F345" s="6">
        <v>-0.12275551220388296</v>
      </c>
      <c r="G345" s="6">
        <v>-9.7792883717517598E-2</v>
      </c>
      <c r="H345" s="6">
        <v>-0.33622837848029724</v>
      </c>
      <c r="I345" s="6">
        <v>-1.342350437471469</v>
      </c>
      <c r="J345" s="6">
        <v>0.19378422828957678</v>
      </c>
      <c r="K345" s="6">
        <v>-0.3074178298760552</v>
      </c>
      <c r="L345" s="6">
        <v>-8.5186032174175308E-2</v>
      </c>
      <c r="N345" s="8">
        <f>SQRT((C345-Sheet5!$C$525)^2+(D345-Sheet5!$D$525)^2+(E345-Sheet5!$E$525)^2+(F345-Sheet5!$F$525)^2+(G345-Sheet5!$G$525)^2+(H345-Sheet5!$H$525)^2+(I345-Sheet5!$I$525)^2+(J345-Sheet5!$J$525)^2+(K345-Sheet5!$K$525)^2+(L345-Sheet5!$L$525)^2)</f>
        <v>2.1116373985785724</v>
      </c>
      <c r="O345" s="8">
        <f>SQRT((C345-Sheet5!$C$526)^2+(D345-Sheet5!$D$526)^2+(E345-Sheet5!$E$526)^2+(F345-Sheet5!$F$526)^2+(G345-Sheet5!$G$526)^2+(H345-Sheet5!$H$526)^2+(I345-Sheet5!$I$526)^2+(J345-Sheet5!$J$526)^2+(K345-Sheet5!$K$526)^2+(L345-Sheet5!$L$526)^2)</f>
        <v>3.3525353302012459</v>
      </c>
      <c r="P345" s="12">
        <f t="shared" si="5"/>
        <v>0</v>
      </c>
      <c r="Q345" s="11">
        <f>IF(P345=Sheet1!$M345, 1, 0)</f>
        <v>1</v>
      </c>
    </row>
    <row r="346" spans="1:17" x14ac:dyDescent="0.35">
      <c r="A346" s="6" t="s">
        <v>375</v>
      </c>
      <c r="B346" s="6" t="s">
        <v>378</v>
      </c>
      <c r="C346" s="6">
        <v>-1.2391090572948216</v>
      </c>
      <c r="D346" s="6">
        <v>-0.56259762622448473</v>
      </c>
      <c r="E346" s="6">
        <v>0.87758786908930964</v>
      </c>
      <c r="F346" s="6">
        <v>-5.6650856586689469E-3</v>
      </c>
      <c r="G346" s="6">
        <v>-0.65236304118539146</v>
      </c>
      <c r="H346" s="6">
        <v>-6.5914599008273019E-4</v>
      </c>
      <c r="I346" s="6">
        <v>-1.2378011193675107</v>
      </c>
      <c r="J346" s="6">
        <v>-0.40976797602421622</v>
      </c>
      <c r="K346" s="6">
        <v>0.21525915666292322</v>
      </c>
      <c r="L346" s="6">
        <v>-0.20592405013644743</v>
      </c>
      <c r="N346" s="8">
        <f>SQRT((C346-Sheet5!$C$525)^2+(D346-Sheet5!$D$525)^2+(E346-Sheet5!$E$525)^2+(F346-Sheet5!$F$525)^2+(G346-Sheet5!$G$525)^2+(H346-Sheet5!$H$525)^2+(I346-Sheet5!$I$525)^2+(J346-Sheet5!$J$525)^2+(K346-Sheet5!$K$525)^2+(L346-Sheet5!$L$525)^2)</f>
        <v>2.2865851394318812</v>
      </c>
      <c r="O346" s="8">
        <f>SQRT((C346-Sheet5!$C$526)^2+(D346-Sheet5!$D$526)^2+(E346-Sheet5!$E$526)^2+(F346-Sheet5!$F$526)^2+(G346-Sheet5!$G$526)^2+(H346-Sheet5!$H$526)^2+(I346-Sheet5!$I$526)^2+(J346-Sheet5!$J$526)^2+(K346-Sheet5!$K$526)^2+(L346-Sheet5!$L$526)^2)</f>
        <v>3.6472136768161381</v>
      </c>
      <c r="P346" s="12">
        <f t="shared" si="5"/>
        <v>0</v>
      </c>
      <c r="Q346" s="11">
        <f>IF(P346=Sheet1!$M346, 1, 0)</f>
        <v>1</v>
      </c>
    </row>
    <row r="347" spans="1:17" x14ac:dyDescent="0.35">
      <c r="A347" s="6" t="s">
        <v>375</v>
      </c>
      <c r="B347" s="6" t="s">
        <v>379</v>
      </c>
      <c r="C347" s="6">
        <v>-0.96131055275599508</v>
      </c>
      <c r="D347" s="6">
        <v>-0.54418429813435942</v>
      </c>
      <c r="E347" s="6">
        <v>-0.16827702254600208</v>
      </c>
      <c r="F347" s="6">
        <v>-0.50638072549017288</v>
      </c>
      <c r="G347" s="6">
        <v>-0.9833630304594112</v>
      </c>
      <c r="H347" s="6">
        <v>-1.1802684865255069</v>
      </c>
      <c r="I347" s="6">
        <v>-1.2741383823670567</v>
      </c>
      <c r="J347" s="6">
        <v>-0.69825833783458258</v>
      </c>
      <c r="K347" s="6">
        <v>0.94137329365120404</v>
      </c>
      <c r="L347" s="6">
        <v>-0.33476421587931188</v>
      </c>
      <c r="N347" s="8">
        <f>SQRT((C347-Sheet5!$C$525)^2+(D347-Sheet5!$D$525)^2+(E347-Sheet5!$E$525)^2+(F347-Sheet5!$F$525)^2+(G347-Sheet5!$G$525)^2+(H347-Sheet5!$H$525)^2+(I347-Sheet5!$I$525)^2+(J347-Sheet5!$J$525)^2+(K347-Sheet5!$K$525)^2+(L347-Sheet5!$L$525)^2)</f>
        <v>2.1019916697294883</v>
      </c>
      <c r="O347" s="8">
        <f>SQRT((C347-Sheet5!$C$526)^2+(D347-Sheet5!$D$526)^2+(E347-Sheet5!$E$526)^2+(F347-Sheet5!$F$526)^2+(G347-Sheet5!$G$526)^2+(H347-Sheet5!$H$526)^2+(I347-Sheet5!$I$526)^2+(J347-Sheet5!$J$526)^2+(K347-Sheet5!$K$526)^2+(L347-Sheet5!$L$526)^2)</f>
        <v>4.7603903752327676</v>
      </c>
      <c r="P347" s="12">
        <f t="shared" si="5"/>
        <v>0</v>
      </c>
      <c r="Q347" s="11">
        <f>IF(P347=Sheet1!$M347, 1, 0)</f>
        <v>1</v>
      </c>
    </row>
    <row r="348" spans="1:17" x14ac:dyDescent="0.35">
      <c r="A348" s="6" t="s">
        <v>375</v>
      </c>
      <c r="B348" s="6" t="s">
        <v>380</v>
      </c>
      <c r="C348" s="6">
        <v>-1.1639558386756221</v>
      </c>
      <c r="D348" s="6">
        <v>-0.40915322547344196</v>
      </c>
      <c r="E348" s="6">
        <v>0.59945190812253957</v>
      </c>
      <c r="F348" s="6">
        <v>5.9042781642633359E-2</v>
      </c>
      <c r="G348" s="6">
        <v>0.26514570101276702</v>
      </c>
      <c r="H348" s="6">
        <v>0.11191544404275017</v>
      </c>
      <c r="I348" s="6">
        <v>-0.41734397058827694</v>
      </c>
      <c r="J348" s="6">
        <v>-3.7767246321375333E-2</v>
      </c>
      <c r="K348" s="6">
        <v>0.13231939532589962</v>
      </c>
      <c r="L348" s="6">
        <v>-0.32154416771189909</v>
      </c>
      <c r="N348" s="8">
        <f>SQRT((C348-Sheet5!$C$525)^2+(D348-Sheet5!$D$525)^2+(E348-Sheet5!$E$525)^2+(F348-Sheet5!$F$525)^2+(G348-Sheet5!$G$525)^2+(H348-Sheet5!$H$525)^2+(I348-Sheet5!$I$525)^2+(J348-Sheet5!$J$525)^2+(K348-Sheet5!$K$525)^2+(L348-Sheet5!$L$525)^2)</f>
        <v>1.9998221310781295</v>
      </c>
      <c r="O348" s="8">
        <f>SQRT((C348-Sheet5!$C$526)^2+(D348-Sheet5!$D$526)^2+(E348-Sheet5!$E$526)^2+(F348-Sheet5!$F$526)^2+(G348-Sheet5!$G$526)^2+(H348-Sheet5!$H$526)^2+(I348-Sheet5!$I$526)^2+(J348-Sheet5!$J$526)^2+(K348-Sheet5!$K$526)^2+(L348-Sheet5!$L$526)^2)</f>
        <v>2.7276895727240489</v>
      </c>
      <c r="P348" s="12">
        <f t="shared" si="5"/>
        <v>0</v>
      </c>
      <c r="Q348" s="11">
        <f>IF(P348=Sheet1!$M348, 1, 0)</f>
        <v>1</v>
      </c>
    </row>
    <row r="349" spans="1:17" x14ac:dyDescent="0.35">
      <c r="A349" s="6" t="s">
        <v>375</v>
      </c>
      <c r="B349" s="6" t="s">
        <v>381</v>
      </c>
      <c r="C349" s="6">
        <v>-0.99754514030453767</v>
      </c>
      <c r="D349" s="6">
        <v>-0.41529100150348353</v>
      </c>
      <c r="E349" s="6">
        <v>0.88827123712644385</v>
      </c>
      <c r="F349" s="6">
        <v>-0.11043020414649235</v>
      </c>
      <c r="G349" s="6">
        <v>-1.0269156606270429</v>
      </c>
      <c r="H349" s="6">
        <v>0.34945321535604773</v>
      </c>
      <c r="I349" s="6">
        <v>-0.8170538635832888</v>
      </c>
      <c r="J349" s="6">
        <v>-0.99434055127153764</v>
      </c>
      <c r="K349" s="6">
        <v>-3.3560127348147624E-2</v>
      </c>
      <c r="L349" s="6">
        <v>-0.35771321436398518</v>
      </c>
      <c r="N349" s="8">
        <f>SQRT((C349-Sheet5!$C$525)^2+(D349-Sheet5!$D$525)^2+(E349-Sheet5!$E$525)^2+(F349-Sheet5!$F$525)^2+(G349-Sheet5!$G$525)^2+(H349-Sheet5!$H$525)^2+(I349-Sheet5!$I$525)^2+(J349-Sheet5!$J$525)^2+(K349-Sheet5!$K$525)^2+(L349-Sheet5!$L$525)^2)</f>
        <v>2.2252976267133353</v>
      </c>
      <c r="O349" s="8">
        <f>SQRT((C349-Sheet5!$C$526)^2+(D349-Sheet5!$D$526)^2+(E349-Sheet5!$E$526)^2+(F349-Sheet5!$F$526)^2+(G349-Sheet5!$G$526)^2+(H349-Sheet5!$H$526)^2+(I349-Sheet5!$I$526)^2+(J349-Sheet5!$J$526)^2+(K349-Sheet5!$K$526)^2+(L349-Sheet5!$L$526)^2)</f>
        <v>3.7821997615791298</v>
      </c>
      <c r="P349" s="12">
        <f t="shared" si="5"/>
        <v>0</v>
      </c>
      <c r="Q349" s="11">
        <f>IF(P349=Sheet1!$M349, 1, 0)</f>
        <v>1</v>
      </c>
    </row>
    <row r="350" spans="1:17" x14ac:dyDescent="0.35">
      <c r="A350" s="6" t="s">
        <v>375</v>
      </c>
      <c r="B350" s="6" t="s">
        <v>382</v>
      </c>
      <c r="C350" s="6">
        <v>-0.81771422432288199</v>
      </c>
      <c r="D350" s="6">
        <v>-0.26184660075244082</v>
      </c>
      <c r="E350" s="6">
        <v>0.72028448454254035</v>
      </c>
      <c r="F350" s="6">
        <v>-0.13508082026127355</v>
      </c>
      <c r="G350" s="6">
        <v>-1.0036875912043053</v>
      </c>
      <c r="H350" s="6">
        <v>0.56113653536993924</v>
      </c>
      <c r="I350" s="6">
        <v>0.35848846924414518</v>
      </c>
      <c r="J350" s="6">
        <v>-0.49327834391669079</v>
      </c>
      <c r="K350" s="6">
        <v>0.11510548259557409</v>
      </c>
      <c r="L350" s="6">
        <v>-0.35492036533688881</v>
      </c>
      <c r="N350" s="8">
        <f>SQRT((C350-Sheet5!$C$525)^2+(D350-Sheet5!$D$525)^2+(E350-Sheet5!$E$525)^2+(F350-Sheet5!$F$525)^2+(G350-Sheet5!$G$525)^2+(H350-Sheet5!$H$525)^2+(I350-Sheet5!$I$525)^2+(J350-Sheet5!$J$525)^2+(K350-Sheet5!$K$525)^2+(L350-Sheet5!$L$525)^2)</f>
        <v>2.0279789817955427</v>
      </c>
      <c r="O350" s="8">
        <f>SQRT((C350-Sheet5!$C$526)^2+(D350-Sheet5!$D$526)^2+(E350-Sheet5!$E$526)^2+(F350-Sheet5!$F$526)^2+(G350-Sheet5!$G$526)^2+(H350-Sheet5!$H$526)^2+(I350-Sheet5!$I$526)^2+(J350-Sheet5!$J$526)^2+(K350-Sheet5!$K$526)^2+(L350-Sheet5!$L$526)^2)</f>
        <v>3.1735408994251082</v>
      </c>
      <c r="P350" s="12">
        <f t="shared" si="5"/>
        <v>0</v>
      </c>
      <c r="Q350" s="11">
        <f>IF(P350=Sheet1!$M350, 1, 0)</f>
        <v>1</v>
      </c>
    </row>
    <row r="351" spans="1:17" x14ac:dyDescent="0.35">
      <c r="A351" s="6" t="s">
        <v>375</v>
      </c>
      <c r="B351" s="6" t="s">
        <v>383</v>
      </c>
      <c r="C351" s="6">
        <v>-0.73048280985416836</v>
      </c>
      <c r="D351" s="6">
        <v>-0.42142877753352509</v>
      </c>
      <c r="E351" s="6">
        <v>-0.25079683083283189</v>
      </c>
      <c r="F351" s="6">
        <v>-0.58649522786321284</v>
      </c>
      <c r="G351" s="6">
        <v>-1.6134244135511859</v>
      </c>
      <c r="H351" s="6">
        <v>0.58645235226727477</v>
      </c>
      <c r="I351" s="6">
        <v>0.1831771126673859</v>
      </c>
      <c r="J351" s="6">
        <v>-9.8502059334084097E-2</v>
      </c>
      <c r="K351" s="6">
        <v>0.3044585226291549</v>
      </c>
      <c r="L351" s="6">
        <v>-0.38769150591997681</v>
      </c>
      <c r="N351" s="8">
        <f>SQRT((C351-Sheet5!$C$525)^2+(D351-Sheet5!$D$525)^2+(E351-Sheet5!$E$525)^2+(F351-Sheet5!$F$525)^2+(G351-Sheet5!$G$525)^2+(H351-Sheet5!$H$525)^2+(I351-Sheet5!$I$525)^2+(J351-Sheet5!$J$525)^2+(K351-Sheet5!$K$525)^2+(L351-Sheet5!$L$525)^2)</f>
        <v>1.9208595932289974</v>
      </c>
      <c r="O351" s="8">
        <f>SQRT((C351-Sheet5!$C$526)^2+(D351-Sheet5!$D$526)^2+(E351-Sheet5!$E$526)^2+(F351-Sheet5!$F$526)^2+(G351-Sheet5!$G$526)^2+(H351-Sheet5!$H$526)^2+(I351-Sheet5!$I$526)^2+(J351-Sheet5!$J$526)^2+(K351-Sheet5!$K$526)^2+(L351-Sheet5!$L$526)^2)</f>
        <v>3.9240650473799823</v>
      </c>
      <c r="P351" s="12">
        <f t="shared" si="5"/>
        <v>0</v>
      </c>
      <c r="Q351" s="11">
        <f>IF(P351=Sheet1!$M351, 1, 0)</f>
        <v>1</v>
      </c>
    </row>
    <row r="352" spans="1:17" x14ac:dyDescent="0.35">
      <c r="A352" s="6" t="s">
        <v>375</v>
      </c>
      <c r="B352" s="6" t="s">
        <v>384</v>
      </c>
      <c r="C352" s="6">
        <v>-0.80563602847336779</v>
      </c>
      <c r="D352" s="6">
        <v>0.41330876255214699</v>
      </c>
      <c r="E352" s="6">
        <v>0.42188696350534327</v>
      </c>
      <c r="F352" s="6">
        <v>0.41185472478544566</v>
      </c>
      <c r="G352" s="6">
        <v>0.26514570101276702</v>
      </c>
      <c r="H352" s="6">
        <v>1.0415984220172445</v>
      </c>
      <c r="I352" s="6">
        <v>-0.80557893842553685</v>
      </c>
      <c r="J352" s="6">
        <v>-0.61854389575540236</v>
      </c>
      <c r="K352" s="6">
        <v>0.31697773188757328</v>
      </c>
      <c r="L352" s="6">
        <v>-0.14640772505785399</v>
      </c>
      <c r="N352" s="8">
        <f>SQRT((C352-Sheet5!$C$525)^2+(D352-Sheet5!$D$525)^2+(E352-Sheet5!$E$525)^2+(F352-Sheet5!$F$525)^2+(G352-Sheet5!$G$525)^2+(H352-Sheet5!$H$525)^2+(I352-Sheet5!$I$525)^2+(J352-Sheet5!$J$525)^2+(K352-Sheet5!$K$525)^2+(L352-Sheet5!$L$525)^2)</f>
        <v>2.3679187313659451</v>
      </c>
      <c r="O352" s="8">
        <f>SQRT((C352-Sheet5!$C$526)^2+(D352-Sheet5!$D$526)^2+(E352-Sheet5!$E$526)^2+(F352-Sheet5!$F$526)^2+(G352-Sheet5!$G$526)^2+(H352-Sheet5!$H$526)^2+(I352-Sheet5!$I$526)^2+(J352-Sheet5!$J$526)^2+(K352-Sheet5!$K$526)^2+(L352-Sheet5!$L$526)^2)</f>
        <v>2.7716825553709552</v>
      </c>
      <c r="P352" s="12">
        <f t="shared" si="5"/>
        <v>0</v>
      </c>
      <c r="Q352" s="11">
        <f>IF(P352=Sheet1!$M352, 1, 0)</f>
        <v>1</v>
      </c>
    </row>
    <row r="353" spans="1:17" x14ac:dyDescent="0.35">
      <c r="A353" s="6" t="s">
        <v>375</v>
      </c>
      <c r="B353" s="6" t="s">
        <v>385</v>
      </c>
      <c r="C353" s="6">
        <v>-1.0002291838266519</v>
      </c>
      <c r="D353" s="6">
        <v>-0.28639770487260768</v>
      </c>
      <c r="E353" s="6">
        <v>0.5596655719842466</v>
      </c>
      <c r="F353" s="6">
        <v>0.16534856363762923</v>
      </c>
      <c r="G353" s="6">
        <v>0.2303035968786625</v>
      </c>
      <c r="H353" s="6">
        <v>0.51158217037941001</v>
      </c>
      <c r="I353" s="6">
        <v>-1.4488122431017194</v>
      </c>
      <c r="J353" s="6">
        <v>0.67207088076465782</v>
      </c>
      <c r="K353" s="6">
        <v>-0.18379063844917023</v>
      </c>
      <c r="L353" s="6">
        <v>-0.12363739987377473</v>
      </c>
      <c r="N353" s="8">
        <f>SQRT((C353-Sheet5!$C$525)^2+(D353-Sheet5!$D$525)^2+(E353-Sheet5!$E$525)^2+(F353-Sheet5!$F$525)^2+(G353-Sheet5!$G$525)^2+(H353-Sheet5!$H$525)^2+(I353-Sheet5!$I$525)^2+(J353-Sheet5!$J$525)^2+(K353-Sheet5!$K$525)^2+(L353-Sheet5!$L$525)^2)</f>
        <v>2.5625783444871586</v>
      </c>
      <c r="O353" s="8">
        <f>SQRT((C353-Sheet5!$C$526)^2+(D353-Sheet5!$D$526)^2+(E353-Sheet5!$E$526)^2+(F353-Sheet5!$F$526)^2+(G353-Sheet5!$G$526)^2+(H353-Sheet5!$H$526)^2+(I353-Sheet5!$I$526)^2+(J353-Sheet5!$J$526)^2+(K353-Sheet5!$K$526)^2+(L353-Sheet5!$L$526)^2)</f>
        <v>2.8814476866595911</v>
      </c>
      <c r="P353" s="12">
        <f t="shared" si="5"/>
        <v>0</v>
      </c>
      <c r="Q353" s="11">
        <f>IF(P353=Sheet1!$M353, 1, 0)</f>
        <v>1</v>
      </c>
    </row>
    <row r="354" spans="1:17" x14ac:dyDescent="0.35">
      <c r="A354" s="6" t="s">
        <v>375</v>
      </c>
      <c r="B354" s="6" t="s">
        <v>386</v>
      </c>
      <c r="C354" s="6">
        <v>-0.83247646369451034</v>
      </c>
      <c r="D354" s="6">
        <v>-0.45825543371377514</v>
      </c>
      <c r="E354" s="6">
        <v>0.43293872354375795</v>
      </c>
      <c r="F354" s="6">
        <v>-0.12583683921823005</v>
      </c>
      <c r="G354" s="6">
        <v>-0.52460865936033196</v>
      </c>
      <c r="H354" s="6">
        <v>0.65809072774271371</v>
      </c>
      <c r="I354" s="6">
        <v>-0.57735542695470121</v>
      </c>
      <c r="J354" s="6">
        <v>-0.99434055127153764</v>
      </c>
      <c r="K354" s="6">
        <v>0.92572428207817936</v>
      </c>
      <c r="L354" s="6">
        <v>-0.26091169344632958</v>
      </c>
      <c r="N354" s="8">
        <f>SQRT((C354-Sheet5!$C$525)^2+(D354-Sheet5!$D$525)^2+(E354-Sheet5!$E$525)^2+(F354-Sheet5!$F$525)^2+(G354-Sheet5!$G$525)^2+(H354-Sheet5!$H$525)^2+(I354-Sheet5!$I$525)^2+(J354-Sheet5!$J$525)^2+(K354-Sheet5!$K$525)^2+(L354-Sheet5!$L$525)^2)</f>
        <v>1.9569024460802447</v>
      </c>
      <c r="O354" s="8">
        <f>SQRT((C354-Sheet5!$C$526)^2+(D354-Sheet5!$D$526)^2+(E354-Sheet5!$E$526)^2+(F354-Sheet5!$F$526)^2+(G354-Sheet5!$G$526)^2+(H354-Sheet5!$H$526)^2+(I354-Sheet5!$I$526)^2+(J354-Sheet5!$J$526)^2+(K354-Sheet5!$K$526)^2+(L354-Sheet5!$L$526)^2)</f>
        <v>3.7491925469020497</v>
      </c>
      <c r="P354" s="12">
        <f t="shared" si="5"/>
        <v>0</v>
      </c>
      <c r="Q354" s="11">
        <f>IF(P354=Sheet1!$M354, 1, 0)</f>
        <v>1</v>
      </c>
    </row>
    <row r="355" spans="1:17" x14ac:dyDescent="0.35">
      <c r="A355" s="6" t="s">
        <v>375</v>
      </c>
      <c r="B355" s="6" t="s">
        <v>387</v>
      </c>
      <c r="C355" s="6">
        <v>-0.99083503149925212</v>
      </c>
      <c r="D355" s="6">
        <v>1.0823263498266933</v>
      </c>
      <c r="E355" s="6">
        <v>1.5130640712981553</v>
      </c>
      <c r="F355" s="6">
        <v>1.1775644878508531</v>
      </c>
      <c r="G355" s="6">
        <v>0.47419832581741478</v>
      </c>
      <c r="H355" s="6">
        <v>0.76904941456933362</v>
      </c>
      <c r="I355" s="6">
        <v>0.92649726455284509</v>
      </c>
      <c r="J355" s="6">
        <v>1.2946027141449223</v>
      </c>
      <c r="K355" s="6">
        <v>-0.9818902286733594</v>
      </c>
      <c r="L355" s="6">
        <v>1.4802334233680535E-2</v>
      </c>
      <c r="N355" s="8">
        <f>SQRT((C355-Sheet5!$C$525)^2+(D355-Sheet5!$D$525)^2+(E355-Sheet5!$E$525)^2+(F355-Sheet5!$F$525)^2+(G355-Sheet5!$G$525)^2+(H355-Sheet5!$H$525)^2+(I355-Sheet5!$I$525)^2+(J355-Sheet5!$J$525)^2+(K355-Sheet5!$K$525)^2+(L355-Sheet5!$L$525)^2)</f>
        <v>4.1997714437123088</v>
      </c>
      <c r="O355" s="8">
        <f>SQRT((C355-Sheet5!$C$526)^2+(D355-Sheet5!$D$526)^2+(E355-Sheet5!$E$526)^2+(F355-Sheet5!$F$526)^2+(G355-Sheet5!$G$526)^2+(H355-Sheet5!$H$526)^2+(I355-Sheet5!$I$526)^2+(J355-Sheet5!$J$526)^2+(K355-Sheet5!$K$526)^2+(L355-Sheet5!$L$526)^2)</f>
        <v>1.101243104319346</v>
      </c>
      <c r="P355" s="12">
        <f t="shared" si="5"/>
        <v>1</v>
      </c>
      <c r="Q355" s="11">
        <f>IF(P355=Sheet1!$M355, 1, 0)</f>
        <v>0</v>
      </c>
    </row>
    <row r="356" spans="1:17" x14ac:dyDescent="0.35">
      <c r="A356" s="6" t="s">
        <v>375</v>
      </c>
      <c r="B356" s="6" t="s">
        <v>388</v>
      </c>
      <c r="C356" s="6">
        <v>-1.0565940977910515</v>
      </c>
      <c r="D356" s="6">
        <v>1.5487973281098641</v>
      </c>
      <c r="E356" s="6">
        <v>1.2761880144748001</v>
      </c>
      <c r="F356" s="6">
        <v>1.4379366205632369</v>
      </c>
      <c r="G356" s="6">
        <v>0.70938252872263574</v>
      </c>
      <c r="H356" s="6">
        <v>0.64139306127851359</v>
      </c>
      <c r="I356" s="6">
        <v>-2.2734044330044362E-2</v>
      </c>
      <c r="J356" s="6">
        <v>0.24313126386240255</v>
      </c>
      <c r="K356" s="6">
        <v>-0.54997750925791578</v>
      </c>
      <c r="L356" s="6">
        <v>-0.32685476195652313</v>
      </c>
      <c r="N356" s="8">
        <f>SQRT((C356-Sheet5!$C$525)^2+(D356-Sheet5!$D$525)^2+(E356-Sheet5!$E$525)^2+(F356-Sheet5!$F$525)^2+(G356-Sheet5!$G$525)^2+(H356-Sheet5!$H$525)^2+(I356-Sheet5!$I$525)^2+(J356-Sheet5!$J$525)^2+(K356-Sheet5!$K$525)^2+(L356-Sheet5!$L$525)^2)</f>
        <v>3.8543269519711969</v>
      </c>
      <c r="O356" s="8">
        <f>SQRT((C356-Sheet5!$C$526)^2+(D356-Sheet5!$D$526)^2+(E356-Sheet5!$E$526)^2+(F356-Sheet5!$F$526)^2+(G356-Sheet5!$G$526)^2+(H356-Sheet5!$H$526)^2+(I356-Sheet5!$I$526)^2+(J356-Sheet5!$J$526)^2+(K356-Sheet5!$K$526)^2+(L356-Sheet5!$L$526)^2)</f>
        <v>1.6383184372292954</v>
      </c>
      <c r="P356" s="12">
        <f t="shared" si="5"/>
        <v>1</v>
      </c>
      <c r="Q356" s="11">
        <f>IF(P356=Sheet1!$M356, 1, 0)</f>
        <v>0</v>
      </c>
    </row>
    <row r="357" spans="1:17" x14ac:dyDescent="0.35">
      <c r="A357" s="6" t="s">
        <v>389</v>
      </c>
      <c r="B357" s="6" t="s">
        <v>390</v>
      </c>
      <c r="C357" s="6">
        <v>-0.34129649914759991</v>
      </c>
      <c r="D357" s="6">
        <v>0.21689992959081214</v>
      </c>
      <c r="E357" s="6">
        <v>0.12827853848479256</v>
      </c>
      <c r="F357" s="6">
        <v>0.46269662052218491</v>
      </c>
      <c r="G357" s="6">
        <v>0.93585620559433369</v>
      </c>
      <c r="H357" s="6">
        <v>0.22125822766315714</v>
      </c>
      <c r="I357" s="6">
        <v>-1.4245874011020214</v>
      </c>
      <c r="J357" s="6">
        <v>0.24313126386240255</v>
      </c>
      <c r="K357" s="6">
        <v>-0.64543647985335773</v>
      </c>
      <c r="L357" s="6">
        <v>0.30558743705803298</v>
      </c>
      <c r="N357" s="8">
        <f>SQRT((C357-Sheet5!$C$525)^2+(D357-Sheet5!$D$525)^2+(E357-Sheet5!$E$525)^2+(F357-Sheet5!$F$525)^2+(G357-Sheet5!$G$525)^2+(H357-Sheet5!$H$525)^2+(I357-Sheet5!$I$525)^2+(J357-Sheet5!$J$525)^2+(K357-Sheet5!$K$525)^2+(L357-Sheet5!$L$525)^2)</f>
        <v>2.5484429513791995</v>
      </c>
      <c r="O357" s="8">
        <f>SQRT((C357-Sheet5!$C$526)^2+(D357-Sheet5!$D$526)^2+(E357-Sheet5!$E$526)^2+(F357-Sheet5!$F$526)^2+(G357-Sheet5!$G$526)^2+(H357-Sheet5!$H$526)^2+(I357-Sheet5!$I$526)^2+(J357-Sheet5!$J$526)^2+(K357-Sheet5!$K$526)^2+(L357-Sheet5!$L$526)^2)</f>
        <v>2.6514360613660362</v>
      </c>
      <c r="P357" s="12">
        <f t="shared" si="5"/>
        <v>0</v>
      </c>
      <c r="Q357" s="11">
        <f>IF(P357=Sheet1!$M357, 1, 0)</f>
        <v>1</v>
      </c>
    </row>
    <row r="358" spans="1:17" x14ac:dyDescent="0.35">
      <c r="A358" s="6" t="s">
        <v>389</v>
      </c>
      <c r="B358" s="6" t="s">
        <v>391</v>
      </c>
      <c r="C358" s="6">
        <v>-0.27285338933368619</v>
      </c>
      <c r="D358" s="6">
        <v>0.16165994532043684</v>
      </c>
      <c r="E358" s="6">
        <v>-9.6808974297586975E-2</v>
      </c>
      <c r="F358" s="6">
        <v>0.33019955890523101</v>
      </c>
      <c r="G358" s="6">
        <v>0.99973339650686344</v>
      </c>
      <c r="H358" s="6">
        <v>0.57137058900928761</v>
      </c>
      <c r="I358" s="6">
        <v>-1.151101684842277</v>
      </c>
      <c r="J358" s="6">
        <v>3.0559418317921867E-2</v>
      </c>
      <c r="K358" s="6">
        <v>0.47972745224701652</v>
      </c>
      <c r="L358" s="6">
        <v>-9.50427626824186E-3</v>
      </c>
      <c r="N358" s="8">
        <f>SQRT((C358-Sheet5!$C$525)^2+(D358-Sheet5!$D$525)^2+(E358-Sheet5!$E$525)^2+(F358-Sheet5!$F$525)^2+(G358-Sheet5!$G$525)^2+(H358-Sheet5!$H$525)^2+(I358-Sheet5!$I$525)^2+(J358-Sheet5!$J$525)^2+(K358-Sheet5!$K$525)^2+(L358-Sheet5!$L$525)^2)</f>
        <v>2.2023671213233613</v>
      </c>
      <c r="O358" s="8">
        <f>SQRT((C358-Sheet5!$C$526)^2+(D358-Sheet5!$D$526)^2+(E358-Sheet5!$E$526)^2+(F358-Sheet5!$F$526)^2+(G358-Sheet5!$G$526)^2+(H358-Sheet5!$H$526)^2+(I358-Sheet5!$I$526)^2+(J358-Sheet5!$J$526)^2+(K358-Sheet5!$K$526)^2+(L358-Sheet5!$L$526)^2)</f>
        <v>2.8708601864424703</v>
      </c>
      <c r="P358" s="12">
        <f t="shared" si="5"/>
        <v>0</v>
      </c>
      <c r="Q358" s="11">
        <f>IF(P358=Sheet1!$M358, 1, 0)</f>
        <v>1</v>
      </c>
    </row>
    <row r="359" spans="1:17" x14ac:dyDescent="0.35">
      <c r="A359" s="6" t="s">
        <v>389</v>
      </c>
      <c r="B359" s="6" t="s">
        <v>392</v>
      </c>
      <c r="C359" s="6">
        <v>-0.57480828557154096</v>
      </c>
      <c r="D359" s="6">
        <v>0.48696207491264815</v>
      </c>
      <c r="E359" s="6">
        <v>0.26642553896497639</v>
      </c>
      <c r="F359" s="6">
        <v>0.63679159683283015</v>
      </c>
      <c r="G359" s="6">
        <v>0.86617199732612049</v>
      </c>
      <c r="H359" s="6">
        <v>0.37800083866580919</v>
      </c>
      <c r="I359" s="6">
        <v>-0.5314557263236952</v>
      </c>
      <c r="J359" s="6">
        <v>0.22794756060922539</v>
      </c>
      <c r="K359" s="6">
        <v>-0.78314778169596422</v>
      </c>
      <c r="L359" s="6">
        <v>2.1357723228726941</v>
      </c>
      <c r="N359" s="8">
        <f>SQRT((C359-Sheet5!$C$525)^2+(D359-Sheet5!$D$525)^2+(E359-Sheet5!$E$525)^2+(F359-Sheet5!$F$525)^2+(G359-Sheet5!$G$525)^2+(H359-Sheet5!$H$525)^2+(I359-Sheet5!$I$525)^2+(J359-Sheet5!$J$525)^2+(K359-Sheet5!$K$525)^2+(L359-Sheet5!$L$525)^2)</f>
        <v>3.4729678910175195</v>
      </c>
      <c r="O359" s="8">
        <f>SQRT((C359-Sheet5!$C$526)^2+(D359-Sheet5!$D$526)^2+(E359-Sheet5!$E$526)^2+(F359-Sheet5!$F$526)^2+(G359-Sheet5!$G$526)^2+(H359-Sheet5!$H$526)^2+(I359-Sheet5!$I$526)^2+(J359-Sheet5!$J$526)^2+(K359-Sheet5!$K$526)^2+(L359-Sheet5!$L$526)^2)</f>
        <v>2.3594297663549613</v>
      </c>
      <c r="P359" s="12">
        <f t="shared" si="5"/>
        <v>1</v>
      </c>
      <c r="Q359" s="11">
        <f>IF(P359=Sheet1!$M359, 1, 0)</f>
        <v>0</v>
      </c>
    </row>
    <row r="360" spans="1:17" x14ac:dyDescent="0.35">
      <c r="A360" s="6" t="s">
        <v>389</v>
      </c>
      <c r="B360" s="6" t="s">
        <v>393</v>
      </c>
      <c r="C360" s="6">
        <v>-0.33056032505914285</v>
      </c>
      <c r="D360" s="6">
        <v>0.60971759551348181</v>
      </c>
      <c r="E360" s="6">
        <v>0.20011497873448814</v>
      </c>
      <c r="F360" s="6">
        <v>0.59827500915348375</v>
      </c>
      <c r="G360" s="6">
        <v>1.1042597089091852</v>
      </c>
      <c r="H360" s="6">
        <v>0.5018867511421321</v>
      </c>
      <c r="I360" s="6">
        <v>-0.39311912858857961</v>
      </c>
      <c r="J360" s="6">
        <v>0.11027386039710205</v>
      </c>
      <c r="K360" s="6">
        <v>-0.23386747548284592</v>
      </c>
      <c r="L360" s="6">
        <v>1.4614403555442765</v>
      </c>
      <c r="N360" s="8">
        <f>SQRT((C360-Sheet5!$C$525)^2+(D360-Sheet5!$D$525)^2+(E360-Sheet5!$E$525)^2+(F360-Sheet5!$F$525)^2+(G360-Sheet5!$G$525)^2+(H360-Sheet5!$H$525)^2+(I360-Sheet5!$I$525)^2+(J360-Sheet5!$J$525)^2+(K360-Sheet5!$K$525)^2+(L360-Sheet5!$L$525)^2)</f>
        <v>2.974501204369651</v>
      </c>
      <c r="O360" s="8">
        <f>SQRT((C360-Sheet5!$C$526)^2+(D360-Sheet5!$D$526)^2+(E360-Sheet5!$E$526)^2+(F360-Sheet5!$F$526)^2+(G360-Sheet5!$G$526)^2+(H360-Sheet5!$H$526)^2+(I360-Sheet5!$I$526)^2+(J360-Sheet5!$J$526)^2+(K360-Sheet5!$K$526)^2+(L360-Sheet5!$L$526)^2)</f>
        <v>1.9978490205607482</v>
      </c>
      <c r="P360" s="12">
        <f t="shared" si="5"/>
        <v>1</v>
      </c>
      <c r="Q360" s="11">
        <f>IF(P360=Sheet1!$M360, 1, 0)</f>
        <v>0</v>
      </c>
    </row>
    <row r="361" spans="1:17" x14ac:dyDescent="0.35">
      <c r="A361" s="6" t="s">
        <v>389</v>
      </c>
      <c r="B361" s="6" t="s">
        <v>394</v>
      </c>
      <c r="C361" s="6">
        <v>-0.85797487715459597</v>
      </c>
      <c r="D361" s="6">
        <v>0.67109535581389879</v>
      </c>
      <c r="E361" s="6">
        <v>0.77738524474101633</v>
      </c>
      <c r="F361" s="6">
        <v>0.81242723665065009</v>
      </c>
      <c r="G361" s="6">
        <v>0.77325971963516549</v>
      </c>
      <c r="H361" s="6">
        <v>0.603150018731475</v>
      </c>
      <c r="I361" s="6">
        <v>0.14046489124686626</v>
      </c>
      <c r="J361" s="6">
        <v>0.28868237362193416</v>
      </c>
      <c r="K361" s="6">
        <v>-0.61257355555000981</v>
      </c>
      <c r="L361" s="6">
        <v>0.14289389415963666</v>
      </c>
      <c r="N361" s="8">
        <f>SQRT((C361-Sheet5!$C$525)^2+(D361-Sheet5!$D$525)^2+(E361-Sheet5!$E$525)^2+(F361-Sheet5!$F$525)^2+(G361-Sheet5!$G$525)^2+(H361-Sheet5!$H$525)^2+(I361-Sheet5!$I$525)^2+(J361-Sheet5!$J$525)^2+(K361-Sheet5!$K$525)^2+(L361-Sheet5!$L$525)^2)</f>
        <v>2.9751246028641787</v>
      </c>
      <c r="O361" s="8">
        <f>SQRT((C361-Sheet5!$C$526)^2+(D361-Sheet5!$D$526)^2+(E361-Sheet5!$E$526)^2+(F361-Sheet5!$F$526)^2+(G361-Sheet5!$G$526)^2+(H361-Sheet5!$H$526)^2+(I361-Sheet5!$I$526)^2+(J361-Sheet5!$J$526)^2+(K361-Sheet5!$K$526)^2+(L361-Sheet5!$L$526)^2)</f>
        <v>1.1116476131933415</v>
      </c>
      <c r="P361" s="12">
        <f t="shared" si="5"/>
        <v>1</v>
      </c>
      <c r="Q361" s="11">
        <f>IF(P361=Sheet1!$M361, 1, 0)</f>
        <v>0</v>
      </c>
    </row>
    <row r="362" spans="1:17" x14ac:dyDescent="0.35">
      <c r="A362" s="6" t="s">
        <v>389</v>
      </c>
      <c r="B362" s="6" t="s">
        <v>395</v>
      </c>
      <c r="C362" s="6">
        <v>-0.625805112491712</v>
      </c>
      <c r="D362" s="6">
        <v>-4.7024439700981191E-2</v>
      </c>
      <c r="E362" s="6">
        <v>0.488565915737112</v>
      </c>
      <c r="F362" s="6">
        <v>0.3209555778621897</v>
      </c>
      <c r="G362" s="6">
        <v>0.5874351642532637</v>
      </c>
      <c r="H362" s="6">
        <v>0.39469850513000937</v>
      </c>
      <c r="I362" s="6">
        <v>-0.40650654127262265</v>
      </c>
      <c r="J362" s="6">
        <v>-0.80074833479352847</v>
      </c>
      <c r="K362" s="6">
        <v>-0.40913640510070748</v>
      </c>
      <c r="L362" s="6">
        <v>-0.32328217353540645</v>
      </c>
      <c r="N362" s="8">
        <f>SQRT((C362-Sheet5!$C$525)^2+(D362-Sheet5!$D$525)^2+(E362-Sheet5!$E$525)^2+(F362-Sheet5!$F$525)^2+(G362-Sheet5!$G$525)^2+(H362-Sheet5!$H$525)^2+(I362-Sheet5!$I$525)^2+(J362-Sheet5!$J$525)^2+(K362-Sheet5!$K$525)^2+(L362-Sheet5!$L$525)^2)</f>
        <v>2.0453177908541411</v>
      </c>
      <c r="O362" s="8">
        <f>SQRT((C362-Sheet5!$C$526)^2+(D362-Sheet5!$D$526)^2+(E362-Sheet5!$E$526)^2+(F362-Sheet5!$F$526)^2+(G362-Sheet5!$G$526)^2+(H362-Sheet5!$H$526)^2+(I362-Sheet5!$I$526)^2+(J362-Sheet5!$J$526)^2+(K362-Sheet5!$K$526)^2+(L362-Sheet5!$L$526)^2)</f>
        <v>2.6764468055132915</v>
      </c>
      <c r="P362" s="12">
        <f t="shared" si="5"/>
        <v>0</v>
      </c>
      <c r="Q362" s="11">
        <f>IF(P362=Sheet1!$M362, 1, 0)</f>
        <v>1</v>
      </c>
    </row>
    <row r="363" spans="1:17" x14ac:dyDescent="0.35">
      <c r="A363" s="6" t="s">
        <v>389</v>
      </c>
      <c r="B363" s="6" t="s">
        <v>396</v>
      </c>
      <c r="C363" s="6">
        <v>-5.0077776998202241E-2</v>
      </c>
      <c r="D363" s="6">
        <v>-0.15750440824173179</v>
      </c>
      <c r="E363" s="6">
        <v>-0.92937489719149491</v>
      </c>
      <c r="F363" s="6">
        <v>-0.30455380605039711</v>
      </c>
      <c r="G363" s="6">
        <v>0.77616322831300921</v>
      </c>
      <c r="H363" s="6">
        <v>0.779283468208682</v>
      </c>
      <c r="I363" s="6">
        <v>-2.2750068544598281</v>
      </c>
      <c r="J363" s="6">
        <v>-0.72862574434093696</v>
      </c>
      <c r="K363" s="6">
        <v>0.8396547184265517</v>
      </c>
      <c r="L363" s="6">
        <v>-0.42161918576021373</v>
      </c>
      <c r="N363" s="8">
        <f>SQRT((C363-Sheet5!$C$525)^2+(D363-Sheet5!$D$525)^2+(E363-Sheet5!$E$525)^2+(F363-Sheet5!$F$525)^2+(G363-Sheet5!$G$525)^2+(H363-Sheet5!$H$525)^2+(I363-Sheet5!$I$525)^2+(J363-Sheet5!$J$525)^2+(K363-Sheet5!$K$525)^2+(L363-Sheet5!$L$525)^2)</f>
        <v>2.6985570524965405</v>
      </c>
      <c r="O363" s="8">
        <f>SQRT((C363-Sheet5!$C$526)^2+(D363-Sheet5!$D$526)^2+(E363-Sheet5!$E$526)^2+(F363-Sheet5!$F$526)^2+(G363-Sheet5!$G$526)^2+(H363-Sheet5!$H$526)^2+(I363-Sheet5!$I$526)^2+(J363-Sheet5!$J$526)^2+(K363-Sheet5!$K$526)^2+(L363-Sheet5!$L$526)^2)</f>
        <v>4.6781253710397506</v>
      </c>
      <c r="P363" s="12">
        <f t="shared" si="5"/>
        <v>0</v>
      </c>
      <c r="Q363" s="11">
        <f>IF(P363=Sheet1!$M363, 1, 0)</f>
        <v>1</v>
      </c>
    </row>
    <row r="364" spans="1:17" x14ac:dyDescent="0.35">
      <c r="A364" s="6" t="s">
        <v>389</v>
      </c>
      <c r="B364" s="6" t="s">
        <v>397</v>
      </c>
      <c r="C364" s="6">
        <v>-1.2592393837106783</v>
      </c>
      <c r="D364" s="6">
        <v>1.5181084479596552</v>
      </c>
      <c r="E364" s="6">
        <v>1.671472631848766</v>
      </c>
      <c r="F364" s="6">
        <v>1.6613328291034446</v>
      </c>
      <c r="G364" s="6">
        <v>1.4817158370286845</v>
      </c>
      <c r="H364" s="6">
        <v>0.86438770373589513</v>
      </c>
      <c r="I364" s="6">
        <v>0.92968474376333143</v>
      </c>
      <c r="J364" s="6">
        <v>1.4730112273697538</v>
      </c>
      <c r="K364" s="6">
        <v>-0.80975110137010187</v>
      </c>
      <c r="L364" s="6">
        <v>1.354684907648444</v>
      </c>
      <c r="N364" s="8">
        <f>SQRT((C364-Sheet5!$C$525)^2+(D364-Sheet5!$D$525)^2+(E364-Sheet5!$E$525)^2+(F364-Sheet5!$F$525)^2+(G364-Sheet5!$G$525)^2+(H364-Sheet5!$H$525)^2+(I364-Sheet5!$I$525)^2+(J364-Sheet5!$J$525)^2+(K364-Sheet5!$K$525)^2+(L364-Sheet5!$L$525)^2)</f>
        <v>5.2804941026426055</v>
      </c>
      <c r="O364" s="8">
        <f>SQRT((C364-Sheet5!$C$526)^2+(D364-Sheet5!$D$526)^2+(E364-Sheet5!$E$526)^2+(F364-Sheet5!$F$526)^2+(G364-Sheet5!$G$526)^2+(H364-Sheet5!$H$526)^2+(I364-Sheet5!$I$526)^2+(J364-Sheet5!$J$526)^2+(K364-Sheet5!$K$526)^2+(L364-Sheet5!$L$526)^2)</f>
        <v>1.7058852540417178</v>
      </c>
      <c r="P364" s="12">
        <f t="shared" si="5"/>
        <v>1</v>
      </c>
      <c r="Q364" s="11">
        <f>IF(P364=Sheet1!$M364, 1, 0)</f>
        <v>0</v>
      </c>
    </row>
    <row r="365" spans="1:17" x14ac:dyDescent="0.35">
      <c r="A365" s="6" t="s">
        <v>389</v>
      </c>
      <c r="B365" s="6" t="s">
        <v>398</v>
      </c>
      <c r="C365" s="6">
        <v>-0.97741481388868068</v>
      </c>
      <c r="D365" s="6">
        <v>1.2603218546979034</v>
      </c>
      <c r="E365" s="6">
        <v>1.5683228714902289</v>
      </c>
      <c r="F365" s="6">
        <v>1.6690361466393155</v>
      </c>
      <c r="G365" s="6">
        <v>1.4178386461161547</v>
      </c>
      <c r="H365" s="6">
        <v>1.0755323893477153</v>
      </c>
      <c r="I365" s="6">
        <v>0.72632357013429083</v>
      </c>
      <c r="J365" s="6">
        <v>1.176929013932799</v>
      </c>
      <c r="K365" s="6">
        <v>-0.80975110137010187</v>
      </c>
      <c r="L365" s="6">
        <v>0.50812591999959322</v>
      </c>
      <c r="N365" s="8">
        <f>SQRT((C365-Sheet5!$C$525)^2+(D365-Sheet5!$D$525)^2+(E365-Sheet5!$E$525)^2+(F365-Sheet5!$F$525)^2+(G365-Sheet5!$G$525)^2+(H365-Sheet5!$H$525)^2+(I365-Sheet5!$I$525)^2+(J365-Sheet5!$J$525)^2+(K365-Sheet5!$K$525)^2+(L365-Sheet5!$L$525)^2)</f>
        <v>4.7588447144809667</v>
      </c>
      <c r="O365" s="8">
        <f>SQRT((C365-Sheet5!$C$526)^2+(D365-Sheet5!$D$526)^2+(E365-Sheet5!$E$526)^2+(F365-Sheet5!$F$526)^2+(G365-Sheet5!$G$526)^2+(H365-Sheet5!$H$526)^2+(I365-Sheet5!$I$526)^2+(J365-Sheet5!$J$526)^2+(K365-Sheet5!$K$526)^2+(L365-Sheet5!$L$526)^2)</f>
        <v>1.2227237116982064</v>
      </c>
      <c r="P365" s="12">
        <f t="shared" si="5"/>
        <v>1</v>
      </c>
      <c r="Q365" s="11">
        <f>IF(P365=Sheet1!$M365, 1, 0)</f>
        <v>0</v>
      </c>
    </row>
    <row r="366" spans="1:17" x14ac:dyDescent="0.35">
      <c r="A366" s="6" t="s">
        <v>389</v>
      </c>
      <c r="B366" s="6" t="s">
        <v>399</v>
      </c>
      <c r="C366" s="6">
        <v>-1.0270696190477946</v>
      </c>
      <c r="D366" s="6">
        <v>1.4505929116291967</v>
      </c>
      <c r="E366" s="6">
        <v>2.372522610285539</v>
      </c>
      <c r="F366" s="6">
        <v>1.6428448670173597</v>
      </c>
      <c r="G366" s="6">
        <v>1.4207421547939945</v>
      </c>
      <c r="H366" s="6">
        <v>0.90209211188086313</v>
      </c>
      <c r="I366" s="6">
        <v>0.93797218971059615</v>
      </c>
      <c r="J366" s="6">
        <v>1.8450119570725949</v>
      </c>
      <c r="K366" s="6">
        <v>-0.44356423056135857</v>
      </c>
      <c r="L366" s="6">
        <v>0.37580435169501947</v>
      </c>
      <c r="N366" s="8">
        <f>SQRT((C366-Sheet5!$C$525)^2+(D366-Sheet5!$D$525)^2+(E366-Sheet5!$E$525)^2+(F366-Sheet5!$F$525)^2+(G366-Sheet5!$G$525)^2+(H366-Sheet5!$H$525)^2+(I366-Sheet5!$I$525)^2+(J366-Sheet5!$J$525)^2+(K366-Sheet5!$K$525)^2+(L366-Sheet5!$L$525)^2)</f>
        <v>5.3828830966034236</v>
      </c>
      <c r="O366" s="8">
        <f>SQRT((C366-Sheet5!$C$526)^2+(D366-Sheet5!$D$526)^2+(E366-Sheet5!$E$526)^2+(F366-Sheet5!$F$526)^2+(G366-Sheet5!$G$526)^2+(H366-Sheet5!$H$526)^2+(I366-Sheet5!$I$526)^2+(J366-Sheet5!$J$526)^2+(K366-Sheet5!$K$526)^2+(L366-Sheet5!$L$526)^2)</f>
        <v>1.9457616214283766</v>
      </c>
      <c r="P366" s="12">
        <f t="shared" si="5"/>
        <v>1</v>
      </c>
      <c r="Q366" s="11">
        <f>IF(P366=Sheet1!$M366, 1, 0)</f>
        <v>0</v>
      </c>
    </row>
    <row r="367" spans="1:17" x14ac:dyDescent="0.35">
      <c r="A367" s="6" t="s">
        <v>400</v>
      </c>
      <c r="B367" s="6" t="s">
        <v>401</v>
      </c>
      <c r="C367" s="6">
        <v>-0.66740778708448312</v>
      </c>
      <c r="D367" s="6">
        <v>0.59130426742335718</v>
      </c>
      <c r="E367" s="6">
        <v>-0.14617350246917266</v>
      </c>
      <c r="F367" s="6">
        <v>0.36871614658457746</v>
      </c>
      <c r="G367" s="6">
        <v>0.53226849937425702</v>
      </c>
      <c r="H367" s="6">
        <v>-0.50212777431815592</v>
      </c>
      <c r="I367" s="6">
        <v>-0.91076575237159274</v>
      </c>
      <c r="J367" s="6">
        <v>-0.34903316301150761</v>
      </c>
      <c r="K367" s="6">
        <v>0.31697773188757328</v>
      </c>
      <c r="L367" s="6">
        <v>-0.2878060892667727</v>
      </c>
      <c r="N367" s="8">
        <f>SQRT((C367-Sheet5!$C$525)^2+(D367-Sheet5!$D$525)^2+(E367-Sheet5!$E$525)^2+(F367-Sheet5!$F$525)^2+(G367-Sheet5!$G$525)^2+(H367-Sheet5!$H$525)^2+(I367-Sheet5!$I$525)^2+(J367-Sheet5!$J$525)^2+(K367-Sheet5!$K$525)^2+(L367-Sheet5!$L$525)^2)</f>
        <v>1.9384674699934046</v>
      </c>
      <c r="O367" s="8">
        <f>SQRT((C367-Sheet5!$C$526)^2+(D367-Sheet5!$D$526)^2+(E367-Sheet5!$E$526)^2+(F367-Sheet5!$F$526)^2+(G367-Sheet5!$G$526)^2+(H367-Sheet5!$H$526)^2+(I367-Sheet5!$I$526)^2+(J367-Sheet5!$J$526)^2+(K367-Sheet5!$K$526)^2+(L367-Sheet5!$L$526)^2)</f>
        <v>3.044264067993387</v>
      </c>
      <c r="P367" s="12">
        <f t="shared" si="5"/>
        <v>0</v>
      </c>
      <c r="Q367" s="11">
        <f>IF(P367=Sheet1!$M367, 1, 0)</f>
        <v>1</v>
      </c>
    </row>
    <row r="368" spans="1:17" x14ac:dyDescent="0.35">
      <c r="A368" s="6" t="s">
        <v>400</v>
      </c>
      <c r="B368" s="6" t="s">
        <v>402</v>
      </c>
      <c r="C368" s="6">
        <v>-0.30103584631588609</v>
      </c>
      <c r="D368" s="6">
        <v>0.46241097079248072</v>
      </c>
      <c r="E368" s="6">
        <v>-0.33221146311582023</v>
      </c>
      <c r="F368" s="6">
        <v>0.28860164421153744</v>
      </c>
      <c r="G368" s="6">
        <v>0.89520708410454164</v>
      </c>
      <c r="H368" s="6">
        <v>0.85307638129240515</v>
      </c>
      <c r="I368" s="6">
        <v>-0.61815516084892885</v>
      </c>
      <c r="J368" s="6">
        <v>-0.19719613047973569</v>
      </c>
      <c r="K368" s="6">
        <v>-0.13214890025819365</v>
      </c>
      <c r="L368" s="6">
        <v>-0.20789031313872799</v>
      </c>
      <c r="N368" s="8">
        <f>SQRT((C368-Sheet5!$C$525)^2+(D368-Sheet5!$D$525)^2+(E368-Sheet5!$E$525)^2+(F368-Sheet5!$F$525)^2+(G368-Sheet5!$G$525)^2+(H368-Sheet5!$H$525)^2+(I368-Sheet5!$I$525)^2+(J368-Sheet5!$J$525)^2+(K368-Sheet5!$K$525)^2+(L368-Sheet5!$L$525)^2)</f>
        <v>2.1530455038845258</v>
      </c>
      <c r="O368" s="8">
        <f>SQRT((C368-Sheet5!$C$526)^2+(D368-Sheet5!$D$526)^2+(E368-Sheet5!$E$526)^2+(F368-Sheet5!$F$526)^2+(G368-Sheet5!$G$526)^2+(H368-Sheet5!$H$526)^2+(I368-Sheet5!$I$526)^2+(J368-Sheet5!$J$526)^2+(K368-Sheet5!$K$526)^2+(L368-Sheet5!$L$526)^2)</f>
        <v>2.5932974713050747</v>
      </c>
      <c r="P368" s="12">
        <f t="shared" si="5"/>
        <v>0</v>
      </c>
      <c r="Q368" s="11">
        <f>IF(P368=Sheet1!$M368, 1, 0)</f>
        <v>1</v>
      </c>
    </row>
    <row r="369" spans="1:17" x14ac:dyDescent="0.35">
      <c r="A369" s="6" t="s">
        <v>400</v>
      </c>
      <c r="B369" s="6" t="s">
        <v>403</v>
      </c>
      <c r="C369" s="6">
        <v>-0.95594246571176655</v>
      </c>
      <c r="D369" s="6">
        <v>0.22303770562085479</v>
      </c>
      <c r="E369" s="6">
        <v>-0.97579228935283668</v>
      </c>
      <c r="F369" s="6">
        <v>-0.33382641268670005</v>
      </c>
      <c r="G369" s="6">
        <v>0.53226849937425702</v>
      </c>
      <c r="H369" s="6">
        <v>0.32790783927320938</v>
      </c>
      <c r="I369" s="6">
        <v>4.7390498300658994E-2</v>
      </c>
      <c r="J369" s="6">
        <v>7.6110528077453443E-2</v>
      </c>
      <c r="K369" s="6">
        <v>-0.33089134723559105</v>
      </c>
      <c r="L369" s="6">
        <v>-0.37914579869311971</v>
      </c>
      <c r="N369" s="8">
        <f>SQRT((C369-Sheet5!$C$525)^2+(D369-Sheet5!$D$525)^2+(E369-Sheet5!$E$525)^2+(F369-Sheet5!$F$525)^2+(G369-Sheet5!$G$525)^2+(H369-Sheet5!$H$525)^2+(I369-Sheet5!$I$525)^2+(J369-Sheet5!$J$525)^2+(K369-Sheet5!$K$525)^2+(L369-Sheet5!$L$525)^2)</f>
        <v>1.9876860214490637</v>
      </c>
      <c r="O369" s="8">
        <f>SQRT((C369-Sheet5!$C$526)^2+(D369-Sheet5!$D$526)^2+(E369-Sheet5!$E$526)^2+(F369-Sheet5!$F$526)^2+(G369-Sheet5!$G$526)^2+(H369-Sheet5!$H$526)^2+(I369-Sheet5!$I$526)^2+(J369-Sheet5!$J$526)^2+(K369-Sheet5!$K$526)^2+(L369-Sheet5!$L$526)^2)</f>
        <v>2.9983718874523011</v>
      </c>
      <c r="P369" s="12">
        <f t="shared" si="5"/>
        <v>0</v>
      </c>
      <c r="Q369" s="11">
        <f>IF(P369=Sheet1!$M369, 1, 0)</f>
        <v>1</v>
      </c>
    </row>
    <row r="370" spans="1:17" x14ac:dyDescent="0.35">
      <c r="A370" s="6" t="s">
        <v>400</v>
      </c>
      <c r="B370" s="6" t="s">
        <v>404</v>
      </c>
      <c r="C370" s="6">
        <v>-0.73585089689839689</v>
      </c>
      <c r="D370" s="6">
        <v>-0.16364218427177335</v>
      </c>
      <c r="E370" s="6">
        <v>-1.2012481941364967</v>
      </c>
      <c r="F370" s="6">
        <v>-0.5341126686193034</v>
      </c>
      <c r="G370" s="6">
        <v>0.5061369212736796</v>
      </c>
      <c r="H370" s="6">
        <v>6.9363326279143211E-2</v>
      </c>
      <c r="I370" s="6">
        <v>2.0615672932572011E-2</v>
      </c>
      <c r="J370" s="6">
        <v>-0.31107390487856446</v>
      </c>
      <c r="K370" s="6">
        <v>-0.52493909074107903</v>
      </c>
      <c r="L370" s="6">
        <v>-0.11723669163484682</v>
      </c>
      <c r="N370" s="8">
        <f>SQRT((C370-Sheet5!$C$525)^2+(D370-Sheet5!$D$525)^2+(E370-Sheet5!$E$525)^2+(F370-Sheet5!$F$525)^2+(G370-Sheet5!$G$525)^2+(H370-Sheet5!$H$525)^2+(I370-Sheet5!$I$525)^2+(J370-Sheet5!$J$525)^2+(K370-Sheet5!$K$525)^2+(L370-Sheet5!$L$525)^2)</f>
        <v>1.7814237600405907</v>
      </c>
      <c r="O370" s="8">
        <f>SQRT((C370-Sheet5!$C$526)^2+(D370-Sheet5!$D$526)^2+(E370-Sheet5!$E$526)^2+(F370-Sheet5!$F$526)^2+(G370-Sheet5!$G$526)^2+(H370-Sheet5!$H$526)^2+(I370-Sheet5!$I$526)^2+(J370-Sheet5!$J$526)^2+(K370-Sheet5!$K$526)^2+(L370-Sheet5!$L$526)^2)</f>
        <v>3.4362552051063497</v>
      </c>
      <c r="P370" s="12">
        <f t="shared" si="5"/>
        <v>0</v>
      </c>
      <c r="Q370" s="11">
        <f>IF(P370=Sheet1!$M370, 1, 0)</f>
        <v>1</v>
      </c>
    </row>
    <row r="371" spans="1:17" x14ac:dyDescent="0.35">
      <c r="A371" s="6" t="s">
        <v>400</v>
      </c>
      <c r="B371" s="6" t="s">
        <v>405</v>
      </c>
      <c r="C371" s="6">
        <v>-0.74658707098685395</v>
      </c>
      <c r="D371" s="6">
        <v>0.94729527716577633</v>
      </c>
      <c r="E371" s="6">
        <v>0.3448930352377208</v>
      </c>
      <c r="F371" s="6">
        <v>0.97111557788955771</v>
      </c>
      <c r="G371" s="6">
        <v>1.2726632122240409</v>
      </c>
      <c r="H371" s="6">
        <v>2.0347595690685127E-2</v>
      </c>
      <c r="I371" s="6">
        <v>0.86657265539569839</v>
      </c>
      <c r="J371" s="6">
        <v>-4.5359097947963757E-2</v>
      </c>
      <c r="K371" s="6">
        <v>-0.95841671131382355</v>
      </c>
      <c r="L371" s="6">
        <v>2.0918661274960799E-2</v>
      </c>
      <c r="N371" s="8">
        <f>SQRT((C371-Sheet5!$C$525)^2+(D371-Sheet5!$D$525)^2+(E371-Sheet5!$E$525)^2+(F371-Sheet5!$F$525)^2+(G371-Sheet5!$G$525)^2+(H371-Sheet5!$H$525)^2+(I371-Sheet5!$I$525)^2+(J371-Sheet5!$J$525)^2+(K371-Sheet5!$K$525)^2+(L371-Sheet5!$L$525)^2)</f>
        <v>3.3077047057258158</v>
      </c>
      <c r="O371" s="8">
        <f>SQRT((C371-Sheet5!$C$526)^2+(D371-Sheet5!$D$526)^2+(E371-Sheet5!$E$526)^2+(F371-Sheet5!$F$526)^2+(G371-Sheet5!$G$526)^2+(H371-Sheet5!$H$526)^2+(I371-Sheet5!$I$526)^2+(J371-Sheet5!$J$526)^2+(K371-Sheet5!$K$526)^2+(L371-Sheet5!$L$526)^2)</f>
        <v>1.6318770000219336</v>
      </c>
      <c r="P371" s="12">
        <f t="shared" si="5"/>
        <v>1</v>
      </c>
      <c r="Q371" s="11">
        <f>IF(P371=Sheet1!$M371, 1, 0)</f>
        <v>0</v>
      </c>
    </row>
    <row r="372" spans="1:17" x14ac:dyDescent="0.35">
      <c r="A372" s="6" t="s">
        <v>406</v>
      </c>
      <c r="B372" s="6" t="s">
        <v>407</v>
      </c>
      <c r="C372" s="6">
        <v>-0.6298311777748834</v>
      </c>
      <c r="D372" s="6">
        <v>-0.24957104869235763</v>
      </c>
      <c r="E372" s="6">
        <v>-3.8603038095269521E-2</v>
      </c>
      <c r="F372" s="6">
        <v>-0.27219987239974702</v>
      </c>
      <c r="G372" s="6">
        <v>-6.0047270905565199E-2</v>
      </c>
      <c r="H372" s="6">
        <v>-0.18864255231285096</v>
      </c>
      <c r="I372" s="6">
        <v>0.19720202119352656</v>
      </c>
      <c r="J372" s="6">
        <v>-7.9522430267612701E-2</v>
      </c>
      <c r="K372" s="6">
        <v>-1.158724059448522</v>
      </c>
      <c r="L372" s="6">
        <v>-0.33929059919602167</v>
      </c>
      <c r="N372" s="8">
        <f>SQRT((C372-Sheet5!$C$525)^2+(D372-Sheet5!$D$525)^2+(E372-Sheet5!$E$525)^2+(F372-Sheet5!$F$525)^2+(G372-Sheet5!$G$525)^2+(H372-Sheet5!$H$525)^2+(I372-Sheet5!$I$525)^2+(J372-Sheet5!$J$525)^2+(K372-Sheet5!$K$525)^2+(L372-Sheet5!$L$525)^2)</f>
        <v>1.8241410457192517</v>
      </c>
      <c r="O372" s="8">
        <f>SQRT((C372-Sheet5!$C$526)^2+(D372-Sheet5!$D$526)^2+(E372-Sheet5!$E$526)^2+(F372-Sheet5!$F$526)^2+(G372-Sheet5!$G$526)^2+(H372-Sheet5!$H$526)^2+(I372-Sheet5!$I$526)^2+(J372-Sheet5!$J$526)^2+(K372-Sheet5!$K$526)^2+(L372-Sheet5!$L$526)^2)</f>
        <v>2.9049413975021023</v>
      </c>
      <c r="P372" s="12">
        <f t="shared" si="5"/>
        <v>0</v>
      </c>
      <c r="Q372" s="11">
        <f>IF(P372=Sheet1!$M372, 1, 0)</f>
        <v>1</v>
      </c>
    </row>
    <row r="373" spans="1:17" x14ac:dyDescent="0.35">
      <c r="A373" s="6" t="s">
        <v>406</v>
      </c>
      <c r="B373" s="6" t="s">
        <v>408</v>
      </c>
      <c r="C373" s="6">
        <v>-0.6177529819253692</v>
      </c>
      <c r="D373" s="6">
        <v>0.79385087641473362</v>
      </c>
      <c r="E373" s="6">
        <v>0.79433127679991888</v>
      </c>
      <c r="F373" s="6">
        <v>0.89408240253086479</v>
      </c>
      <c r="G373" s="6">
        <v>0.43645271300546234</v>
      </c>
      <c r="H373" s="6">
        <v>0.59884094351490658</v>
      </c>
      <c r="I373" s="6">
        <v>0.1831771126673859</v>
      </c>
      <c r="J373" s="6">
        <v>0.41015199964735133</v>
      </c>
      <c r="K373" s="6">
        <v>-1.57342286613364</v>
      </c>
      <c r="L373" s="6">
        <v>-0.20619771218976055</v>
      </c>
      <c r="N373" s="8">
        <f>SQRT((C373-Sheet5!$C$525)^2+(D373-Sheet5!$D$525)^2+(E373-Sheet5!$E$525)^2+(F373-Sheet5!$F$525)^2+(G373-Sheet5!$G$525)^2+(H373-Sheet5!$H$525)^2+(I373-Sheet5!$I$525)^2+(J373-Sheet5!$J$525)^2+(K373-Sheet5!$K$525)^2+(L373-Sheet5!$L$525)^2)</f>
        <v>3.2949765673803104</v>
      </c>
      <c r="O373" s="8">
        <f>SQRT((C373-Sheet5!$C$526)^2+(D373-Sheet5!$D$526)^2+(E373-Sheet5!$E$526)^2+(F373-Sheet5!$F$526)^2+(G373-Sheet5!$G$526)^2+(H373-Sheet5!$H$526)^2+(I373-Sheet5!$I$526)^2+(J373-Sheet5!$J$526)^2+(K373-Sheet5!$K$526)^2+(L373-Sheet5!$L$526)^2)</f>
        <v>1.5912379248120718</v>
      </c>
      <c r="P373" s="12">
        <f t="shared" si="5"/>
        <v>1</v>
      </c>
      <c r="Q373" s="11">
        <f>IF(P373=Sheet1!$M373, 1, 0)</f>
        <v>0</v>
      </c>
    </row>
    <row r="374" spans="1:17" x14ac:dyDescent="0.35">
      <c r="A374" s="6" t="s">
        <v>406</v>
      </c>
      <c r="B374" s="6" t="s">
        <v>409</v>
      </c>
      <c r="C374" s="6">
        <v>-0.16817569197122997</v>
      </c>
      <c r="D374" s="6">
        <v>-5.9299991761064347E-2</v>
      </c>
      <c r="E374" s="6">
        <v>0.44178013157448975</v>
      </c>
      <c r="F374" s="6">
        <v>0.17613320818784517</v>
      </c>
      <c r="G374" s="6">
        <v>0.15190886257692218</v>
      </c>
      <c r="H374" s="6">
        <v>0.40547119317142893</v>
      </c>
      <c r="I374" s="6">
        <v>0.53379982582090446</v>
      </c>
      <c r="J374" s="6">
        <v>-0.12886946584043849</v>
      </c>
      <c r="K374" s="6">
        <v>-0.91772928122396336</v>
      </c>
      <c r="L374" s="6">
        <v>-0.39197538165550377</v>
      </c>
      <c r="N374" s="8">
        <f>SQRT((C374-Sheet5!$C$525)^2+(D374-Sheet5!$D$525)^2+(E374-Sheet5!$E$525)^2+(F374-Sheet5!$F$525)^2+(G374-Sheet5!$G$525)^2+(H374-Sheet5!$H$525)^2+(I374-Sheet5!$I$525)^2+(J374-Sheet5!$J$525)^2+(K374-Sheet5!$K$525)^2+(L374-Sheet5!$L$525)^2)</f>
        <v>2.0417219131307305</v>
      </c>
      <c r="O374" s="8">
        <f>SQRT((C374-Sheet5!$C$526)^2+(D374-Sheet5!$D$526)^2+(E374-Sheet5!$E$526)^2+(F374-Sheet5!$F$526)^2+(G374-Sheet5!$G$526)^2+(H374-Sheet5!$H$526)^2+(I374-Sheet5!$I$526)^2+(J374-Sheet5!$J$526)^2+(K374-Sheet5!$K$526)^2+(L374-Sheet5!$L$526)^2)</f>
        <v>2.2861762245759429</v>
      </c>
      <c r="P374" s="12">
        <f t="shared" si="5"/>
        <v>0</v>
      </c>
      <c r="Q374" s="11">
        <f>IF(P374=Sheet1!$M374, 1, 0)</f>
        <v>1</v>
      </c>
    </row>
    <row r="375" spans="1:17" x14ac:dyDescent="0.35">
      <c r="A375" s="6" t="s">
        <v>406</v>
      </c>
      <c r="B375" s="6" t="s">
        <v>410</v>
      </c>
      <c r="C375" s="6">
        <v>-0.43926408770477066</v>
      </c>
      <c r="D375" s="6">
        <v>0.787713100384692</v>
      </c>
      <c r="E375" s="6">
        <v>-0.65087054422344426</v>
      </c>
      <c r="F375" s="6">
        <v>-1.4909066701712445E-2</v>
      </c>
      <c r="G375" s="6">
        <v>0.16932991464397237</v>
      </c>
      <c r="H375" s="6">
        <v>0.51858441760633234</v>
      </c>
      <c r="I375" s="6">
        <v>-3.357147364569868E-2</v>
      </c>
      <c r="J375" s="6">
        <v>-1.0474835126576578</v>
      </c>
      <c r="K375" s="6">
        <v>1.5219516230103671</v>
      </c>
      <c r="L375" s="6">
        <v>-0.42413709813788703</v>
      </c>
      <c r="N375" s="8">
        <f>SQRT((C375-Sheet5!$C$525)^2+(D375-Sheet5!$D$525)^2+(E375-Sheet5!$E$525)^2+(F375-Sheet5!$F$525)^2+(G375-Sheet5!$G$525)^2+(H375-Sheet5!$H$525)^2+(I375-Sheet5!$I$525)^2+(J375-Sheet5!$J$525)^2+(K375-Sheet5!$K$525)^2+(L375-Sheet5!$L$525)^2)</f>
        <v>2.2671571977006852</v>
      </c>
      <c r="O375" s="8">
        <f>SQRT((C375-Sheet5!$C$526)^2+(D375-Sheet5!$D$526)^2+(E375-Sheet5!$E$526)^2+(F375-Sheet5!$F$526)^2+(G375-Sheet5!$G$526)^2+(H375-Sheet5!$H$526)^2+(I375-Sheet5!$I$526)^2+(J375-Sheet5!$J$526)^2+(K375-Sheet5!$K$526)^2+(L375-Sheet5!$L$526)^2)</f>
        <v>3.8117762655760026</v>
      </c>
      <c r="P375" s="12">
        <f t="shared" si="5"/>
        <v>0</v>
      </c>
      <c r="Q375" s="11">
        <f>IF(P375=Sheet1!$M375, 1, 0)</f>
        <v>1</v>
      </c>
    </row>
    <row r="376" spans="1:17" x14ac:dyDescent="0.35">
      <c r="A376" s="6" t="s">
        <v>406</v>
      </c>
      <c r="B376" s="6" t="s">
        <v>411</v>
      </c>
      <c r="C376" s="6">
        <v>-0.38960928254565685</v>
      </c>
      <c r="D376" s="6">
        <v>0.40103321049206386</v>
      </c>
      <c r="E376" s="6">
        <v>0.45283189161290444</v>
      </c>
      <c r="F376" s="6">
        <v>0.36871614658457746</v>
      </c>
      <c r="G376" s="6">
        <v>0.10254921505360297</v>
      </c>
      <c r="H376" s="6">
        <v>0.56329107297822278</v>
      </c>
      <c r="I376" s="6">
        <v>0.35976346092833955</v>
      </c>
      <c r="J376" s="6">
        <v>-6.0542801201140951E-2</v>
      </c>
      <c r="K376" s="6">
        <v>-1.0053637460328941</v>
      </c>
      <c r="L376" s="6">
        <v>-0.32580999015170464</v>
      </c>
      <c r="N376" s="8">
        <f>SQRT((C376-Sheet5!$C$525)^2+(D376-Sheet5!$D$525)^2+(E376-Sheet5!$E$525)^2+(F376-Sheet5!$F$525)^2+(G376-Sheet5!$G$525)^2+(H376-Sheet5!$H$525)^2+(I376-Sheet5!$I$525)^2+(J376-Sheet5!$J$525)^2+(K376-Sheet5!$K$525)^2+(L376-Sheet5!$L$525)^2)</f>
        <v>2.3179037354677572</v>
      </c>
      <c r="O376" s="8">
        <f>SQRT((C376-Sheet5!$C$526)^2+(D376-Sheet5!$D$526)^2+(E376-Sheet5!$E$526)^2+(F376-Sheet5!$F$526)^2+(G376-Sheet5!$G$526)^2+(H376-Sheet5!$H$526)^2+(I376-Sheet5!$I$526)^2+(J376-Sheet5!$J$526)^2+(K376-Sheet5!$K$526)^2+(L376-Sheet5!$L$526)^2)</f>
        <v>1.9905836859964245</v>
      </c>
      <c r="P376" s="12">
        <f t="shared" si="5"/>
        <v>1</v>
      </c>
      <c r="Q376" s="11">
        <f>IF(P376=Sheet1!$M376, 1, 0)</f>
        <v>0</v>
      </c>
    </row>
    <row r="377" spans="1:17" x14ac:dyDescent="0.35">
      <c r="A377" s="6" t="s">
        <v>406</v>
      </c>
      <c r="B377" s="6" t="s">
        <v>412</v>
      </c>
      <c r="C377" s="6">
        <v>-0.69290620054456864</v>
      </c>
      <c r="D377" s="6">
        <v>0.95957082922585946</v>
      </c>
      <c r="E377" s="6">
        <v>0.42593927551942867</v>
      </c>
      <c r="F377" s="6">
        <v>0.64449491436869899</v>
      </c>
      <c r="G377" s="6">
        <v>0.5061369212736796</v>
      </c>
      <c r="H377" s="6">
        <v>0.72972910321815265</v>
      </c>
      <c r="I377" s="6">
        <v>0.19528953366723459</v>
      </c>
      <c r="J377" s="6">
        <v>1.1617453106796216</v>
      </c>
      <c r="K377" s="6">
        <v>-1.1696783675496383</v>
      </c>
      <c r="L377" s="6">
        <v>-0.25240679419000928</v>
      </c>
      <c r="N377" s="8">
        <f>SQRT((C377-Sheet5!$C$525)^2+(D377-Sheet5!$D$525)^2+(E377-Sheet5!$E$525)^2+(F377-Sheet5!$F$525)^2+(G377-Sheet5!$G$525)^2+(H377-Sheet5!$H$525)^2+(I377-Sheet5!$I$525)^2+(J377-Sheet5!$J$525)^2+(K377-Sheet5!$K$525)^2+(L377-Sheet5!$L$525)^2)</f>
        <v>3.3048973034598266</v>
      </c>
      <c r="O377" s="8">
        <f>SQRT((C377-Sheet5!$C$526)^2+(D377-Sheet5!$D$526)^2+(E377-Sheet5!$E$526)^2+(F377-Sheet5!$F$526)^2+(G377-Sheet5!$G$526)^2+(H377-Sheet5!$H$526)^2+(I377-Sheet5!$I$526)^2+(J377-Sheet5!$J$526)^2+(K377-Sheet5!$K$526)^2+(L377-Sheet5!$L$526)^2)</f>
        <v>1.4172986956230191</v>
      </c>
      <c r="P377" s="12">
        <f t="shared" si="5"/>
        <v>1</v>
      </c>
      <c r="Q377" s="11">
        <f>IF(P377=Sheet1!$M377, 1, 0)</f>
        <v>0</v>
      </c>
    </row>
    <row r="378" spans="1:17" x14ac:dyDescent="0.35">
      <c r="A378" s="6" t="s">
        <v>406</v>
      </c>
      <c r="B378" s="6" t="s">
        <v>413</v>
      </c>
      <c r="C378" s="6">
        <v>-0.56944019852731254</v>
      </c>
      <c r="D378" s="6">
        <v>-1.6335559550772212E-2</v>
      </c>
      <c r="E378" s="6">
        <v>-0.43536122347435752</v>
      </c>
      <c r="F378" s="6">
        <v>-0.3908309624521335</v>
      </c>
      <c r="G378" s="6">
        <v>-0.55945076349443645</v>
      </c>
      <c r="H378" s="6">
        <v>-0.20210841236462521</v>
      </c>
      <c r="I378" s="6">
        <v>-0.35168189885225432</v>
      </c>
      <c r="J378" s="6">
        <v>6.4722750637570811E-2</v>
      </c>
      <c r="K378" s="6">
        <v>-0.78784248516786914</v>
      </c>
      <c r="L378" s="6">
        <v>-0.42238264793505942</v>
      </c>
      <c r="N378" s="8">
        <f>SQRT((C378-Sheet5!$C$525)^2+(D378-Sheet5!$D$525)^2+(E378-Sheet5!$E$525)^2+(F378-Sheet5!$F$525)^2+(G378-Sheet5!$G$525)^2+(H378-Sheet5!$H$525)^2+(I378-Sheet5!$I$525)^2+(J378-Sheet5!$J$525)^2+(K378-Sheet5!$K$525)^2+(L378-Sheet5!$L$525)^2)</f>
        <v>1.4674452730488312</v>
      </c>
      <c r="O378" s="8">
        <f>SQRT((C378-Sheet5!$C$526)^2+(D378-Sheet5!$D$526)^2+(E378-Sheet5!$E$526)^2+(F378-Sheet5!$F$526)^2+(G378-Sheet5!$G$526)^2+(H378-Sheet5!$H$526)^2+(I378-Sheet5!$I$526)^2+(J378-Sheet5!$J$526)^2+(K378-Sheet5!$K$526)^2+(L378-Sheet5!$L$526)^2)</f>
        <v>3.2968894941436</v>
      </c>
      <c r="P378" s="12">
        <f t="shared" si="5"/>
        <v>0</v>
      </c>
      <c r="Q378" s="11">
        <f>IF(P378=Sheet1!$M378, 1, 0)</f>
        <v>1</v>
      </c>
    </row>
    <row r="379" spans="1:17" x14ac:dyDescent="0.35">
      <c r="A379" s="6" t="s">
        <v>406</v>
      </c>
      <c r="B379" s="6" t="s">
        <v>414</v>
      </c>
      <c r="C379" s="6">
        <v>-0.44731621827111351</v>
      </c>
      <c r="D379" s="6">
        <v>0.36420655431181326</v>
      </c>
      <c r="E379" s="6">
        <v>-0.80301644075228673</v>
      </c>
      <c r="F379" s="6">
        <v>-0.28914717097865938</v>
      </c>
      <c r="G379" s="6">
        <v>0.35225096134803863</v>
      </c>
      <c r="H379" s="6">
        <v>0.90155347747879189</v>
      </c>
      <c r="I379" s="6">
        <v>0.73779849529204189</v>
      </c>
      <c r="J379" s="6">
        <v>-0.63372759900857956</v>
      </c>
      <c r="K379" s="6">
        <v>-0.99753924024638174</v>
      </c>
      <c r="L379" s="6">
        <v>-0.42379686455660148</v>
      </c>
      <c r="N379" s="8">
        <f>SQRT((C379-Sheet5!$C$525)^2+(D379-Sheet5!$D$525)^2+(E379-Sheet5!$E$525)^2+(F379-Sheet5!$F$525)^2+(G379-Sheet5!$G$525)^2+(H379-Sheet5!$H$525)^2+(I379-Sheet5!$I$525)^2+(J379-Sheet5!$J$525)^2+(K379-Sheet5!$K$525)^2+(L379-Sheet5!$L$525)^2)</f>
        <v>2.3844587843414433</v>
      </c>
      <c r="O379" s="8">
        <f>SQRT((C379-Sheet5!$C$526)^2+(D379-Sheet5!$D$526)^2+(E379-Sheet5!$E$526)^2+(F379-Sheet5!$F$526)^2+(G379-Sheet5!$G$526)^2+(H379-Sheet5!$H$526)^2+(I379-Sheet5!$I$526)^2+(J379-Sheet5!$J$526)^2+(K379-Sheet5!$K$526)^2+(L379-Sheet5!$L$526)^2)</f>
        <v>3.1154716843947581</v>
      </c>
      <c r="P379" s="12">
        <f t="shared" si="5"/>
        <v>0</v>
      </c>
      <c r="Q379" s="11">
        <f>IF(P379=Sheet1!$M379, 1, 0)</f>
        <v>1</v>
      </c>
    </row>
    <row r="380" spans="1:17" x14ac:dyDescent="0.35">
      <c r="A380" s="6" t="s">
        <v>406</v>
      </c>
      <c r="B380" s="6" t="s">
        <v>415</v>
      </c>
      <c r="C380" s="6">
        <v>2.6417463382054338E-2</v>
      </c>
      <c r="D380" s="6">
        <v>0.41330876255214699</v>
      </c>
      <c r="E380" s="6">
        <v>5.6810490236377451E-2</v>
      </c>
      <c r="F380" s="6">
        <v>0.17459254468067273</v>
      </c>
      <c r="G380" s="6">
        <v>0.16061938861044522</v>
      </c>
      <c r="H380" s="6">
        <v>0.57675693302999698</v>
      </c>
      <c r="I380" s="6">
        <v>0.50001254618974711</v>
      </c>
      <c r="J380" s="6">
        <v>-0.63372759900857956</v>
      </c>
      <c r="K380" s="6">
        <v>-0.71898683424656706</v>
      </c>
      <c r="L380" s="6">
        <v>-0.38017627830549217</v>
      </c>
      <c r="N380" s="8">
        <f>SQRT((C380-Sheet5!$C$525)^2+(D380-Sheet5!$D$525)^2+(E380-Sheet5!$E$525)^2+(F380-Sheet5!$F$525)^2+(G380-Sheet5!$G$525)^2+(H380-Sheet5!$H$525)^2+(I380-Sheet5!$I$525)^2+(J380-Sheet5!$J$525)^2+(K380-Sheet5!$K$525)^2+(L380-Sheet5!$L$525)^2)</f>
        <v>1.9535963612408314</v>
      </c>
      <c r="O380" s="8">
        <f>SQRT((C380-Sheet5!$C$526)^2+(D380-Sheet5!$D$526)^2+(E380-Sheet5!$E$526)^2+(F380-Sheet5!$F$526)^2+(G380-Sheet5!$G$526)^2+(H380-Sheet5!$H$526)^2+(I380-Sheet5!$I$526)^2+(J380-Sheet5!$J$526)^2+(K380-Sheet5!$K$526)^2+(L380-Sheet5!$L$526)^2)</f>
        <v>2.559482441730212</v>
      </c>
      <c r="P380" s="12">
        <f t="shared" si="5"/>
        <v>0</v>
      </c>
      <c r="Q380" s="11">
        <f>IF(P380=Sheet1!$M380, 1, 0)</f>
        <v>1</v>
      </c>
    </row>
    <row r="381" spans="1:17" x14ac:dyDescent="0.35">
      <c r="A381" s="6" t="s">
        <v>406</v>
      </c>
      <c r="B381" s="6" t="s">
        <v>416</v>
      </c>
      <c r="C381" s="6">
        <v>7.7414290302225228E-2</v>
      </c>
      <c r="D381" s="6">
        <v>-0.17591773633185653</v>
      </c>
      <c r="E381" s="6">
        <v>-0.51051319173557752</v>
      </c>
      <c r="F381" s="6">
        <v>-0.69434167336538344</v>
      </c>
      <c r="G381" s="6">
        <v>-1.5001875751153368</v>
      </c>
      <c r="H381" s="6">
        <v>-0.37824186184183217</v>
      </c>
      <c r="I381" s="6">
        <v>6.1415406826799662E-2</v>
      </c>
      <c r="J381" s="6">
        <v>-0.17442057559997007</v>
      </c>
      <c r="K381" s="6">
        <v>-1.6297593077965238</v>
      </c>
      <c r="L381" s="6">
        <v>-0.42995920242794938</v>
      </c>
      <c r="N381" s="8">
        <f>SQRT((C381-Sheet5!$C$525)^2+(D381-Sheet5!$D$525)^2+(E381-Sheet5!$E$525)^2+(F381-Sheet5!$F$525)^2+(G381-Sheet5!$G$525)^2+(H381-Sheet5!$H$525)^2+(I381-Sheet5!$I$525)^2+(J381-Sheet5!$J$525)^2+(K381-Sheet5!$K$525)^2+(L381-Sheet5!$L$525)^2)</f>
        <v>2.2658937362793017</v>
      </c>
      <c r="O381" s="8">
        <f>SQRT((C381-Sheet5!$C$526)^2+(D381-Sheet5!$D$526)^2+(E381-Sheet5!$E$526)^2+(F381-Sheet5!$F$526)^2+(G381-Sheet5!$G$526)^2+(H381-Sheet5!$H$526)^2+(I381-Sheet5!$I$526)^2+(J381-Sheet5!$J$526)^2+(K381-Sheet5!$K$526)^2+(L381-Sheet5!$L$526)^2)</f>
        <v>4.2087890616846195</v>
      </c>
      <c r="P381" s="12">
        <f t="shared" si="5"/>
        <v>0</v>
      </c>
      <c r="Q381" s="11">
        <f>IF(P381=Sheet1!$M381, 1, 0)</f>
        <v>1</v>
      </c>
    </row>
    <row r="382" spans="1:17" x14ac:dyDescent="0.35">
      <c r="A382" s="6" t="s">
        <v>406</v>
      </c>
      <c r="B382" s="6" t="s">
        <v>417</v>
      </c>
      <c r="C382" s="6">
        <v>-0.82845039841133905</v>
      </c>
      <c r="D382" s="6">
        <v>-0.31094880899277449</v>
      </c>
      <c r="E382" s="6">
        <v>-0.4456761995102112</v>
      </c>
      <c r="F382" s="6">
        <v>-0.52024669705473814</v>
      </c>
      <c r="G382" s="6">
        <v>-0.49847708125975049</v>
      </c>
      <c r="H382" s="6">
        <v>-0.76875180334328574</v>
      </c>
      <c r="I382" s="6">
        <v>0.41267561582241585</v>
      </c>
      <c r="J382" s="6">
        <v>0.35321311244793713</v>
      </c>
      <c r="K382" s="6">
        <v>-0.68768881110052227</v>
      </c>
      <c r="L382" s="6">
        <v>-0.41842855827172004</v>
      </c>
      <c r="N382" s="8">
        <f>SQRT((C382-Sheet5!$C$525)^2+(D382-Sheet5!$D$525)^2+(E382-Sheet5!$E$525)^2+(F382-Sheet5!$F$525)^2+(G382-Sheet5!$G$525)^2+(H382-Sheet5!$H$525)^2+(I382-Sheet5!$I$525)^2+(J382-Sheet5!$J$525)^2+(K382-Sheet5!$K$525)^2+(L382-Sheet5!$L$525)^2)</f>
        <v>1.8408252333461004</v>
      </c>
      <c r="O382" s="8">
        <f>SQRT((C382-Sheet5!$C$526)^2+(D382-Sheet5!$D$526)^2+(E382-Sheet5!$E$526)^2+(F382-Sheet5!$F$526)^2+(G382-Sheet5!$G$526)^2+(H382-Sheet5!$H$526)^2+(I382-Sheet5!$I$526)^2+(J382-Sheet5!$J$526)^2+(K382-Sheet5!$K$526)^2+(L382-Sheet5!$L$526)^2)</f>
        <v>3.4049996428504605</v>
      </c>
      <c r="P382" s="12">
        <f t="shared" si="5"/>
        <v>0</v>
      </c>
      <c r="Q382" s="11">
        <f>IF(P382=Sheet1!$M382, 1, 0)</f>
        <v>1</v>
      </c>
    </row>
    <row r="383" spans="1:17" x14ac:dyDescent="0.35">
      <c r="A383" s="6" t="s">
        <v>406</v>
      </c>
      <c r="B383" s="6" t="s">
        <v>418</v>
      </c>
      <c r="C383" s="6">
        <v>-0.81637220256182474</v>
      </c>
      <c r="D383" s="6">
        <v>1.8311350254917822</v>
      </c>
      <c r="E383" s="6">
        <v>1.3506031987334592</v>
      </c>
      <c r="F383" s="6">
        <v>1.4286926395201933</v>
      </c>
      <c r="G383" s="6">
        <v>0.65131235516579344</v>
      </c>
      <c r="H383" s="6">
        <v>0.56867741699893293</v>
      </c>
      <c r="I383" s="6">
        <v>0.68552383624006319</v>
      </c>
      <c r="J383" s="6">
        <v>2.6990952650638111</v>
      </c>
      <c r="K383" s="6">
        <v>-1.6250646043246166</v>
      </c>
      <c r="L383" s="6">
        <v>8.5511598184419474E-2</v>
      </c>
      <c r="N383" s="8">
        <f>SQRT((C383-Sheet5!$C$525)^2+(D383-Sheet5!$D$525)^2+(E383-Sheet5!$E$525)^2+(F383-Sheet5!$F$525)^2+(G383-Sheet5!$G$525)^2+(H383-Sheet5!$H$525)^2+(I383-Sheet5!$I$525)^2+(J383-Sheet5!$J$525)^2+(K383-Sheet5!$K$525)^2+(L383-Sheet5!$L$525)^2)</f>
        <v>5.3322212387022647</v>
      </c>
      <c r="O383" s="8">
        <f>SQRT((C383-Sheet5!$C$526)^2+(D383-Sheet5!$D$526)^2+(E383-Sheet5!$E$526)^2+(F383-Sheet5!$F$526)^2+(G383-Sheet5!$G$526)^2+(H383-Sheet5!$H$526)^2+(I383-Sheet5!$I$526)^2+(J383-Sheet5!$J$526)^2+(K383-Sheet5!$K$526)^2+(L383-Sheet5!$L$526)^2)</f>
        <v>2.3328393887271237</v>
      </c>
      <c r="P383" s="12">
        <f t="shared" si="5"/>
        <v>1</v>
      </c>
      <c r="Q383" s="11">
        <f>IF(P383=Sheet1!$M383, 1, 0)</f>
        <v>0</v>
      </c>
    </row>
    <row r="384" spans="1:17" x14ac:dyDescent="0.35">
      <c r="A384" s="6" t="s">
        <v>406</v>
      </c>
      <c r="B384" s="6" t="s">
        <v>419</v>
      </c>
      <c r="C384" s="6">
        <v>-0.78416368029645367</v>
      </c>
      <c r="D384" s="6">
        <v>0.89205529289540098</v>
      </c>
      <c r="E384" s="6">
        <v>0.71696895653101589</v>
      </c>
      <c r="F384" s="6">
        <v>0.65836088593326425</v>
      </c>
      <c r="G384" s="6">
        <v>0.41903166093840805</v>
      </c>
      <c r="H384" s="6">
        <v>0.65432028692821653</v>
      </c>
      <c r="I384" s="6">
        <v>0.73588600776575075</v>
      </c>
      <c r="J384" s="6">
        <v>1.8601956603257723</v>
      </c>
      <c r="K384" s="6">
        <v>-1.1336856409316851</v>
      </c>
      <c r="L384" s="6">
        <v>-0.21141728773512281</v>
      </c>
      <c r="N384" s="8">
        <f>SQRT((C384-Sheet5!$C$525)^2+(D384-Sheet5!$D$525)^2+(E384-Sheet5!$E$525)^2+(F384-Sheet5!$F$525)^2+(G384-Sheet5!$G$525)^2+(H384-Sheet5!$H$525)^2+(I384-Sheet5!$I$525)^2+(J384-Sheet5!$J$525)^2+(K384-Sheet5!$K$525)^2+(L384-Sheet5!$L$525)^2)</f>
        <v>3.8254670703394225</v>
      </c>
      <c r="O384" s="8">
        <f>SQRT((C384-Sheet5!$C$526)^2+(D384-Sheet5!$D$526)^2+(E384-Sheet5!$E$526)^2+(F384-Sheet5!$F$526)^2+(G384-Sheet5!$G$526)^2+(H384-Sheet5!$H$526)^2+(I384-Sheet5!$I$526)^2+(J384-Sheet5!$J$526)^2+(K384-Sheet5!$K$526)^2+(L384-Sheet5!$L$526)^2)</f>
        <v>1.4790079483310918</v>
      </c>
      <c r="P384" s="12">
        <f t="shared" si="5"/>
        <v>1</v>
      </c>
      <c r="Q384" s="11">
        <f>IF(P384=Sheet1!$M384, 1, 0)</f>
        <v>0</v>
      </c>
    </row>
    <row r="385" spans="1:17" x14ac:dyDescent="0.35">
      <c r="A385" s="6" t="s">
        <v>406</v>
      </c>
      <c r="B385" s="6" t="s">
        <v>420</v>
      </c>
      <c r="C385" s="6">
        <v>-0.88347329061468138</v>
      </c>
      <c r="D385" s="6">
        <v>1.4137662554489461</v>
      </c>
      <c r="E385" s="6">
        <v>0.56224431599321001</v>
      </c>
      <c r="F385" s="6">
        <v>1.0681773788415101</v>
      </c>
      <c r="G385" s="6">
        <v>0.69776849401126895</v>
      </c>
      <c r="H385" s="6">
        <v>1.0351348091923926</v>
      </c>
      <c r="I385" s="6">
        <v>0.71421114913444217</v>
      </c>
      <c r="J385" s="6">
        <v>1.4350519692368111</v>
      </c>
      <c r="K385" s="6">
        <v>-1.8097229408862914</v>
      </c>
      <c r="L385" s="6">
        <v>-0.39175859584172018</v>
      </c>
      <c r="N385" s="8">
        <f>SQRT((C385-Sheet5!$C$525)^2+(D385-Sheet5!$D$525)^2+(E385-Sheet5!$E$525)^2+(F385-Sheet5!$F$525)^2+(G385-Sheet5!$G$525)^2+(H385-Sheet5!$H$525)^2+(I385-Sheet5!$I$525)^2+(J385-Sheet5!$J$525)^2+(K385-Sheet5!$K$525)^2+(L385-Sheet5!$L$525)^2)</f>
        <v>4.3657479060136479</v>
      </c>
      <c r="O385" s="8">
        <f>SQRT((C385-Sheet5!$C$526)^2+(D385-Sheet5!$D$526)^2+(E385-Sheet5!$E$526)^2+(F385-Sheet5!$F$526)^2+(G385-Sheet5!$G$526)^2+(H385-Sheet5!$H$526)^2+(I385-Sheet5!$I$526)^2+(J385-Sheet5!$J$526)^2+(K385-Sheet5!$K$526)^2+(L385-Sheet5!$L$526)^2)</f>
        <v>1.8485584846712355</v>
      </c>
      <c r="P385" s="12">
        <f t="shared" si="5"/>
        <v>1</v>
      </c>
      <c r="Q385" s="11">
        <f>IF(P385=Sheet1!$M385, 1, 0)</f>
        <v>0</v>
      </c>
    </row>
    <row r="386" spans="1:17" x14ac:dyDescent="0.35">
      <c r="A386" s="6" t="s">
        <v>406</v>
      </c>
      <c r="B386" s="6" t="s">
        <v>421</v>
      </c>
      <c r="C386" s="6">
        <v>-0.87676318180939572</v>
      </c>
      <c r="D386" s="6">
        <v>1.1498418861571527</v>
      </c>
      <c r="E386" s="6">
        <v>0.19274713870887836</v>
      </c>
      <c r="F386" s="6">
        <v>0.54589244990957198</v>
      </c>
      <c r="G386" s="6">
        <v>0.2738562270462942</v>
      </c>
      <c r="H386" s="6">
        <v>-0.30337167995396808</v>
      </c>
      <c r="I386" s="6">
        <v>0.82386043397517872</v>
      </c>
      <c r="J386" s="6">
        <v>0.85807124561607839</v>
      </c>
      <c r="K386" s="6">
        <v>-0.73463584581959163</v>
      </c>
      <c r="L386" s="6">
        <v>-0.40674573569796918</v>
      </c>
      <c r="N386" s="8">
        <f>SQRT((C386-Sheet5!$C$525)^2+(D386-Sheet5!$D$525)^2+(E386-Sheet5!$E$525)^2+(F386-Sheet5!$F$525)^2+(G386-Sheet5!$G$525)^2+(H386-Sheet5!$H$525)^2+(I386-Sheet5!$I$525)^2+(J386-Sheet5!$J$525)^2+(K386-Sheet5!$K$525)^2+(L386-Sheet5!$L$525)^2)</f>
        <v>3.0175683671183746</v>
      </c>
      <c r="O386" s="8">
        <f>SQRT((C386-Sheet5!$C$526)^2+(D386-Sheet5!$D$526)^2+(E386-Sheet5!$E$526)^2+(F386-Sheet5!$F$526)^2+(G386-Sheet5!$G$526)^2+(H386-Sheet5!$H$526)^2+(I386-Sheet5!$I$526)^2+(J386-Sheet5!$J$526)^2+(K386-Sheet5!$K$526)^2+(L386-Sheet5!$L$526)^2)</f>
        <v>1.8381845197025637</v>
      </c>
      <c r="P386" s="12">
        <f t="shared" si="5"/>
        <v>1</v>
      </c>
      <c r="Q386" s="11">
        <f>IF(P386=Sheet1!$M386, 1, 0)</f>
        <v>0</v>
      </c>
    </row>
    <row r="387" spans="1:17" x14ac:dyDescent="0.35">
      <c r="A387" s="6" t="s">
        <v>422</v>
      </c>
      <c r="B387" s="6" t="s">
        <v>423</v>
      </c>
      <c r="C387" s="6">
        <v>0.19417018351419588</v>
      </c>
      <c r="D387" s="6">
        <v>2.0777685393525243E-3</v>
      </c>
      <c r="E387" s="6">
        <v>-1.057943705638386</v>
      </c>
      <c r="F387" s="6">
        <v>-0.66506906672908039</v>
      </c>
      <c r="G387" s="6">
        <v>-0.8904507527684562</v>
      </c>
      <c r="H387" s="6">
        <v>-9.9767875971141382E-2</v>
      </c>
      <c r="I387" s="6">
        <v>0.74927342044979384</v>
      </c>
      <c r="J387" s="6">
        <v>-0.80074833479352847</v>
      </c>
      <c r="K387" s="6">
        <v>0.39365788859538886</v>
      </c>
      <c r="L387" s="6">
        <v>-0.4017869717697295</v>
      </c>
      <c r="N387" s="8">
        <f>SQRT((C387-Sheet5!$C$525)^2+(D387-Sheet5!$D$525)^2+(E387-Sheet5!$E$525)^2+(F387-Sheet5!$F$525)^2+(G387-Sheet5!$G$525)^2+(H387-Sheet5!$H$525)^2+(I387-Sheet5!$I$525)^2+(J387-Sheet5!$J$525)^2+(K387-Sheet5!$K$525)^2+(L387-Sheet5!$L$525)^2)</f>
        <v>1.4805706868768258</v>
      </c>
      <c r="O387" s="8">
        <f>SQRT((C387-Sheet5!$C$526)^2+(D387-Sheet5!$D$526)^2+(E387-Sheet5!$E$526)^2+(F387-Sheet5!$F$526)^2+(G387-Sheet5!$G$526)^2+(H387-Sheet5!$H$526)^2+(I387-Sheet5!$I$526)^2+(J387-Sheet5!$J$526)^2+(K387-Sheet5!$K$526)^2+(L387-Sheet5!$L$526)^2)</f>
        <v>4.1931658746325953</v>
      </c>
      <c r="P387" s="12">
        <f t="shared" ref="P387:P450" si="6">IF(N387&lt;=O387, 0, 1)</f>
        <v>0</v>
      </c>
      <c r="Q387" s="11">
        <f>IF(P387=Sheet1!$M387, 1, 0)</f>
        <v>1</v>
      </c>
    </row>
    <row r="388" spans="1:17" x14ac:dyDescent="0.35">
      <c r="A388" s="6" t="s">
        <v>422</v>
      </c>
      <c r="B388" s="6" t="s">
        <v>424</v>
      </c>
      <c r="C388" s="6">
        <v>-0.59628063374845508</v>
      </c>
      <c r="D388" s="6">
        <v>5.7317752809727819E-2</v>
      </c>
      <c r="E388" s="6">
        <v>-0.26590090288533197</v>
      </c>
      <c r="F388" s="6">
        <v>0.10372202335067403</v>
      </c>
      <c r="G388" s="6">
        <v>0.35515447002587824</v>
      </c>
      <c r="H388" s="6">
        <v>0.28320118390131821</v>
      </c>
      <c r="I388" s="6">
        <v>0.64026163145115478</v>
      </c>
      <c r="J388" s="6">
        <v>-0.5654009343692824</v>
      </c>
      <c r="K388" s="6">
        <v>0.36548966776394587</v>
      </c>
      <c r="L388" s="6">
        <v>-6.47712023913318E-2</v>
      </c>
      <c r="N388" s="8">
        <f>SQRT((C388-Sheet5!$C$525)^2+(D388-Sheet5!$D$525)^2+(E388-Sheet5!$E$525)^2+(F388-Sheet5!$F$525)^2+(G388-Sheet5!$G$525)^2+(H388-Sheet5!$H$525)^2+(I388-Sheet5!$I$525)^2+(J388-Sheet5!$J$525)^2+(K388-Sheet5!$K$525)^2+(L388-Sheet5!$L$525)^2)</f>
        <v>1.7159389311325197</v>
      </c>
      <c r="O388" s="8">
        <f>SQRT((C388-Sheet5!$C$526)^2+(D388-Sheet5!$D$526)^2+(E388-Sheet5!$E$526)^2+(F388-Sheet5!$F$526)^2+(G388-Sheet5!$G$526)^2+(H388-Sheet5!$H$526)^2+(I388-Sheet5!$I$526)^2+(J388-Sheet5!$J$526)^2+(K388-Sheet5!$K$526)^2+(L388-Sheet5!$L$526)^2)</f>
        <v>2.7268866162634171</v>
      </c>
      <c r="P388" s="12">
        <f t="shared" si="6"/>
        <v>0</v>
      </c>
      <c r="Q388" s="11">
        <f>IF(P388=Sheet1!$M388, 1, 0)</f>
        <v>1</v>
      </c>
    </row>
    <row r="389" spans="1:17" x14ac:dyDescent="0.35">
      <c r="A389" s="6" t="s">
        <v>422</v>
      </c>
      <c r="B389" s="6" t="s">
        <v>425</v>
      </c>
      <c r="C389" s="6">
        <v>0.19819624879736719</v>
      </c>
      <c r="D389" s="6">
        <v>0.55447761124310657</v>
      </c>
      <c r="E389" s="6">
        <v>0.25905769893936659</v>
      </c>
      <c r="F389" s="6">
        <v>0.36409415606305789</v>
      </c>
      <c r="G389" s="6">
        <v>-0.12392446181809495</v>
      </c>
      <c r="H389" s="6">
        <v>6.1283810248079121E-2</v>
      </c>
      <c r="I389" s="6">
        <v>0.51212496718959588</v>
      </c>
      <c r="J389" s="6">
        <v>7.7838634381562476E-3</v>
      </c>
      <c r="K389" s="6">
        <v>-0.89425576386442862</v>
      </c>
      <c r="L389" s="6">
        <v>0.68853613987620099</v>
      </c>
      <c r="N389" s="8">
        <f>SQRT((C389-Sheet5!$C$525)^2+(D389-Sheet5!$D$525)^2+(E389-Sheet5!$E$525)^2+(F389-Sheet5!$F$525)^2+(G389-Sheet5!$G$525)^2+(H389-Sheet5!$H$525)^2+(I389-Sheet5!$I$525)^2+(J389-Sheet5!$J$525)^2+(K389-Sheet5!$K$525)^2+(L389-Sheet5!$L$525)^2)</f>
        <v>2.2431643859177655</v>
      </c>
      <c r="O389" s="8">
        <f>SQRT((C389-Sheet5!$C$526)^2+(D389-Sheet5!$D$526)^2+(E389-Sheet5!$E$526)^2+(F389-Sheet5!$F$526)^2+(G389-Sheet5!$G$526)^2+(H389-Sheet5!$H$526)^2+(I389-Sheet5!$I$526)^2+(J389-Sheet5!$J$526)^2+(K389-Sheet5!$K$526)^2+(L389-Sheet5!$L$526)^2)</f>
        <v>2.0855794065132223</v>
      </c>
      <c r="P389" s="12">
        <f t="shared" si="6"/>
        <v>1</v>
      </c>
      <c r="Q389" s="11">
        <f>IF(P389=Sheet1!$M389, 1, 0)</f>
        <v>0</v>
      </c>
    </row>
    <row r="390" spans="1:17" x14ac:dyDescent="0.35">
      <c r="A390" s="6" t="s">
        <v>422</v>
      </c>
      <c r="B390" s="6" t="s">
        <v>426</v>
      </c>
      <c r="C390" s="6">
        <v>0.48941497094676489</v>
      </c>
      <c r="D390" s="6">
        <v>0.65268202772377404</v>
      </c>
      <c r="E390" s="6">
        <v>-0.5433000798495411</v>
      </c>
      <c r="F390" s="6">
        <v>0.23467842146045328</v>
      </c>
      <c r="G390" s="6">
        <v>0.44516323903898952</v>
      </c>
      <c r="H390" s="6">
        <v>0.58645235226727477</v>
      </c>
      <c r="I390" s="6">
        <v>0.29537638087651125</v>
      </c>
      <c r="J390" s="6">
        <v>-0.98295277383165469</v>
      </c>
      <c r="K390" s="6">
        <v>0.6377824691345525</v>
      </c>
      <c r="L390" s="6">
        <v>-0.32262519237328763</v>
      </c>
      <c r="N390" s="8">
        <f>SQRT((C390-Sheet5!$C$525)^2+(D390-Sheet5!$D$525)^2+(E390-Sheet5!$E$525)^2+(F390-Sheet5!$F$525)^2+(G390-Sheet5!$G$525)^2+(H390-Sheet5!$H$525)^2+(I390-Sheet5!$I$525)^2+(J390-Sheet5!$J$525)^2+(K390-Sheet5!$K$525)^2+(L390-Sheet5!$L$525)^2)</f>
        <v>1.9414949466318148</v>
      </c>
      <c r="O390" s="8">
        <f>SQRT((C390-Sheet5!$C$526)^2+(D390-Sheet5!$D$526)^2+(E390-Sheet5!$E$526)^2+(F390-Sheet5!$F$526)^2+(G390-Sheet5!$G$526)^2+(H390-Sheet5!$H$526)^2+(I390-Sheet5!$I$526)^2+(J390-Sheet5!$J$526)^2+(K390-Sheet5!$K$526)^2+(L390-Sheet5!$L$526)^2)</f>
        <v>3.3109783924974678</v>
      </c>
      <c r="P390" s="12">
        <f t="shared" si="6"/>
        <v>0</v>
      </c>
      <c r="Q390" s="11">
        <f>IF(P390=Sheet1!$M390, 1, 0)</f>
        <v>1</v>
      </c>
    </row>
    <row r="391" spans="1:17" x14ac:dyDescent="0.35">
      <c r="A391" s="6" t="s">
        <v>422</v>
      </c>
      <c r="B391" s="6" t="s">
        <v>427</v>
      </c>
      <c r="C391" s="6">
        <v>0.59811873359239265</v>
      </c>
      <c r="D391" s="6">
        <v>-0.28025992884256551</v>
      </c>
      <c r="E391" s="6">
        <v>-0.85569649693539684</v>
      </c>
      <c r="F391" s="6">
        <v>-0.64812176815016809</v>
      </c>
      <c r="G391" s="6">
        <v>-0.62623146308481004</v>
      </c>
      <c r="H391" s="6">
        <v>-0.66264082613530439</v>
      </c>
      <c r="I391" s="6">
        <v>0.2730640264031059</v>
      </c>
      <c r="J391" s="6">
        <v>-0.59197241506234233</v>
      </c>
      <c r="K391" s="6">
        <v>-0.31211253334796235</v>
      </c>
      <c r="L391" s="6">
        <v>-0.28040356938043731</v>
      </c>
      <c r="N391" s="8">
        <f>SQRT((C391-Sheet5!$C$525)^2+(D391-Sheet5!$D$525)^2+(E391-Sheet5!$E$525)^2+(F391-Sheet5!$F$525)^2+(G391-Sheet5!$G$525)^2+(H391-Sheet5!$H$525)^2+(I391-Sheet5!$I$525)^2+(J391-Sheet5!$J$525)^2+(K391-Sheet5!$K$525)^2+(L391-Sheet5!$L$525)^2)</f>
        <v>1.1059045303861232</v>
      </c>
      <c r="O391" s="8">
        <f>SQRT((C391-Sheet5!$C$526)^2+(D391-Sheet5!$D$526)^2+(E391-Sheet5!$E$526)^2+(F391-Sheet5!$F$526)^2+(G391-Sheet5!$G$526)^2+(H391-Sheet5!$H$526)^2+(I391-Sheet5!$I$526)^2+(J391-Sheet5!$J$526)^2+(K391-Sheet5!$K$526)^2+(L391-Sheet5!$L$526)^2)</f>
        <v>4.1049849831640453</v>
      </c>
      <c r="P391" s="12">
        <f t="shared" si="6"/>
        <v>0</v>
      </c>
      <c r="Q391" s="11">
        <f>IF(P391=Sheet1!$M391, 1, 0)</f>
        <v>1</v>
      </c>
    </row>
    <row r="392" spans="1:17" x14ac:dyDescent="0.35">
      <c r="A392" s="6" t="s">
        <v>422</v>
      </c>
      <c r="B392" s="6" t="s">
        <v>428</v>
      </c>
      <c r="C392" s="6">
        <v>0.16598772653199598</v>
      </c>
      <c r="D392" s="6">
        <v>0.19848660150068739</v>
      </c>
      <c r="E392" s="6">
        <v>-0.87595805700582385</v>
      </c>
      <c r="F392" s="6">
        <v>-0.55876328473408454</v>
      </c>
      <c r="G392" s="6">
        <v>-1.0094946085599885</v>
      </c>
      <c r="H392" s="6">
        <v>-0.49081645187466505</v>
      </c>
      <c r="I392" s="6">
        <v>4.9940481669048617E-2</v>
      </c>
      <c r="J392" s="6">
        <v>-0.73242167015423132</v>
      </c>
      <c r="K392" s="6">
        <v>-0.84887363030266005</v>
      </c>
      <c r="L392" s="6">
        <v>-0.33824513785560267</v>
      </c>
      <c r="N392" s="8">
        <f>SQRT((C392-Sheet5!$C$525)^2+(D392-Sheet5!$D$525)^2+(E392-Sheet5!$E$525)^2+(F392-Sheet5!$F$525)^2+(G392-Sheet5!$G$525)^2+(H392-Sheet5!$H$525)^2+(I392-Sheet5!$I$525)^2+(J392-Sheet5!$J$525)^2+(K392-Sheet5!$K$525)^2+(L392-Sheet5!$L$525)^2)</f>
        <v>1.5574949128309099</v>
      </c>
      <c r="O392" s="8">
        <f>SQRT((C392-Sheet5!$C$526)^2+(D392-Sheet5!$D$526)^2+(E392-Sheet5!$E$526)^2+(F392-Sheet5!$F$526)^2+(G392-Sheet5!$G$526)^2+(H392-Sheet5!$H$526)^2+(I392-Sheet5!$I$526)^2+(J392-Sheet5!$J$526)^2+(K392-Sheet5!$K$526)^2+(L392-Sheet5!$L$526)^2)</f>
        <v>4.065046455168396</v>
      </c>
      <c r="P392" s="12">
        <f t="shared" si="6"/>
        <v>0</v>
      </c>
      <c r="Q392" s="11">
        <f>IF(P392=Sheet1!$M392, 1, 0)</f>
        <v>1</v>
      </c>
    </row>
    <row r="393" spans="1:17" x14ac:dyDescent="0.35">
      <c r="A393" s="6" t="s">
        <v>422</v>
      </c>
      <c r="B393" s="6" t="s">
        <v>429</v>
      </c>
      <c r="C393" s="6">
        <v>0.23979892339013836</v>
      </c>
      <c r="D393" s="6">
        <v>0.39489543446202224</v>
      </c>
      <c r="E393" s="6">
        <v>-0.86601147297125058</v>
      </c>
      <c r="F393" s="6">
        <v>-0.25833390083518176</v>
      </c>
      <c r="G393" s="6">
        <v>-0.17618761801925792</v>
      </c>
      <c r="H393" s="6">
        <v>-0.37716459303769045</v>
      </c>
      <c r="I393" s="6">
        <v>7.0977844458259623E-2</v>
      </c>
      <c r="J393" s="6">
        <v>-0.53882945367622215</v>
      </c>
      <c r="K393" s="6">
        <v>-0.30428802756145118</v>
      </c>
      <c r="L393" s="6">
        <v>-0.37473828713492702</v>
      </c>
      <c r="N393" s="8">
        <f>SQRT((C393-Sheet5!$C$525)^2+(D393-Sheet5!$D$525)^2+(E393-Sheet5!$E$525)^2+(F393-Sheet5!$F$525)^2+(G393-Sheet5!$G$525)^2+(H393-Sheet5!$H$525)^2+(I393-Sheet5!$I$525)^2+(J393-Sheet5!$J$525)^2+(K393-Sheet5!$K$525)^2+(L393-Sheet5!$L$525)^2)</f>
        <v>1.142347450564029</v>
      </c>
      <c r="O393" s="8">
        <f>SQRT((C393-Sheet5!$C$526)^2+(D393-Sheet5!$D$526)^2+(E393-Sheet5!$E$526)^2+(F393-Sheet5!$F$526)^2+(G393-Sheet5!$G$526)^2+(H393-Sheet5!$H$526)^2+(I393-Sheet5!$I$526)^2+(J393-Sheet5!$J$526)^2+(K393-Sheet5!$K$526)^2+(L393-Sheet5!$L$526)^2)</f>
        <v>3.4933538657399983</v>
      </c>
      <c r="P393" s="12">
        <f t="shared" si="6"/>
        <v>0</v>
      </c>
      <c r="Q393" s="11">
        <f>IF(P393=Sheet1!$M393, 1, 0)</f>
        <v>1</v>
      </c>
    </row>
    <row r="394" spans="1:17" x14ac:dyDescent="0.35">
      <c r="A394" s="6" t="s">
        <v>422</v>
      </c>
      <c r="B394" s="6" t="s">
        <v>430</v>
      </c>
      <c r="C394" s="6">
        <v>0.40352557823910834</v>
      </c>
      <c r="D394" s="6">
        <v>-0.42756655356356671</v>
      </c>
      <c r="E394" s="6">
        <v>-0.2393766787931367</v>
      </c>
      <c r="F394" s="6">
        <v>-0.63271513307843041</v>
      </c>
      <c r="G394" s="6">
        <v>-1.540836696605129</v>
      </c>
      <c r="H394" s="6">
        <v>-0.71219519112583407</v>
      </c>
      <c r="I394" s="6">
        <v>-0.57289295606001955</v>
      </c>
      <c r="J394" s="6">
        <v>-0.79315648316693987</v>
      </c>
      <c r="K394" s="6">
        <v>-0.10085087711214884</v>
      </c>
      <c r="L394" s="6">
        <v>-0.21610174186448539</v>
      </c>
      <c r="N394" s="8">
        <f>SQRT((C394-Sheet5!$C$525)^2+(D394-Sheet5!$D$525)^2+(E394-Sheet5!$E$525)^2+(F394-Sheet5!$F$525)^2+(G394-Sheet5!$G$525)^2+(H394-Sheet5!$H$525)^2+(I394-Sheet5!$I$525)^2+(J394-Sheet5!$J$525)^2+(K394-Sheet5!$K$525)^2+(L394-Sheet5!$L$525)^2)</f>
        <v>1.4342897693207568</v>
      </c>
      <c r="O394" s="8">
        <f>SQRT((C394-Sheet5!$C$526)^2+(D394-Sheet5!$D$526)^2+(E394-Sheet5!$E$526)^2+(F394-Sheet5!$F$526)^2+(G394-Sheet5!$G$526)^2+(H394-Sheet5!$H$526)^2+(I394-Sheet5!$I$526)^2+(J394-Sheet5!$J$526)^2+(K394-Sheet5!$K$526)^2+(L394-Sheet5!$L$526)^2)</f>
        <v>4.5382783768010126</v>
      </c>
      <c r="P394" s="12">
        <f t="shared" si="6"/>
        <v>0</v>
      </c>
      <c r="Q394" s="11">
        <f>IF(P394=Sheet1!$M394, 1, 0)</f>
        <v>1</v>
      </c>
    </row>
    <row r="395" spans="1:17" x14ac:dyDescent="0.35">
      <c r="A395" s="6" t="s">
        <v>422</v>
      </c>
      <c r="B395" s="6" t="s">
        <v>431</v>
      </c>
      <c r="C395" s="6">
        <v>0.58067245069865003</v>
      </c>
      <c r="D395" s="6">
        <v>-2.247333558081379E-2</v>
      </c>
      <c r="E395" s="6">
        <v>-0.99605384942326358</v>
      </c>
      <c r="F395" s="6">
        <v>-0.79910679185320677</v>
      </c>
      <c r="G395" s="6">
        <v>-1.0907928515395726</v>
      </c>
      <c r="H395" s="6">
        <v>-0.32868749685130361</v>
      </c>
      <c r="I395" s="6">
        <v>0.58288700566239682</v>
      </c>
      <c r="J395" s="6">
        <v>-0.61474796994210812</v>
      </c>
      <c r="K395" s="6">
        <v>0.84434942189845885</v>
      </c>
      <c r="L395" s="6">
        <v>-0.37789659003027154</v>
      </c>
      <c r="N395" s="8">
        <f>SQRT((C395-Sheet5!$C$525)^2+(D395-Sheet5!$D$525)^2+(E395-Sheet5!$E$525)^2+(F395-Sheet5!$F$525)^2+(G395-Sheet5!$G$525)^2+(H395-Sheet5!$H$525)^2+(I395-Sheet5!$I$525)^2+(J395-Sheet5!$J$525)^2+(K395-Sheet5!$K$525)^2+(L395-Sheet5!$L$525)^2)</f>
        <v>1.5602555296736136</v>
      </c>
      <c r="O395" s="8">
        <f>SQRT((C395-Sheet5!$C$526)^2+(D395-Sheet5!$D$526)^2+(E395-Sheet5!$E$526)^2+(F395-Sheet5!$F$526)^2+(G395-Sheet5!$G$526)^2+(H395-Sheet5!$H$526)^2+(I395-Sheet5!$I$526)^2+(J395-Sheet5!$J$526)^2+(K395-Sheet5!$K$526)^2+(L395-Sheet5!$L$526)^2)</f>
        <v>4.4897263390088185</v>
      </c>
      <c r="P395" s="12">
        <f t="shared" si="6"/>
        <v>0</v>
      </c>
      <c r="Q395" s="11">
        <f>IF(P395=Sheet1!$M395, 1, 0)</f>
        <v>1</v>
      </c>
    </row>
    <row r="396" spans="1:17" x14ac:dyDescent="0.35">
      <c r="A396" s="6" t="s">
        <v>422</v>
      </c>
      <c r="B396" s="6" t="s">
        <v>432</v>
      </c>
      <c r="C396" s="6">
        <v>0.10425472552336802</v>
      </c>
      <c r="D396" s="6">
        <v>0.23531325768093794</v>
      </c>
      <c r="E396" s="6">
        <v>-0.79343824871899404</v>
      </c>
      <c r="F396" s="6">
        <v>-0.22135797666300996</v>
      </c>
      <c r="G396" s="6">
        <v>0.12577728447634071</v>
      </c>
      <c r="H396" s="6">
        <v>5.9667907041866149E-2</v>
      </c>
      <c r="I396" s="6">
        <v>-0.44985625853523992</v>
      </c>
      <c r="J396" s="6">
        <v>-1.0171161061513034</v>
      </c>
      <c r="K396" s="6">
        <v>0.20273994740450488</v>
      </c>
      <c r="L396" s="6">
        <v>-0.32465267777888246</v>
      </c>
      <c r="N396" s="8">
        <f>SQRT((C396-Sheet5!$C$525)^2+(D396-Sheet5!$D$525)^2+(E396-Sheet5!$E$525)^2+(F396-Sheet5!$F$525)^2+(G396-Sheet5!$G$525)^2+(H396-Sheet5!$H$525)^2+(I396-Sheet5!$I$525)^2+(J396-Sheet5!$J$525)^2+(K396-Sheet5!$K$525)^2+(L396-Sheet5!$L$525)^2)</f>
        <v>1.1507300434868752</v>
      </c>
      <c r="O396" s="8">
        <f>SQRT((C396-Sheet5!$C$526)^2+(D396-Sheet5!$D$526)^2+(E396-Sheet5!$E$526)^2+(F396-Sheet5!$F$526)^2+(G396-Sheet5!$G$526)^2+(H396-Sheet5!$H$526)^2+(I396-Sheet5!$I$526)^2+(J396-Sheet5!$J$526)^2+(K396-Sheet5!$K$526)^2+(L396-Sheet5!$L$526)^2)</f>
        <v>3.6865312433426567</v>
      </c>
      <c r="P396" s="12">
        <f t="shared" si="6"/>
        <v>0</v>
      </c>
      <c r="Q396" s="11">
        <f>IF(P396=Sheet1!$M396, 1, 0)</f>
        <v>1</v>
      </c>
    </row>
    <row r="397" spans="1:17" x14ac:dyDescent="0.35">
      <c r="A397" s="6" t="s">
        <v>422</v>
      </c>
      <c r="B397" s="6" t="s">
        <v>433</v>
      </c>
      <c r="C397" s="6">
        <v>0.25456116276176671</v>
      </c>
      <c r="D397" s="6">
        <v>0.11869551311014578</v>
      </c>
      <c r="E397" s="6">
        <v>-0.96437213731314142</v>
      </c>
      <c r="F397" s="6">
        <v>-0.65890641270038408</v>
      </c>
      <c r="G397" s="6">
        <v>-1.1575735511299463</v>
      </c>
      <c r="H397" s="6">
        <v>-0.83123339398351814</v>
      </c>
      <c r="I397" s="6">
        <v>0.46558777071649221</v>
      </c>
      <c r="J397" s="6">
        <v>-0.64891130226175675</v>
      </c>
      <c r="K397" s="6">
        <v>-1.258877733515871</v>
      </c>
      <c r="L397" s="6">
        <v>-0.42387714321651054</v>
      </c>
      <c r="N397" s="8">
        <f>SQRT((C397-Sheet5!$C$525)^2+(D397-Sheet5!$D$525)^2+(E397-Sheet5!$E$525)^2+(F397-Sheet5!$F$525)^2+(G397-Sheet5!$G$525)^2+(H397-Sheet5!$H$525)^2+(I397-Sheet5!$I$525)^2+(J397-Sheet5!$J$525)^2+(K397-Sheet5!$K$525)^2+(L397-Sheet5!$L$525)^2)</f>
        <v>2.1008023242504392</v>
      </c>
      <c r="O397" s="8">
        <f>SQRT((C397-Sheet5!$C$526)^2+(D397-Sheet5!$D$526)^2+(E397-Sheet5!$E$526)^2+(F397-Sheet5!$F$526)^2+(G397-Sheet5!$G$526)^2+(H397-Sheet5!$H$526)^2+(I397-Sheet5!$I$526)^2+(J397-Sheet5!$J$526)^2+(K397-Sheet5!$K$526)^2+(L397-Sheet5!$L$526)^2)</f>
        <v>4.3457892809134968</v>
      </c>
      <c r="P397" s="12">
        <f t="shared" si="6"/>
        <v>0</v>
      </c>
      <c r="Q397" s="11">
        <f>IF(P397=Sheet1!$M397, 1, 0)</f>
        <v>1</v>
      </c>
    </row>
    <row r="398" spans="1:17" x14ac:dyDescent="0.35">
      <c r="A398" s="6" t="s">
        <v>422</v>
      </c>
      <c r="B398" s="6" t="s">
        <v>434</v>
      </c>
      <c r="C398" s="6">
        <v>0.21832657521322421</v>
      </c>
      <c r="D398" s="6">
        <v>0.17393549738052108</v>
      </c>
      <c r="E398" s="6">
        <v>-0.52856439979832148</v>
      </c>
      <c r="F398" s="6">
        <v>-0.22289864017018243</v>
      </c>
      <c r="G398" s="6">
        <v>1.5443954718331364E-2</v>
      </c>
      <c r="H398" s="6">
        <v>0.14423350816700806</v>
      </c>
      <c r="I398" s="6">
        <v>-0.136208304223365</v>
      </c>
      <c r="J398" s="6">
        <v>-0.78936055735364574</v>
      </c>
      <c r="K398" s="6">
        <v>-0.15562241761772946</v>
      </c>
      <c r="L398" s="6">
        <v>-0.27262521080181035</v>
      </c>
      <c r="N398" s="8">
        <f>SQRT((C398-Sheet5!$C$525)^2+(D398-Sheet5!$D$525)^2+(E398-Sheet5!$E$525)^2+(F398-Sheet5!$F$525)^2+(G398-Sheet5!$G$525)^2+(H398-Sheet5!$H$525)^2+(I398-Sheet5!$I$525)^2+(J398-Sheet5!$J$525)^2+(K398-Sheet5!$K$525)^2+(L398-Sheet5!$L$525)^2)</f>
        <v>0.98801080292080889</v>
      </c>
      <c r="O398" s="8">
        <f>SQRT((C398-Sheet5!$C$526)^2+(D398-Sheet5!$D$526)^2+(E398-Sheet5!$E$526)^2+(F398-Sheet5!$F$526)^2+(G398-Sheet5!$G$526)^2+(H398-Sheet5!$H$526)^2+(I398-Sheet5!$I$526)^2+(J398-Sheet5!$J$526)^2+(K398-Sheet5!$K$526)^2+(L398-Sheet5!$L$526)^2)</f>
        <v>3.3263484999400847</v>
      </c>
      <c r="P398" s="12">
        <f t="shared" si="6"/>
        <v>0</v>
      </c>
      <c r="Q398" s="11">
        <f>IF(P398=Sheet1!$M398, 1, 0)</f>
        <v>1</v>
      </c>
    </row>
    <row r="399" spans="1:17" x14ac:dyDescent="0.35">
      <c r="A399" s="6" t="s">
        <v>422</v>
      </c>
      <c r="B399" s="6" t="s">
        <v>435</v>
      </c>
      <c r="C399" s="6">
        <v>-0.68485406997822584</v>
      </c>
      <c r="D399" s="6">
        <v>2.0152683063930339</v>
      </c>
      <c r="E399" s="6">
        <v>1.6832611758897418</v>
      </c>
      <c r="F399" s="6">
        <v>1.813858516313658</v>
      </c>
      <c r="G399" s="6">
        <v>0.41612815226056837</v>
      </c>
      <c r="H399" s="6">
        <v>0.7830539090231784</v>
      </c>
      <c r="I399" s="6">
        <v>0.83469786329083306</v>
      </c>
      <c r="J399" s="6">
        <v>0.96815309420161288</v>
      </c>
      <c r="K399" s="6">
        <v>-0.68768881110052227</v>
      </c>
      <c r="L399" s="6">
        <v>-0.11656280640300744</v>
      </c>
      <c r="N399" s="8">
        <f>SQRT((C399-Sheet5!$C$525)^2+(D399-Sheet5!$D$525)^2+(E399-Sheet5!$E$525)^2+(F399-Sheet5!$F$525)^2+(G399-Sheet5!$G$525)^2+(H399-Sheet5!$H$525)^2+(I399-Sheet5!$I$525)^2+(J399-Sheet5!$J$525)^2+(K399-Sheet5!$K$525)^2+(L399-Sheet5!$L$525)^2)</f>
        <v>4.6632755571304658</v>
      </c>
      <c r="O399" s="8">
        <f>SQRT((C399-Sheet5!$C$526)^2+(D399-Sheet5!$D$526)^2+(E399-Sheet5!$E$526)^2+(F399-Sheet5!$F$526)^2+(G399-Sheet5!$G$526)^2+(H399-Sheet5!$H$526)^2+(I399-Sheet5!$I$526)^2+(J399-Sheet5!$J$526)^2+(K399-Sheet5!$K$526)^2+(L399-Sheet5!$L$526)^2)</f>
        <v>1.713162154429744</v>
      </c>
      <c r="P399" s="12">
        <f t="shared" si="6"/>
        <v>1</v>
      </c>
      <c r="Q399" s="11">
        <f>IF(P399=Sheet1!$M399, 1, 0)</f>
        <v>0</v>
      </c>
    </row>
    <row r="400" spans="1:17" x14ac:dyDescent="0.35">
      <c r="A400" s="6" t="s">
        <v>436</v>
      </c>
      <c r="B400" s="6" t="s">
        <v>437</v>
      </c>
      <c r="C400" s="6">
        <v>2.3733419859939892E-2</v>
      </c>
      <c r="D400" s="6">
        <v>-0.21888216854214865</v>
      </c>
      <c r="E400" s="6">
        <v>-0.46593775958063821</v>
      </c>
      <c r="F400" s="6">
        <v>-0.33382641268670005</v>
      </c>
      <c r="G400" s="6">
        <v>-0.33007357794489894</v>
      </c>
      <c r="H400" s="6">
        <v>-8.7917919125580113E-2</v>
      </c>
      <c r="I400" s="6">
        <v>0.27880148898198187</v>
      </c>
      <c r="J400" s="6">
        <v>-0.85389129617964865</v>
      </c>
      <c r="K400" s="6">
        <v>-6.1728348179590609E-2</v>
      </c>
      <c r="L400" s="6">
        <v>-0.38025839572700249</v>
      </c>
      <c r="N400" s="8">
        <f>SQRT((C400-Sheet5!$C$525)^2+(D400-Sheet5!$D$525)^2+(E400-Sheet5!$E$525)^2+(F400-Sheet5!$F$525)^2+(G400-Sheet5!$G$525)^2+(H400-Sheet5!$H$525)^2+(I400-Sheet5!$I$525)^2+(J400-Sheet5!$J$525)^2+(K400-Sheet5!$K$525)^2+(L400-Sheet5!$L$525)^2)</f>
        <v>0.85819769005435909</v>
      </c>
      <c r="O400" s="8">
        <f>SQRT((C400-Sheet5!$C$526)^2+(D400-Sheet5!$D$526)^2+(E400-Sheet5!$E$526)^2+(F400-Sheet5!$F$526)^2+(G400-Sheet5!$G$526)^2+(H400-Sheet5!$H$526)^2+(I400-Sheet5!$I$526)^2+(J400-Sheet5!$J$526)^2+(K400-Sheet5!$K$526)^2+(L400-Sheet5!$L$526)^2)</f>
        <v>3.5524865912195036</v>
      </c>
      <c r="P400" s="12">
        <f t="shared" si="6"/>
        <v>0</v>
      </c>
      <c r="Q400" s="11">
        <f>IF(P400=Sheet1!$M400, 1, 0)</f>
        <v>1</v>
      </c>
    </row>
    <row r="401" spans="1:17" x14ac:dyDescent="0.35">
      <c r="A401" s="6" t="s">
        <v>436</v>
      </c>
      <c r="B401" s="6" t="s">
        <v>438</v>
      </c>
      <c r="C401" s="6">
        <v>-0.6499615041907405</v>
      </c>
      <c r="D401" s="6">
        <v>-0.37846434532323298</v>
      </c>
      <c r="E401" s="6">
        <v>0.11317446643229245</v>
      </c>
      <c r="F401" s="6">
        <v>-4.7263000352362507E-2</v>
      </c>
      <c r="G401" s="6">
        <v>-0.45202094241427504</v>
      </c>
      <c r="H401" s="6">
        <v>0.8013674786935916</v>
      </c>
      <c r="I401" s="6">
        <v>0.14620235382574223</v>
      </c>
      <c r="J401" s="6">
        <v>-0.72862574434093696</v>
      </c>
      <c r="K401" s="6">
        <v>-0.62665766596573136</v>
      </c>
      <c r="L401" s="6">
        <v>-0.27060079696389028</v>
      </c>
      <c r="N401" s="8">
        <f>SQRT((C401-Sheet5!$C$525)^2+(D401-Sheet5!$D$525)^2+(E401-Sheet5!$E$525)^2+(F401-Sheet5!$F$525)^2+(G401-Sheet5!$G$525)^2+(H401-Sheet5!$H$525)^2+(I401-Sheet5!$I$525)^2+(J401-Sheet5!$J$525)^2+(K401-Sheet5!$K$525)^2+(L401-Sheet5!$L$525)^2)</f>
        <v>1.8488195600399884</v>
      </c>
      <c r="O401" s="8">
        <f>SQRT((C401-Sheet5!$C$526)^2+(D401-Sheet5!$D$526)^2+(E401-Sheet5!$E$526)^2+(F401-Sheet5!$F$526)^2+(G401-Sheet5!$G$526)^2+(H401-Sheet5!$H$526)^2+(I401-Sheet5!$I$526)^2+(J401-Sheet5!$J$526)^2+(K401-Sheet5!$K$526)^2+(L401-Sheet5!$L$526)^2)</f>
        <v>3.080354651356414</v>
      </c>
      <c r="P401" s="12">
        <f t="shared" si="6"/>
        <v>0</v>
      </c>
      <c r="Q401" s="11">
        <f>IF(P401=Sheet1!$M401, 1, 0)</f>
        <v>1</v>
      </c>
    </row>
    <row r="402" spans="1:17" x14ac:dyDescent="0.35">
      <c r="A402" s="6" t="s">
        <v>436</v>
      </c>
      <c r="B402" s="6" t="s">
        <v>439</v>
      </c>
      <c r="C402" s="6">
        <v>-0.38424119550142821</v>
      </c>
      <c r="D402" s="6">
        <v>-1.0229308284776129</v>
      </c>
      <c r="E402" s="6">
        <v>0.55413969196503932</v>
      </c>
      <c r="F402" s="6">
        <v>-0.14432480130431705</v>
      </c>
      <c r="G402" s="6">
        <v>0.2738562270462942</v>
      </c>
      <c r="H402" s="6">
        <v>3.2197552536246406E-2</v>
      </c>
      <c r="I402" s="6">
        <v>0.77094827908110242</v>
      </c>
      <c r="J402" s="6">
        <v>-0.37560464370456742</v>
      </c>
      <c r="K402" s="6">
        <v>0.7598447594041321</v>
      </c>
      <c r="L402" s="6">
        <v>-0.33040520165835208</v>
      </c>
      <c r="N402" s="8">
        <f>SQRT((C402-Sheet5!$C$525)^2+(D402-Sheet5!$D$525)^2+(E402-Sheet5!$E$525)^2+(F402-Sheet5!$F$525)^2+(G402-Sheet5!$G$525)^2+(H402-Sheet5!$H$525)^2+(I402-Sheet5!$I$525)^2+(J402-Sheet5!$J$525)^2+(K402-Sheet5!$K$525)^2+(L402-Sheet5!$L$525)^2)</f>
        <v>1.9334945001940704</v>
      </c>
      <c r="O402" s="8">
        <f>SQRT((C402-Sheet5!$C$526)^2+(D402-Sheet5!$D$526)^2+(E402-Sheet5!$E$526)^2+(F402-Sheet5!$F$526)^2+(G402-Sheet5!$G$526)^2+(H402-Sheet5!$H$526)^2+(I402-Sheet5!$I$526)^2+(J402-Sheet5!$J$526)^2+(K402-Sheet5!$K$526)^2+(L402-Sheet5!$L$526)^2)</f>
        <v>3.268924565446965</v>
      </c>
      <c r="P402" s="12">
        <f t="shared" si="6"/>
        <v>0</v>
      </c>
      <c r="Q402" s="11">
        <f>IF(P402=Sheet1!$M402, 1, 0)</f>
        <v>1</v>
      </c>
    </row>
    <row r="403" spans="1:17" x14ac:dyDescent="0.35">
      <c r="A403" s="6" t="s">
        <v>436</v>
      </c>
      <c r="B403" s="6" t="s">
        <v>440</v>
      </c>
      <c r="C403" s="6">
        <v>0.26932340213339512</v>
      </c>
      <c r="D403" s="6">
        <v>-1.1272730209883219</v>
      </c>
      <c r="E403" s="6">
        <v>-0.40883699938216223</v>
      </c>
      <c r="F403" s="6">
        <v>-0.82683873498233507</v>
      </c>
      <c r="G403" s="6">
        <v>-0.91948583954688146</v>
      </c>
      <c r="H403" s="6">
        <v>0.23041501249836371</v>
      </c>
      <c r="I403" s="6">
        <v>0.85446023439584973</v>
      </c>
      <c r="J403" s="6">
        <v>-1.0171161061513034</v>
      </c>
      <c r="K403" s="6">
        <v>-0.32463174260638072</v>
      </c>
      <c r="L403" s="6">
        <v>-0.31145544697133976</v>
      </c>
      <c r="N403" s="8">
        <f>SQRT((C403-Sheet5!$C$525)^2+(D403-Sheet5!$D$525)^2+(E403-Sheet5!$E$525)^2+(F403-Sheet5!$F$525)^2+(G403-Sheet5!$G$525)^2+(H403-Sheet5!$H$525)^2+(I403-Sheet5!$I$525)^2+(J403-Sheet5!$J$525)^2+(K403-Sheet5!$K$525)^2+(L403-Sheet5!$L$525)^2)</f>
        <v>1.8039668902191393</v>
      </c>
      <c r="O403" s="8">
        <f>SQRT((C403-Sheet5!$C$526)^2+(D403-Sheet5!$D$526)^2+(E403-Sheet5!$E$526)^2+(F403-Sheet5!$F$526)^2+(G403-Sheet5!$G$526)^2+(H403-Sheet5!$H$526)^2+(I403-Sheet5!$I$526)^2+(J403-Sheet5!$J$526)^2+(K403-Sheet5!$K$526)^2+(L403-Sheet5!$L$526)^2)</f>
        <v>4.3483448271874936</v>
      </c>
      <c r="P403" s="12">
        <f t="shared" si="6"/>
        <v>0</v>
      </c>
      <c r="Q403" s="11">
        <f>IF(P403=Sheet1!$M403, 1, 0)</f>
        <v>1</v>
      </c>
    </row>
    <row r="404" spans="1:17" x14ac:dyDescent="0.35">
      <c r="A404" s="6" t="s">
        <v>436</v>
      </c>
      <c r="B404" s="6" t="s">
        <v>441</v>
      </c>
      <c r="C404" s="6">
        <v>-0.53991571978405561</v>
      </c>
      <c r="D404" s="6">
        <v>-0.58101095431460936</v>
      </c>
      <c r="E404" s="6">
        <v>8.0387578318328823E-2</v>
      </c>
      <c r="F404" s="6">
        <v>-0.33998906671539642</v>
      </c>
      <c r="G404" s="6">
        <v>-0.68430163664165644</v>
      </c>
      <c r="H404" s="6">
        <v>0.69741103909389479</v>
      </c>
      <c r="I404" s="6">
        <v>0.75883585808125376</v>
      </c>
      <c r="J404" s="6">
        <v>-0.4287476050906876</v>
      </c>
      <c r="K404" s="6">
        <v>-0.56719142198824135</v>
      </c>
      <c r="L404" s="6">
        <v>-0.31459600999623583</v>
      </c>
      <c r="N404" s="8">
        <f>SQRT((C404-Sheet5!$C$525)^2+(D404-Sheet5!$D$525)^2+(E404-Sheet5!$E$525)^2+(F404-Sheet5!$F$525)^2+(G404-Sheet5!$G$525)^2+(H404-Sheet5!$H$525)^2+(I404-Sheet5!$I$525)^2+(J404-Sheet5!$J$525)^2+(K404-Sheet5!$K$525)^2+(L404-Sheet5!$L$525)^2)</f>
        <v>1.9206195408167699</v>
      </c>
      <c r="O404" s="8">
        <f>SQRT((C404-Sheet5!$C$526)^2+(D404-Sheet5!$D$526)^2+(E404-Sheet5!$E$526)^2+(F404-Sheet5!$F$526)^2+(G404-Sheet5!$G$526)^2+(H404-Sheet5!$H$526)^2+(I404-Sheet5!$I$526)^2+(J404-Sheet5!$J$526)^2+(K404-Sheet5!$K$526)^2+(L404-Sheet5!$L$526)^2)</f>
        <v>3.2164907185002583</v>
      </c>
      <c r="P404" s="12">
        <f t="shared" si="6"/>
        <v>0</v>
      </c>
      <c r="Q404" s="11">
        <f>IF(P404=Sheet1!$M404, 1, 0)</f>
        <v>1</v>
      </c>
    </row>
    <row r="405" spans="1:17" x14ac:dyDescent="0.35">
      <c r="A405" s="6" t="s">
        <v>436</v>
      </c>
      <c r="B405" s="6" t="s">
        <v>442</v>
      </c>
      <c r="C405" s="6">
        <v>-0.63519926481911193</v>
      </c>
      <c r="D405" s="6">
        <v>-0.14522885618164863</v>
      </c>
      <c r="E405" s="6">
        <v>-0.30237171101210053</v>
      </c>
      <c r="F405" s="6">
        <v>5.5961454628286257E-2</v>
      </c>
      <c r="G405" s="6">
        <v>0.2303035968786625</v>
      </c>
      <c r="H405" s="6">
        <v>1.0771482925539284</v>
      </c>
      <c r="I405" s="6">
        <v>0.65811151502987852</v>
      </c>
      <c r="J405" s="6">
        <v>-0.28829834999879883</v>
      </c>
      <c r="K405" s="6">
        <v>-8.989656901103138E-2</v>
      </c>
      <c r="L405" s="6">
        <v>-0.14460149699993666</v>
      </c>
      <c r="N405" s="8">
        <f>SQRT((C405-Sheet5!$C$525)^2+(D405-Sheet5!$D$525)^2+(E405-Sheet5!$E$525)^2+(F405-Sheet5!$F$525)^2+(G405-Sheet5!$G$525)^2+(H405-Sheet5!$H$525)^2+(I405-Sheet5!$I$525)^2+(J405-Sheet5!$J$525)^2+(K405-Sheet5!$K$525)^2+(L405-Sheet5!$L$525)^2)</f>
        <v>2.0594741791275384</v>
      </c>
      <c r="O405" s="8">
        <f>SQRT((C405-Sheet5!$C$526)^2+(D405-Sheet5!$D$526)^2+(E405-Sheet5!$E$526)^2+(F405-Sheet5!$F$526)^2+(G405-Sheet5!$G$526)^2+(H405-Sheet5!$H$526)^2+(I405-Sheet5!$I$526)^2+(J405-Sheet5!$J$526)^2+(K405-Sheet5!$K$526)^2+(L405-Sheet5!$L$526)^2)</f>
        <v>2.6254376816377416</v>
      </c>
      <c r="P405" s="12">
        <f t="shared" si="6"/>
        <v>0</v>
      </c>
      <c r="Q405" s="11">
        <f>IF(P405=Sheet1!$M405, 1, 0)</f>
        <v>1</v>
      </c>
    </row>
    <row r="406" spans="1:17" x14ac:dyDescent="0.35">
      <c r="A406" s="6" t="s">
        <v>436</v>
      </c>
      <c r="B406" s="6" t="s">
        <v>443</v>
      </c>
      <c r="C406" s="6">
        <v>-0.46073643588168478</v>
      </c>
      <c r="D406" s="6">
        <v>-0.40301544944339984</v>
      </c>
      <c r="E406" s="6">
        <v>-0.30200331901082006</v>
      </c>
      <c r="F406" s="6">
        <v>-0.33536707619387468</v>
      </c>
      <c r="G406" s="6">
        <v>-0.66107356721891863</v>
      </c>
      <c r="H406" s="6">
        <v>0.53474344966846132</v>
      </c>
      <c r="I406" s="6">
        <v>0.20867694635127762</v>
      </c>
      <c r="J406" s="6">
        <v>-0.92980981244553462</v>
      </c>
      <c r="K406" s="6">
        <v>0.38270358049427139</v>
      </c>
      <c r="L406" s="6">
        <v>-0.30062169346198359</v>
      </c>
      <c r="N406" s="8">
        <f>SQRT((C406-Sheet5!$C$525)^2+(D406-Sheet5!$D$525)^2+(E406-Sheet5!$E$525)^2+(F406-Sheet5!$F$525)^2+(G406-Sheet5!$G$525)^2+(H406-Sheet5!$H$525)^2+(I406-Sheet5!$I$525)^2+(J406-Sheet5!$J$525)^2+(K406-Sheet5!$K$525)^2+(L406-Sheet5!$L$525)^2)</f>
        <v>1.3479497755125764</v>
      </c>
      <c r="O406" s="8">
        <f>SQRT((C406-Sheet5!$C$526)^2+(D406-Sheet5!$D$526)^2+(E406-Sheet5!$E$526)^2+(F406-Sheet5!$F$526)^2+(G406-Sheet5!$G$526)^2+(H406-Sheet5!$H$526)^2+(I406-Sheet5!$I$526)^2+(J406-Sheet5!$J$526)^2+(K406-Sheet5!$K$526)^2+(L406-Sheet5!$L$526)^2)</f>
        <v>3.6624844110499959</v>
      </c>
      <c r="P406" s="12">
        <f t="shared" si="6"/>
        <v>0</v>
      </c>
      <c r="Q406" s="11">
        <f>IF(P406=Sheet1!$M406, 1, 0)</f>
        <v>1</v>
      </c>
    </row>
    <row r="407" spans="1:17" x14ac:dyDescent="0.35">
      <c r="A407" s="6" t="s">
        <v>436</v>
      </c>
      <c r="B407" s="6" t="s">
        <v>444</v>
      </c>
      <c r="C407" s="6">
        <v>-0.36276884732451409</v>
      </c>
      <c r="D407" s="6">
        <v>-0.26184660075244082</v>
      </c>
      <c r="E407" s="6">
        <v>0.26053126694448853</v>
      </c>
      <c r="F407" s="6">
        <v>7.4449416714371067E-2</v>
      </c>
      <c r="G407" s="6">
        <v>-0.17909112669709756</v>
      </c>
      <c r="H407" s="6">
        <v>0.56760014819479043</v>
      </c>
      <c r="I407" s="6">
        <v>-0.11198346222366763</v>
      </c>
      <c r="J407" s="6">
        <v>0.47088681266006011</v>
      </c>
      <c r="K407" s="6">
        <v>-1.5421248429875929</v>
      </c>
      <c r="L407" s="6">
        <v>-0.19982868079841778</v>
      </c>
      <c r="N407" s="8">
        <f>SQRT((C407-Sheet5!$C$525)^2+(D407-Sheet5!$D$525)^2+(E407-Sheet5!$E$525)^2+(F407-Sheet5!$F$525)^2+(G407-Sheet5!$G$525)^2+(H407-Sheet5!$H$525)^2+(I407-Sheet5!$I$525)^2+(J407-Sheet5!$J$525)^2+(K407-Sheet5!$K$525)^2+(L407-Sheet5!$L$525)^2)</f>
        <v>2.4016223591036541</v>
      </c>
      <c r="O407" s="8">
        <f>SQRT((C407-Sheet5!$C$526)^2+(D407-Sheet5!$D$526)^2+(E407-Sheet5!$E$526)^2+(F407-Sheet5!$F$526)^2+(G407-Sheet5!$G$526)^2+(H407-Sheet5!$H$526)^2+(I407-Sheet5!$I$526)^2+(J407-Sheet5!$J$526)^2+(K407-Sheet5!$K$526)^2+(L407-Sheet5!$L$526)^2)</f>
        <v>2.5714420433066754</v>
      </c>
      <c r="P407" s="12">
        <f t="shared" si="6"/>
        <v>0</v>
      </c>
      <c r="Q407" s="11">
        <f>IF(P407=Sheet1!$M407, 1, 0)</f>
        <v>1</v>
      </c>
    </row>
    <row r="408" spans="1:17" x14ac:dyDescent="0.35">
      <c r="A408" s="6" t="s">
        <v>436</v>
      </c>
      <c r="B408" s="6" t="s">
        <v>445</v>
      </c>
      <c r="C408" s="6">
        <v>0.26932340213339512</v>
      </c>
      <c r="D408" s="6">
        <v>-0.31708658502281611</v>
      </c>
      <c r="E408" s="6">
        <v>0.43993817156808729</v>
      </c>
      <c r="F408" s="6">
        <v>-0.11043020414649235</v>
      </c>
      <c r="G408" s="6">
        <v>-0.83528408788945363</v>
      </c>
      <c r="H408" s="6">
        <v>0.49272996630692556</v>
      </c>
      <c r="I408" s="6">
        <v>0.26796405966632758</v>
      </c>
      <c r="J408" s="6">
        <v>0.30386607687511136</v>
      </c>
      <c r="K408" s="6">
        <v>-0.78784248516786914</v>
      </c>
      <c r="L408" s="6">
        <v>-9.3264234263914961E-2</v>
      </c>
      <c r="N408" s="8">
        <f>SQRT((C408-Sheet5!$C$525)^2+(D408-Sheet5!$D$525)^2+(E408-Sheet5!$E$525)^2+(F408-Sheet5!$F$525)^2+(G408-Sheet5!$G$525)^2+(H408-Sheet5!$H$525)^2+(I408-Sheet5!$I$525)^2+(J408-Sheet5!$J$525)^2+(K408-Sheet5!$K$525)^2+(L408-Sheet5!$L$525)^2)</f>
        <v>1.8737801484391139</v>
      </c>
      <c r="O408" s="8">
        <f>SQRT((C408-Sheet5!$C$526)^2+(D408-Sheet5!$D$526)^2+(E408-Sheet5!$E$526)^2+(F408-Sheet5!$F$526)^2+(G408-Sheet5!$G$526)^2+(H408-Sheet5!$H$526)^2+(I408-Sheet5!$I$526)^2+(J408-Sheet5!$J$526)^2+(K408-Sheet5!$K$526)^2+(L408-Sheet5!$L$526)^2)</f>
        <v>2.8484393026280523</v>
      </c>
      <c r="P408" s="12">
        <f t="shared" si="6"/>
        <v>0</v>
      </c>
      <c r="Q408" s="11">
        <f>IF(P408=Sheet1!$M408, 1, 0)</f>
        <v>1</v>
      </c>
    </row>
    <row r="409" spans="1:17" x14ac:dyDescent="0.35">
      <c r="A409" s="6" t="s">
        <v>436</v>
      </c>
      <c r="B409" s="6" t="s">
        <v>446</v>
      </c>
      <c r="C409" s="6">
        <v>-0.4822087840585989</v>
      </c>
      <c r="D409" s="6">
        <v>-0.12067775206148122</v>
      </c>
      <c r="E409" s="6">
        <v>0.25500538692528119</v>
      </c>
      <c r="F409" s="6">
        <v>0.18537718923088869</v>
      </c>
      <c r="G409" s="6">
        <v>-0.17038060066357452</v>
      </c>
      <c r="H409" s="6">
        <v>0.90047620867465017</v>
      </c>
      <c r="I409" s="6">
        <v>0.75692337055496173</v>
      </c>
      <c r="J409" s="6">
        <v>0.63790754844500919</v>
      </c>
      <c r="K409" s="6">
        <v>-1.7721653131110351</v>
      </c>
      <c r="L409" s="6">
        <v>-0.35300216087645908</v>
      </c>
      <c r="N409" s="8">
        <f>SQRT((C409-Sheet5!$C$525)^2+(D409-Sheet5!$D$525)^2+(E409-Sheet5!$E$525)^2+(F409-Sheet5!$F$525)^2+(G409-Sheet5!$G$525)^2+(H409-Sheet5!$H$525)^2+(I409-Sheet5!$I$525)^2+(J409-Sheet5!$J$525)^2+(K409-Sheet5!$K$525)^2+(L409-Sheet5!$L$525)^2)</f>
        <v>3.0018468669992506</v>
      </c>
      <c r="O409" s="8">
        <f>SQRT((C409-Sheet5!$C$526)^2+(D409-Sheet5!$D$526)^2+(E409-Sheet5!$E$526)^2+(F409-Sheet5!$F$526)^2+(G409-Sheet5!$G$526)^2+(H409-Sheet5!$H$526)^2+(I409-Sheet5!$I$526)^2+(J409-Sheet5!$J$526)^2+(K409-Sheet5!$K$526)^2+(L409-Sheet5!$L$526)^2)</f>
        <v>2.4674547236858331</v>
      </c>
      <c r="P409" s="12">
        <f t="shared" si="6"/>
        <v>1</v>
      </c>
      <c r="Q409" s="11">
        <f>IF(P409=Sheet1!$M409, 1, 0)</f>
        <v>0</v>
      </c>
    </row>
    <row r="410" spans="1:17" x14ac:dyDescent="0.35">
      <c r="A410" s="6" t="s">
        <v>436</v>
      </c>
      <c r="B410" s="6" t="s">
        <v>447</v>
      </c>
      <c r="C410" s="6">
        <v>-0.23527678002408661</v>
      </c>
      <c r="D410" s="6">
        <v>-0.74059313109569369</v>
      </c>
      <c r="E410" s="6">
        <v>-0.47698951961905289</v>
      </c>
      <c r="F410" s="6">
        <v>-0.54335664966234465</v>
      </c>
      <c r="G410" s="6">
        <v>-0.71043321474223786</v>
      </c>
      <c r="H410" s="6">
        <v>0.91986704714920509</v>
      </c>
      <c r="I410" s="6">
        <v>0.31577624782362557</v>
      </c>
      <c r="J410" s="6">
        <v>-0.34523723719821309</v>
      </c>
      <c r="K410" s="6">
        <v>-0.59379474166238111</v>
      </c>
      <c r="L410" s="6">
        <v>2.736809669632179E-2</v>
      </c>
      <c r="N410" s="8">
        <f>SQRT((C410-Sheet5!$C$525)^2+(D410-Sheet5!$D$525)^2+(E410-Sheet5!$E$525)^2+(F410-Sheet5!$F$525)^2+(G410-Sheet5!$G$525)^2+(H410-Sheet5!$H$525)^2+(I410-Sheet5!$I$525)^2+(J410-Sheet5!$J$525)^2+(K410-Sheet5!$K$525)^2+(L410-Sheet5!$L$525)^2)</f>
        <v>1.7390764322001697</v>
      </c>
      <c r="O410" s="8">
        <f>SQRT((C410-Sheet5!$C$526)^2+(D410-Sheet5!$D$526)^2+(E410-Sheet5!$E$526)^2+(F410-Sheet5!$F$526)^2+(G410-Sheet5!$G$526)^2+(H410-Sheet5!$H$526)^2+(I410-Sheet5!$I$526)^2+(J410-Sheet5!$J$526)^2+(K410-Sheet5!$K$526)^2+(L410-Sheet5!$L$526)^2)</f>
        <v>3.5408553717530933</v>
      </c>
      <c r="P410" s="12">
        <f t="shared" si="6"/>
        <v>0</v>
      </c>
      <c r="Q410" s="11">
        <f>IF(P410=Sheet1!$M410, 1, 0)</f>
        <v>1</v>
      </c>
    </row>
    <row r="411" spans="1:17" x14ac:dyDescent="0.35">
      <c r="A411" s="6" t="s">
        <v>436</v>
      </c>
      <c r="B411" s="6" t="s">
        <v>448</v>
      </c>
      <c r="C411" s="6">
        <v>-0.63654128658016906</v>
      </c>
      <c r="D411" s="6">
        <v>-0.37846434532323298</v>
      </c>
      <c r="E411" s="6">
        <v>-0.28247854294295405</v>
      </c>
      <c r="F411" s="6">
        <v>-0.14432480130431705</v>
      </c>
      <c r="G411" s="6">
        <v>4.4479041496756612E-2</v>
      </c>
      <c r="H411" s="6">
        <v>0.81806514515779172</v>
      </c>
      <c r="I411" s="6">
        <v>0.72951104934477717</v>
      </c>
      <c r="J411" s="6">
        <v>-0.43254353090398201</v>
      </c>
      <c r="K411" s="6">
        <v>-1.6469732205268492</v>
      </c>
      <c r="L411" s="6">
        <v>-0.30043069210065393</v>
      </c>
      <c r="N411" s="8">
        <f>SQRT((C411-Sheet5!$C$525)^2+(D411-Sheet5!$D$525)^2+(E411-Sheet5!$E$525)^2+(F411-Sheet5!$F$525)^2+(G411-Sheet5!$G$525)^2+(H411-Sheet5!$H$525)^2+(I411-Sheet5!$I$525)^2+(J411-Sheet5!$J$525)^2+(K411-Sheet5!$K$525)^2+(L411-Sheet5!$L$525)^2)</f>
        <v>2.599900296233995</v>
      </c>
      <c r="O411" s="8">
        <f>SQRT((C411-Sheet5!$C$526)^2+(D411-Sheet5!$D$526)^2+(E411-Sheet5!$E$526)^2+(F411-Sheet5!$F$526)^2+(G411-Sheet5!$G$526)^2+(H411-Sheet5!$H$526)^2+(I411-Sheet5!$I$526)^2+(J411-Sheet5!$J$526)^2+(K411-Sheet5!$K$526)^2+(L411-Sheet5!$L$526)^2)</f>
        <v>3.0938366718973227</v>
      </c>
      <c r="P411" s="12">
        <f t="shared" si="6"/>
        <v>0</v>
      </c>
      <c r="Q411" s="11">
        <f>IF(P411=Sheet1!$M411, 1, 0)</f>
        <v>1</v>
      </c>
    </row>
    <row r="412" spans="1:17" x14ac:dyDescent="0.35">
      <c r="A412" s="6" t="s">
        <v>436</v>
      </c>
      <c r="B412" s="6" t="s">
        <v>449</v>
      </c>
      <c r="C412" s="6">
        <v>-0.78013761501328227</v>
      </c>
      <c r="D412" s="6">
        <v>-0.85107309963644484</v>
      </c>
      <c r="E412" s="6">
        <v>0.80317268483065063</v>
      </c>
      <c r="F412" s="6">
        <v>-4.7263000352362507E-2</v>
      </c>
      <c r="G412" s="6">
        <v>-0.63203848044049338</v>
      </c>
      <c r="H412" s="6">
        <v>0.96026462730452788</v>
      </c>
      <c r="I412" s="6">
        <v>0.17425217087802358</v>
      </c>
      <c r="J412" s="6">
        <v>-0.28070649837221007</v>
      </c>
      <c r="K412" s="6">
        <v>-0.76436896780833552</v>
      </c>
      <c r="L412" s="6">
        <v>-0.17540938346336432</v>
      </c>
      <c r="N412" s="8">
        <f>SQRT((C412-Sheet5!$C$525)^2+(D412-Sheet5!$D$525)^2+(E412-Sheet5!$E$525)^2+(F412-Sheet5!$F$525)^2+(G412-Sheet5!$G$525)^2+(H412-Sheet5!$H$525)^2+(I412-Sheet5!$I$525)^2+(J412-Sheet5!$J$525)^2+(K412-Sheet5!$K$525)^2+(L412-Sheet5!$L$525)^2)</f>
        <v>2.3953531949535938</v>
      </c>
      <c r="O412" s="8">
        <f>SQRT((C412-Sheet5!$C$526)^2+(D412-Sheet5!$D$526)^2+(E412-Sheet5!$E$526)^2+(F412-Sheet5!$F$526)^2+(G412-Sheet5!$G$526)^2+(H412-Sheet5!$H$526)^2+(I412-Sheet5!$I$526)^2+(J412-Sheet5!$J$526)^2+(K412-Sheet5!$K$526)^2+(L412-Sheet5!$L$526)^2)</f>
        <v>3.0428445706952467</v>
      </c>
      <c r="P412" s="12">
        <f t="shared" si="6"/>
        <v>0</v>
      </c>
      <c r="Q412" s="11">
        <f>IF(P412=Sheet1!$M412, 1, 0)</f>
        <v>1</v>
      </c>
    </row>
    <row r="413" spans="1:17" x14ac:dyDescent="0.35">
      <c r="A413" s="6" t="s">
        <v>436</v>
      </c>
      <c r="B413" s="6" t="s">
        <v>450</v>
      </c>
      <c r="C413" s="6">
        <v>-0.97070470508339501</v>
      </c>
      <c r="D413" s="6">
        <v>-0.30481103296273238</v>
      </c>
      <c r="E413" s="6">
        <v>0.69118151644138159</v>
      </c>
      <c r="F413" s="6">
        <v>0.24854439302501855</v>
      </c>
      <c r="G413" s="6">
        <v>0.10254921505360297</v>
      </c>
      <c r="H413" s="6">
        <v>1.148248033627296</v>
      </c>
      <c r="I413" s="6">
        <v>0.88633502650071505</v>
      </c>
      <c r="J413" s="6">
        <v>-4.9155023761258312E-2</v>
      </c>
      <c r="K413" s="6">
        <v>-1.6845308483021044</v>
      </c>
      <c r="L413" s="6">
        <v>-0.27368302109798315</v>
      </c>
      <c r="N413" s="8">
        <f>SQRT((C413-Sheet5!$C$525)^2+(D413-Sheet5!$D$525)^2+(E413-Sheet5!$E$525)^2+(F413-Sheet5!$F$525)^2+(G413-Sheet5!$G$525)^2+(H413-Sheet5!$H$525)^2+(I413-Sheet5!$I$525)^2+(J413-Sheet5!$J$525)^2+(K413-Sheet5!$K$525)^2+(L413-Sheet5!$L$525)^2)</f>
        <v>3.2488426603565803</v>
      </c>
      <c r="O413" s="8">
        <f>SQRT((C413-Sheet5!$C$526)^2+(D413-Sheet5!$D$526)^2+(E413-Sheet5!$E$526)^2+(F413-Sheet5!$F$526)^2+(G413-Sheet5!$G$526)^2+(H413-Sheet5!$H$526)^2+(I413-Sheet5!$I$526)^2+(J413-Sheet5!$J$526)^2+(K413-Sheet5!$K$526)^2+(L413-Sheet5!$L$526)^2)</f>
        <v>2.5203455599196034</v>
      </c>
      <c r="P413" s="12">
        <f t="shared" si="6"/>
        <v>1</v>
      </c>
      <c r="Q413" s="11">
        <f>IF(P413=Sheet1!$M413, 1, 0)</f>
        <v>0</v>
      </c>
    </row>
    <row r="414" spans="1:17" x14ac:dyDescent="0.35">
      <c r="A414" s="6" t="s">
        <v>436</v>
      </c>
      <c r="B414" s="6" t="s">
        <v>451</v>
      </c>
      <c r="C414" s="6">
        <v>-0.46476250116485612</v>
      </c>
      <c r="D414" s="6">
        <v>-0.34777546517302454</v>
      </c>
      <c r="E414" s="6">
        <v>0.60092547612766156</v>
      </c>
      <c r="F414" s="6">
        <v>0.23467842146045328</v>
      </c>
      <c r="G414" s="6">
        <v>3.2865006785385689E-2</v>
      </c>
      <c r="H414" s="6">
        <v>0.94356696084032765</v>
      </c>
      <c r="I414" s="6">
        <v>0.42925050771694617</v>
      </c>
      <c r="J414" s="6">
        <v>-0.379400569517862</v>
      </c>
      <c r="K414" s="6">
        <v>-1.8285017547739189</v>
      </c>
      <c r="L414" s="6">
        <v>-0.17743181227455573</v>
      </c>
      <c r="N414" s="8">
        <f>SQRT((C414-Sheet5!$C$525)^2+(D414-Sheet5!$D$525)^2+(E414-Sheet5!$E$525)^2+(F414-Sheet5!$F$525)^2+(G414-Sheet5!$G$525)^2+(H414-Sheet5!$H$525)^2+(I414-Sheet5!$I$525)^2+(J414-Sheet5!$J$525)^2+(K414-Sheet5!$K$525)^2+(L414-Sheet5!$L$525)^2)</f>
        <v>2.8891322943401709</v>
      </c>
      <c r="O414" s="8">
        <f>SQRT((C414-Sheet5!$C$526)^2+(D414-Sheet5!$D$526)^2+(E414-Sheet5!$E$526)^2+(F414-Sheet5!$F$526)^2+(G414-Sheet5!$G$526)^2+(H414-Sheet5!$H$526)^2+(I414-Sheet5!$I$526)^2+(J414-Sheet5!$J$526)^2+(K414-Sheet5!$K$526)^2+(L414-Sheet5!$L$526)^2)</f>
        <v>2.7250560780380981</v>
      </c>
      <c r="P414" s="12">
        <f t="shared" si="6"/>
        <v>1</v>
      </c>
      <c r="Q414" s="11">
        <f>IF(P414=Sheet1!$M414, 1, 0)</f>
        <v>0</v>
      </c>
    </row>
    <row r="415" spans="1:17" x14ac:dyDescent="0.35">
      <c r="A415" s="6" t="s">
        <v>436</v>
      </c>
      <c r="B415" s="6" t="s">
        <v>452</v>
      </c>
      <c r="C415" s="6">
        <v>2.6417463382054338E-2</v>
      </c>
      <c r="D415" s="6">
        <v>0.29055324195131327</v>
      </c>
      <c r="E415" s="6">
        <v>0.23879613886893963</v>
      </c>
      <c r="F415" s="6">
        <v>0.45961529350783564</v>
      </c>
      <c r="G415" s="6">
        <v>0.36967201341509293</v>
      </c>
      <c r="H415" s="6">
        <v>0.64139306127851359</v>
      </c>
      <c r="I415" s="6">
        <v>-0.7717916587943795</v>
      </c>
      <c r="J415" s="6">
        <v>-1.0322998094044806</v>
      </c>
      <c r="K415" s="6">
        <v>0.49694136497734204</v>
      </c>
      <c r="L415" s="6">
        <v>-0.35688073594403807</v>
      </c>
      <c r="N415" s="8">
        <f>SQRT((C415-Sheet5!$C$525)^2+(D415-Sheet5!$D$525)^2+(E415-Sheet5!$E$525)^2+(F415-Sheet5!$F$525)^2+(G415-Sheet5!$G$525)^2+(H415-Sheet5!$H$525)^2+(I415-Sheet5!$I$525)^2+(J415-Sheet5!$J$525)^2+(K415-Sheet5!$K$525)^2+(L415-Sheet5!$L$525)^2)</f>
        <v>1.9478006030127211</v>
      </c>
      <c r="O415" s="8">
        <f>SQRT((C415-Sheet5!$C$526)^2+(D415-Sheet5!$D$526)^2+(E415-Sheet5!$E$526)^2+(F415-Sheet5!$F$526)^2+(G415-Sheet5!$G$526)^2+(H415-Sheet5!$H$526)^2+(I415-Sheet5!$I$526)^2+(J415-Sheet5!$J$526)^2+(K415-Sheet5!$K$526)^2+(L415-Sheet5!$L$526)^2)</f>
        <v>3.2037362955692199</v>
      </c>
      <c r="P415" s="12">
        <f t="shared" si="6"/>
        <v>0</v>
      </c>
      <c r="Q415" s="11">
        <f>IF(P415=Sheet1!$M415, 1, 0)</f>
        <v>1</v>
      </c>
    </row>
    <row r="416" spans="1:17" x14ac:dyDescent="0.35">
      <c r="A416" s="6" t="s">
        <v>436</v>
      </c>
      <c r="B416" s="6" t="s">
        <v>453</v>
      </c>
      <c r="C416" s="6">
        <v>3.4469593948396965E-2</v>
      </c>
      <c r="D416" s="6">
        <v>-5.3162215731022769E-2</v>
      </c>
      <c r="E416" s="6">
        <v>-7.6915806228440506E-2</v>
      </c>
      <c r="F416" s="6">
        <v>0.14223861103002047</v>
      </c>
      <c r="G416" s="6">
        <v>0.22740008820081875</v>
      </c>
      <c r="H416" s="6">
        <v>0.61122953476253905</v>
      </c>
      <c r="I416" s="6">
        <v>-0.11198346222366763</v>
      </c>
      <c r="J416" s="6">
        <v>-9.8502059334084097E-2</v>
      </c>
      <c r="K416" s="6">
        <v>-0.82070540947121928</v>
      </c>
      <c r="L416" s="6">
        <v>-0.24059208226140524</v>
      </c>
      <c r="N416" s="8">
        <f>SQRT((C416-Sheet5!$C$525)^2+(D416-Sheet5!$D$525)^2+(E416-Sheet5!$E$525)^2+(F416-Sheet5!$F$525)^2+(G416-Sheet5!$G$525)^2+(H416-Sheet5!$H$525)^2+(I416-Sheet5!$I$525)^2+(J416-Sheet5!$J$525)^2+(K416-Sheet5!$K$525)^2+(L416-Sheet5!$L$525)^2)</f>
        <v>1.7096932841064334</v>
      </c>
      <c r="O416" s="8">
        <f>SQRT((C416-Sheet5!$C$526)^2+(D416-Sheet5!$D$526)^2+(E416-Sheet5!$E$526)^2+(F416-Sheet5!$F$526)^2+(G416-Sheet5!$G$526)^2+(H416-Sheet5!$H$526)^2+(I416-Sheet5!$I$526)^2+(J416-Sheet5!$J$526)^2+(K416-Sheet5!$K$526)^2+(L416-Sheet5!$L$526)^2)</f>
        <v>2.5370521744738621</v>
      </c>
      <c r="P416" s="12">
        <f t="shared" si="6"/>
        <v>0</v>
      </c>
      <c r="Q416" s="11">
        <f>IF(P416=Sheet1!$M416, 1, 0)</f>
        <v>1</v>
      </c>
    </row>
    <row r="417" spans="1:17" x14ac:dyDescent="0.35">
      <c r="A417" s="6" t="s">
        <v>436</v>
      </c>
      <c r="B417" s="6" t="s">
        <v>454</v>
      </c>
      <c r="C417" s="6">
        <v>-4.2297183908844934E-4</v>
      </c>
      <c r="D417" s="6">
        <v>4.5042200749644663E-2</v>
      </c>
      <c r="E417" s="6">
        <v>-1.0649431536627154</v>
      </c>
      <c r="F417" s="6">
        <v>-6.7291625945624156E-2</v>
      </c>
      <c r="G417" s="6">
        <v>1.0868386568421351</v>
      </c>
      <c r="H417" s="6">
        <v>0.35268502176847366</v>
      </c>
      <c r="I417" s="6">
        <v>-0.86486605174058673</v>
      </c>
      <c r="J417" s="6">
        <v>-0.74760537340740851</v>
      </c>
      <c r="K417" s="6">
        <v>1.3341634841340873</v>
      </c>
      <c r="L417" s="6">
        <v>-0.35904105098030498</v>
      </c>
      <c r="N417" s="8">
        <f>SQRT((C417-Sheet5!$C$525)^2+(D417-Sheet5!$D$525)^2+(E417-Sheet5!$E$525)^2+(F417-Sheet5!$F$525)^2+(G417-Sheet5!$G$525)^2+(H417-Sheet5!$H$525)^2+(I417-Sheet5!$I$525)^2+(J417-Sheet5!$J$525)^2+(K417-Sheet5!$K$525)^2+(L417-Sheet5!$L$525)^2)</f>
        <v>2.2232308637813607</v>
      </c>
      <c r="O417" s="8">
        <f>SQRT((C417-Sheet5!$C$526)^2+(D417-Sheet5!$D$526)^2+(E417-Sheet5!$E$526)^2+(F417-Sheet5!$F$526)^2+(G417-Sheet5!$G$526)^2+(H417-Sheet5!$H$526)^2+(I417-Sheet5!$I$526)^2+(J417-Sheet5!$J$526)^2+(K417-Sheet5!$K$526)^2+(L417-Sheet5!$L$526)^2)</f>
        <v>4.1048876979996125</v>
      </c>
      <c r="P417" s="12">
        <f t="shared" si="6"/>
        <v>0</v>
      </c>
      <c r="Q417" s="11">
        <f>IF(P417=Sheet1!$M417, 1, 0)</f>
        <v>1</v>
      </c>
    </row>
    <row r="418" spans="1:17" x14ac:dyDescent="0.35">
      <c r="A418" s="6" t="s">
        <v>436</v>
      </c>
      <c r="B418" s="6" t="s">
        <v>455</v>
      </c>
      <c r="C418" s="6">
        <v>0.17672390062045304</v>
      </c>
      <c r="D418" s="6">
        <v>-0.35391324120306611</v>
      </c>
      <c r="E418" s="6">
        <v>0.51987923584595364</v>
      </c>
      <c r="F418" s="6">
        <v>1.4363539934590509E-2</v>
      </c>
      <c r="G418" s="6">
        <v>-0.28652094777726311</v>
      </c>
      <c r="H418" s="6">
        <v>0.88970352063323066</v>
      </c>
      <c r="I418" s="6">
        <v>-7.0546232487342347E-2</v>
      </c>
      <c r="J418" s="6">
        <v>-0.4363394567172762</v>
      </c>
      <c r="K418" s="6">
        <v>-1.000669042560987</v>
      </c>
      <c r="L418" s="6">
        <v>-0.28150977253875203</v>
      </c>
      <c r="N418" s="8">
        <f>SQRT((C418-Sheet5!$C$525)^2+(D418-Sheet5!$D$525)^2+(E418-Sheet5!$E$525)^2+(F418-Sheet5!$F$525)^2+(G418-Sheet5!$G$525)^2+(H418-Sheet5!$H$525)^2+(I418-Sheet5!$I$525)^2+(J418-Sheet5!$J$525)^2+(K418-Sheet5!$K$525)^2+(L418-Sheet5!$L$525)^2)</f>
        <v>1.9958536804458014</v>
      </c>
      <c r="O418" s="8">
        <f>SQRT((C418-Sheet5!$C$526)^2+(D418-Sheet5!$D$526)^2+(E418-Sheet5!$E$526)^2+(F418-Sheet5!$F$526)^2+(G418-Sheet5!$G$526)^2+(H418-Sheet5!$H$526)^2+(I418-Sheet5!$I$526)^2+(J418-Sheet5!$J$526)^2+(K418-Sheet5!$K$526)^2+(L418-Sheet5!$L$526)^2)</f>
        <v>2.9251030341730542</v>
      </c>
      <c r="P418" s="12">
        <f t="shared" si="6"/>
        <v>0</v>
      </c>
      <c r="Q418" s="11">
        <f>IF(P418=Sheet1!$M418, 1, 0)</f>
        <v>1</v>
      </c>
    </row>
    <row r="419" spans="1:17" x14ac:dyDescent="0.35">
      <c r="A419" s="6" t="s">
        <v>436</v>
      </c>
      <c r="B419" s="6" t="s">
        <v>456</v>
      </c>
      <c r="C419" s="6">
        <v>-0.7157205704825399</v>
      </c>
      <c r="D419" s="6">
        <v>0.22917548165089638</v>
      </c>
      <c r="E419" s="6">
        <v>0.94353003731851748</v>
      </c>
      <c r="F419" s="6">
        <v>0.52586382431631262</v>
      </c>
      <c r="G419" s="6">
        <v>0.28256675307982132</v>
      </c>
      <c r="H419" s="6">
        <v>0.842842327653056</v>
      </c>
      <c r="I419" s="6">
        <v>-0.38419418679921724</v>
      </c>
      <c r="J419" s="6">
        <v>-3.7767246321375333E-2</v>
      </c>
      <c r="K419" s="6">
        <v>0.57518642284245847</v>
      </c>
      <c r="L419" s="6">
        <v>-0.12398216767400883</v>
      </c>
      <c r="N419" s="8">
        <f>SQRT((C419-Sheet5!$C$525)^2+(D419-Sheet5!$D$525)^2+(E419-Sheet5!$E$525)^2+(F419-Sheet5!$F$525)^2+(G419-Sheet5!$G$525)^2+(H419-Sheet5!$H$525)^2+(I419-Sheet5!$I$525)^2+(J419-Sheet5!$J$525)^2+(K419-Sheet5!$K$525)^2+(L419-Sheet5!$L$525)^2)</f>
        <v>2.4511466843485135</v>
      </c>
      <c r="O419" s="8">
        <f>SQRT((C419-Sheet5!$C$526)^2+(D419-Sheet5!$D$526)^2+(E419-Sheet5!$E$526)^2+(F419-Sheet5!$F$526)^2+(G419-Sheet5!$G$526)^2+(H419-Sheet5!$H$526)^2+(I419-Sheet5!$I$526)^2+(J419-Sheet5!$J$526)^2+(K419-Sheet5!$K$526)^2+(L419-Sheet5!$L$526)^2)</f>
        <v>2.2618117536449263</v>
      </c>
      <c r="P419" s="12">
        <f t="shared" si="6"/>
        <v>1</v>
      </c>
      <c r="Q419" s="11">
        <f>IF(P419=Sheet1!$M419, 1, 0)</f>
        <v>0</v>
      </c>
    </row>
    <row r="420" spans="1:17" x14ac:dyDescent="0.35">
      <c r="A420" s="6" t="s">
        <v>436</v>
      </c>
      <c r="B420" s="6" t="s">
        <v>457</v>
      </c>
      <c r="C420" s="6">
        <v>-3.7999581148688066E-2</v>
      </c>
      <c r="D420" s="6">
        <v>-0.11453997603143964</v>
      </c>
      <c r="E420" s="6">
        <v>-0.80706875276637213</v>
      </c>
      <c r="F420" s="6">
        <v>-2.723437475910305E-2</v>
      </c>
      <c r="G420" s="6">
        <v>1.0897421655199746</v>
      </c>
      <c r="H420" s="6">
        <v>0.56113653536993924</v>
      </c>
      <c r="I420" s="6">
        <v>-0.78645406316261779</v>
      </c>
      <c r="J420" s="6">
        <v>-0.92980981244553462</v>
      </c>
      <c r="K420" s="6">
        <v>0.32793203998869075</v>
      </c>
      <c r="L420" s="6">
        <v>-0.34700249072176714</v>
      </c>
      <c r="N420" s="8">
        <f>SQRT((C420-Sheet5!$C$525)^2+(D420-Sheet5!$D$525)^2+(E420-Sheet5!$E$525)^2+(F420-Sheet5!$F$525)^2+(G420-Sheet5!$G$525)^2+(H420-Sheet5!$H$525)^2+(I420-Sheet5!$I$525)^2+(J420-Sheet5!$J$525)^2+(K420-Sheet5!$K$525)^2+(L420-Sheet5!$L$525)^2)</f>
        <v>1.9444664156047136</v>
      </c>
      <c r="O420" s="8">
        <f>SQRT((C420-Sheet5!$C$526)^2+(D420-Sheet5!$D$526)^2+(E420-Sheet5!$E$526)^2+(F420-Sheet5!$F$526)^2+(G420-Sheet5!$G$526)^2+(H420-Sheet5!$H$526)^2+(I420-Sheet5!$I$526)^2+(J420-Sheet5!$J$526)^2+(K420-Sheet5!$K$526)^2+(L420-Sheet5!$L$526)^2)</f>
        <v>3.6808779640360196</v>
      </c>
      <c r="P420" s="12">
        <f t="shared" si="6"/>
        <v>0</v>
      </c>
      <c r="Q420" s="11">
        <f>IF(P420=Sheet1!$M420, 1, 0)</f>
        <v>1</v>
      </c>
    </row>
    <row r="421" spans="1:17" x14ac:dyDescent="0.35">
      <c r="A421" s="6" t="s">
        <v>436</v>
      </c>
      <c r="B421" s="6" t="s">
        <v>458</v>
      </c>
      <c r="C421" s="6">
        <v>-1.0002291838266519</v>
      </c>
      <c r="D421" s="6">
        <v>1.8372728015218238</v>
      </c>
      <c r="E421" s="6">
        <v>2.494828754710662</v>
      </c>
      <c r="F421" s="6">
        <v>1.9617622130023473</v>
      </c>
      <c r="G421" s="6">
        <v>0.71809305475616292</v>
      </c>
      <c r="H421" s="6">
        <v>0.89131942383944363</v>
      </c>
      <c r="I421" s="6">
        <v>0.92075980197396912</v>
      </c>
      <c r="J421" s="6">
        <v>3.082483772206535</v>
      </c>
      <c r="K421" s="6">
        <v>-1.5280407325718715</v>
      </c>
      <c r="L421" s="6">
        <v>2.1803690407938481</v>
      </c>
      <c r="N421" s="8">
        <f>SQRT((C421-Sheet5!$C$525)^2+(D421-Sheet5!$D$525)^2+(E421-Sheet5!$E$525)^2+(F421-Sheet5!$F$525)^2+(G421-Sheet5!$G$525)^2+(H421-Sheet5!$H$525)^2+(I421-Sheet5!$I$525)^2+(J421-Sheet5!$J$525)^2+(K421-Sheet5!$K$525)^2+(L421-Sheet5!$L$525)^2)</f>
        <v>6.7622290556203266</v>
      </c>
      <c r="O421" s="8">
        <f>SQRT((C421-Sheet5!$C$526)^2+(D421-Sheet5!$D$526)^2+(E421-Sheet5!$E$526)^2+(F421-Sheet5!$F$526)^2+(G421-Sheet5!$G$526)^2+(H421-Sheet5!$H$526)^2+(I421-Sheet5!$I$526)^2+(J421-Sheet5!$J$526)^2+(K421-Sheet5!$K$526)^2+(L421-Sheet5!$L$526)^2)</f>
        <v>3.4536437216056557</v>
      </c>
      <c r="P421" s="12">
        <f t="shared" si="6"/>
        <v>1</v>
      </c>
      <c r="Q421" s="11">
        <f>IF(P421=Sheet1!$M421, 1, 0)</f>
        <v>0</v>
      </c>
    </row>
    <row r="422" spans="1:17" x14ac:dyDescent="0.35">
      <c r="A422" s="6" t="s">
        <v>436</v>
      </c>
      <c r="B422" s="6" t="s">
        <v>459</v>
      </c>
      <c r="C422" s="6">
        <v>-0.92239192168533823</v>
      </c>
      <c r="D422" s="6">
        <v>1.3585262711785708</v>
      </c>
      <c r="E422" s="6">
        <v>1.2750828384709587</v>
      </c>
      <c r="F422" s="6">
        <v>1.2761669523099801</v>
      </c>
      <c r="G422" s="6">
        <v>0.48000534317309818</v>
      </c>
      <c r="H422" s="6">
        <v>1.131550367163096</v>
      </c>
      <c r="I422" s="6">
        <v>0.88952250571120139</v>
      </c>
      <c r="J422" s="6">
        <v>0.63031569681842048</v>
      </c>
      <c r="K422" s="6">
        <v>-0.39505229468498598</v>
      </c>
      <c r="L422" s="6">
        <v>-0.35108146990886402</v>
      </c>
      <c r="N422" s="8">
        <f>SQRT((C422-Sheet5!$C$525)^2+(D422-Sheet5!$D$525)^2+(E422-Sheet5!$E$525)^2+(F422-Sheet5!$F$525)^2+(G422-Sheet5!$G$525)^2+(H422-Sheet5!$H$525)^2+(I422-Sheet5!$I$525)^2+(J422-Sheet5!$J$525)^2+(K422-Sheet5!$K$525)^2+(L422-Sheet5!$L$525)^2)</f>
        <v>3.9595716839571553</v>
      </c>
      <c r="O422" s="8">
        <f>SQRT((C422-Sheet5!$C$526)^2+(D422-Sheet5!$D$526)^2+(E422-Sheet5!$E$526)^2+(F422-Sheet5!$F$526)^2+(G422-Sheet5!$G$526)^2+(H422-Sheet5!$H$526)^2+(I422-Sheet5!$I$526)^2+(J422-Sheet5!$J$526)^2+(K422-Sheet5!$K$526)^2+(L422-Sheet5!$L$526)^2)</f>
        <v>1.3503491725324246</v>
      </c>
      <c r="P422" s="12">
        <f t="shared" si="6"/>
        <v>1</v>
      </c>
      <c r="Q422" s="11">
        <f>IF(P422=Sheet1!$M422, 1, 0)</f>
        <v>0</v>
      </c>
    </row>
    <row r="423" spans="1:17" x14ac:dyDescent="0.35">
      <c r="A423" s="6" t="s">
        <v>436</v>
      </c>
      <c r="B423" s="6" t="s">
        <v>460</v>
      </c>
      <c r="C423" s="6">
        <v>-0.55467795915568396</v>
      </c>
      <c r="D423" s="6">
        <v>1.5365217760497798</v>
      </c>
      <c r="E423" s="6">
        <v>1.0286285896143106</v>
      </c>
      <c r="F423" s="6">
        <v>1.3023582319319358</v>
      </c>
      <c r="G423" s="6">
        <v>0.3667685047372492</v>
      </c>
      <c r="H423" s="6">
        <v>0.80190611309566284</v>
      </c>
      <c r="I423" s="6">
        <v>0.70656119902927417</v>
      </c>
      <c r="J423" s="6">
        <v>1.4312560434235169</v>
      </c>
      <c r="K423" s="6">
        <v>-1.4889182036393132</v>
      </c>
      <c r="L423" s="6">
        <v>-0.33841158757055206</v>
      </c>
      <c r="N423" s="8">
        <f>SQRT((C423-Sheet5!$C$525)^2+(D423-Sheet5!$D$525)^2+(E423-Sheet5!$E$525)^2+(F423-Sheet5!$F$525)^2+(G423-Sheet5!$G$525)^2+(H423-Sheet5!$H$525)^2+(I423-Sheet5!$I$525)^2+(J423-Sheet5!$J$525)^2+(K423-Sheet5!$K$525)^2+(L423-Sheet5!$L$525)^2)</f>
        <v>4.2873433219009307</v>
      </c>
      <c r="O423" s="8">
        <f>SQRT((C423-Sheet5!$C$526)^2+(D423-Sheet5!$D$526)^2+(E423-Sheet5!$E$526)^2+(F423-Sheet5!$F$526)^2+(G423-Sheet5!$G$526)^2+(H423-Sheet5!$H$526)^2+(I423-Sheet5!$I$526)^2+(J423-Sheet5!$J$526)^2+(K423-Sheet5!$K$526)^2+(L423-Sheet5!$L$526)^2)</f>
        <v>1.6181341928266852</v>
      </c>
      <c r="P423" s="12">
        <f t="shared" si="6"/>
        <v>1</v>
      </c>
      <c r="Q423" s="11">
        <f>IF(P423=Sheet1!$M423, 1, 0)</f>
        <v>0</v>
      </c>
    </row>
    <row r="424" spans="1:17" x14ac:dyDescent="0.35">
      <c r="A424" s="6" t="s">
        <v>461</v>
      </c>
      <c r="B424" s="6" t="s">
        <v>462</v>
      </c>
      <c r="C424" s="6">
        <v>0.22101061873533842</v>
      </c>
      <c r="D424" s="6">
        <v>-0.31708658502281611</v>
      </c>
      <c r="E424" s="6">
        <v>-1.1054662738035692</v>
      </c>
      <c r="F424" s="6">
        <v>-0.5556819577197375</v>
      </c>
      <c r="G424" s="6">
        <v>-0.36781919075684721</v>
      </c>
      <c r="H424" s="6">
        <v>0.11676315366138909</v>
      </c>
      <c r="I424" s="6">
        <v>0.81876046723840046</v>
      </c>
      <c r="J424" s="6">
        <v>-0.12127761421384972</v>
      </c>
      <c r="K424" s="6">
        <v>-0.78940738632517227</v>
      </c>
      <c r="L424" s="6">
        <v>-0.39944980129945162</v>
      </c>
      <c r="N424" s="8">
        <f>SQRT((C424-Sheet5!$C$525)^2+(D424-Sheet5!$D$525)^2+(E424-Sheet5!$E$525)^2+(F424-Sheet5!$F$525)^2+(G424-Sheet5!$G$525)^2+(H424-Sheet5!$H$525)^2+(I424-Sheet5!$I$525)^2+(J424-Sheet5!$J$525)^2+(K424-Sheet5!$K$525)^2+(L424-Sheet5!$L$525)^2)</f>
        <v>1.7247975763568892</v>
      </c>
      <c r="O424" s="8">
        <f>SQRT((C424-Sheet5!$C$526)^2+(D424-Sheet5!$D$526)^2+(E424-Sheet5!$E$526)^2+(F424-Sheet5!$F$526)^2+(G424-Sheet5!$G$526)^2+(H424-Sheet5!$H$526)^2+(I424-Sheet5!$I$526)^2+(J424-Sheet5!$J$526)^2+(K424-Sheet5!$K$526)^2+(L424-Sheet5!$L$526)^2)</f>
        <v>3.6758325146784685</v>
      </c>
      <c r="P424" s="12">
        <f t="shared" si="6"/>
        <v>0</v>
      </c>
      <c r="Q424" s="11">
        <f>IF(P424=Sheet1!$M424, 1, 0)</f>
        <v>1</v>
      </c>
    </row>
    <row r="425" spans="1:17" x14ac:dyDescent="0.35">
      <c r="A425" s="6" t="s">
        <v>461</v>
      </c>
      <c r="B425" s="6" t="s">
        <v>463</v>
      </c>
      <c r="C425" s="6">
        <v>0.17001379181516729</v>
      </c>
      <c r="D425" s="6">
        <v>1.4353320599436772E-2</v>
      </c>
      <c r="E425" s="6">
        <v>-0.77612382465881091</v>
      </c>
      <c r="F425" s="6">
        <v>-0.11659285817518657</v>
      </c>
      <c r="G425" s="6">
        <v>0.21868956216729157</v>
      </c>
      <c r="H425" s="6">
        <v>0.14261760496079509</v>
      </c>
      <c r="I425" s="6">
        <v>0.44391291208518358</v>
      </c>
      <c r="J425" s="6">
        <v>-3.3971320508081118E-2</v>
      </c>
      <c r="K425" s="6">
        <v>-0.46390794560628812</v>
      </c>
      <c r="L425" s="6">
        <v>-0.34966833982826817</v>
      </c>
      <c r="N425" s="8">
        <f>SQRT((C425-Sheet5!$C$525)^2+(D425-Sheet5!$D$525)^2+(E425-Sheet5!$E$525)^2+(F425-Sheet5!$F$525)^2+(G425-Sheet5!$G$525)^2+(H425-Sheet5!$H$525)^2+(I425-Sheet5!$I$525)^2+(J425-Sheet5!$J$525)^2+(K425-Sheet5!$K$525)^2+(L425-Sheet5!$L$525)^2)</f>
        <v>1.4224462352744442</v>
      </c>
      <c r="O425" s="8">
        <f>SQRT((C425-Sheet5!$C$526)^2+(D425-Sheet5!$D$526)^2+(E425-Sheet5!$E$526)^2+(F425-Sheet5!$F$526)^2+(G425-Sheet5!$G$526)^2+(H425-Sheet5!$H$526)^2+(I425-Sheet5!$I$526)^2+(J425-Sheet5!$J$526)^2+(K425-Sheet5!$K$526)^2+(L425-Sheet5!$L$526)^2)</f>
        <v>2.962732344610592</v>
      </c>
      <c r="P425" s="12">
        <f t="shared" si="6"/>
        <v>0</v>
      </c>
      <c r="Q425" s="11">
        <f>IF(P425=Sheet1!$M425, 1, 0)</f>
        <v>1</v>
      </c>
    </row>
    <row r="426" spans="1:17" x14ac:dyDescent="0.35">
      <c r="A426" s="6" t="s">
        <v>461</v>
      </c>
      <c r="B426" s="6" t="s">
        <v>464</v>
      </c>
      <c r="C426" s="6">
        <v>0.10157068200125358</v>
      </c>
      <c r="D426" s="6">
        <v>0.47468652285256496</v>
      </c>
      <c r="E426" s="6">
        <v>-6.4022086183623345E-2</v>
      </c>
      <c r="F426" s="6">
        <v>0.23930041198197502</v>
      </c>
      <c r="G426" s="6">
        <v>0.1925579840667101</v>
      </c>
      <c r="H426" s="6">
        <v>0.6742497598048427</v>
      </c>
      <c r="I426" s="6">
        <v>7.416532366874598E-2</v>
      </c>
      <c r="J426" s="6">
        <v>-0.18960427885314726</v>
      </c>
      <c r="K426" s="6">
        <v>8.3807459449527055E-2</v>
      </c>
      <c r="L426" s="6">
        <v>-0.29540686108575182</v>
      </c>
      <c r="N426" s="8">
        <f>SQRT((C426-Sheet5!$C$525)^2+(D426-Sheet5!$D$525)^2+(E426-Sheet5!$E$525)^2+(F426-Sheet5!$F$525)^2+(G426-Sheet5!$G$525)^2+(H426-Sheet5!$H$525)^2+(I426-Sheet5!$I$525)^2+(J426-Sheet5!$J$525)^2+(K426-Sheet5!$K$525)^2+(L426-Sheet5!$L$525)^2)</f>
        <v>1.6434637751723946</v>
      </c>
      <c r="O426" s="8">
        <f>SQRT((C426-Sheet5!$C$526)^2+(D426-Sheet5!$D$526)^2+(E426-Sheet5!$E$526)^2+(F426-Sheet5!$F$526)^2+(G426-Sheet5!$G$526)^2+(H426-Sheet5!$H$526)^2+(I426-Sheet5!$I$526)^2+(J426-Sheet5!$J$526)^2+(K426-Sheet5!$K$526)^2+(L426-Sheet5!$L$526)^2)</f>
        <v>2.4491746371001812</v>
      </c>
      <c r="P426" s="12">
        <f t="shared" si="6"/>
        <v>0</v>
      </c>
      <c r="Q426" s="11">
        <f>IF(P426=Sheet1!$M426, 1, 0)</f>
        <v>1</v>
      </c>
    </row>
    <row r="427" spans="1:17" x14ac:dyDescent="0.35">
      <c r="A427" s="6" t="s">
        <v>461</v>
      </c>
      <c r="B427" s="6" t="s">
        <v>465</v>
      </c>
      <c r="C427" s="6">
        <v>2.1049376337825686E-2</v>
      </c>
      <c r="D427" s="6">
        <v>0.33965545019164695</v>
      </c>
      <c r="E427" s="6">
        <v>0.81054052485626049</v>
      </c>
      <c r="F427" s="6">
        <v>0.55975842147413724</v>
      </c>
      <c r="G427" s="6">
        <v>0.45097025639467292</v>
      </c>
      <c r="H427" s="6">
        <v>0.54659340651402255</v>
      </c>
      <c r="I427" s="6">
        <v>3.5278077300810312E-2</v>
      </c>
      <c r="J427" s="6">
        <v>-0.54642130530281074</v>
      </c>
      <c r="K427" s="6">
        <v>5.72041397753872E-2</v>
      </c>
      <c r="L427" s="6">
        <v>-6.1948013797814845E-2</v>
      </c>
      <c r="N427" s="8">
        <f>SQRT((C427-Sheet5!$C$525)^2+(D427-Sheet5!$D$525)^2+(E427-Sheet5!$E$525)^2+(F427-Sheet5!$F$525)^2+(G427-Sheet5!$G$525)^2+(H427-Sheet5!$H$525)^2+(I427-Sheet5!$I$525)^2+(J427-Sheet5!$J$525)^2+(K427-Sheet5!$K$525)^2+(L427-Sheet5!$L$525)^2)</f>
        <v>2.1331475643801188</v>
      </c>
      <c r="O427" s="8">
        <f>SQRT((C427-Sheet5!$C$526)^2+(D427-Sheet5!$D$526)^2+(E427-Sheet5!$E$526)^2+(F427-Sheet5!$F$526)^2+(G427-Sheet5!$G$526)^2+(H427-Sheet5!$H$526)^2+(I427-Sheet5!$I$526)^2+(J427-Sheet5!$J$526)^2+(K427-Sheet5!$K$526)^2+(L427-Sheet5!$L$526)^2)</f>
        <v>2.194749975734152</v>
      </c>
      <c r="P427" s="12">
        <f t="shared" si="6"/>
        <v>0</v>
      </c>
      <c r="Q427" s="11">
        <f>IF(P427=Sheet1!$M427, 1, 0)</f>
        <v>1</v>
      </c>
    </row>
    <row r="428" spans="1:17" x14ac:dyDescent="0.35">
      <c r="A428" s="6" t="s">
        <v>461</v>
      </c>
      <c r="B428" s="6" t="s">
        <v>466</v>
      </c>
      <c r="C428" s="6">
        <v>-0.12523099561740172</v>
      </c>
      <c r="D428" s="6">
        <v>-0.20046884045202393</v>
      </c>
      <c r="E428" s="6">
        <v>-0.46630615158191868</v>
      </c>
      <c r="F428" s="6">
        <v>-0.20749200509844473</v>
      </c>
      <c r="G428" s="6">
        <v>0.35225096134803863</v>
      </c>
      <c r="H428" s="6">
        <v>-2.4359059681205286E-2</v>
      </c>
      <c r="I428" s="6">
        <v>0.11815253677345998</v>
      </c>
      <c r="J428" s="6">
        <v>-1.1082183256703664</v>
      </c>
      <c r="K428" s="6">
        <v>0.39365788859538886</v>
      </c>
      <c r="L428" s="6">
        <v>-0.27808146421827878</v>
      </c>
      <c r="N428" s="8">
        <f>SQRT((C428-Sheet5!$C$525)^2+(D428-Sheet5!$D$525)^2+(E428-Sheet5!$E$525)^2+(F428-Sheet5!$F$525)^2+(G428-Sheet5!$G$525)^2+(H428-Sheet5!$H$525)^2+(I428-Sheet5!$I$525)^2+(J428-Sheet5!$J$525)^2+(K428-Sheet5!$K$525)^2+(L428-Sheet5!$L$525)^2)</f>
        <v>1.2088605200293738</v>
      </c>
      <c r="O428" s="8">
        <f>SQRT((C428-Sheet5!$C$526)^2+(D428-Sheet5!$D$526)^2+(E428-Sheet5!$E$526)^2+(F428-Sheet5!$F$526)^2+(G428-Sheet5!$G$526)^2+(H428-Sheet5!$H$526)^2+(I428-Sheet5!$I$526)^2+(J428-Sheet5!$J$526)^2+(K428-Sheet5!$K$526)^2+(L428-Sheet5!$L$526)^2)</f>
        <v>3.5289894583642143</v>
      </c>
      <c r="P428" s="12">
        <f t="shared" si="6"/>
        <v>0</v>
      </c>
      <c r="Q428" s="11">
        <f>IF(P428=Sheet1!$M428, 1, 0)</f>
        <v>1</v>
      </c>
    </row>
    <row r="429" spans="1:17" x14ac:dyDescent="0.35">
      <c r="A429" s="6" t="s">
        <v>461</v>
      </c>
      <c r="B429" s="6" t="s">
        <v>467</v>
      </c>
      <c r="C429" s="6">
        <v>-0.2030682577587154</v>
      </c>
      <c r="D429" s="6">
        <v>-0.24343327266231607</v>
      </c>
      <c r="E429" s="6">
        <v>-0.74223176054100581</v>
      </c>
      <c r="F429" s="6">
        <v>-0.56646660226995338</v>
      </c>
      <c r="G429" s="6">
        <v>-0.16457358330788699</v>
      </c>
      <c r="H429" s="6">
        <v>0.28535572150960242</v>
      </c>
      <c r="I429" s="6">
        <v>0.44136292871679483</v>
      </c>
      <c r="J429" s="6">
        <v>-0.71723796690105412</v>
      </c>
      <c r="K429" s="6">
        <v>0.51728508002227158</v>
      </c>
      <c r="L429" s="6">
        <v>-0.35710339325793472</v>
      </c>
      <c r="N429" s="8">
        <f>SQRT((C429-Sheet5!$C$525)^2+(D429-Sheet5!$D$525)^2+(E429-Sheet5!$E$525)^2+(F429-Sheet5!$F$525)^2+(G429-Sheet5!$G$525)^2+(H429-Sheet5!$H$525)^2+(I429-Sheet5!$I$525)^2+(J429-Sheet5!$J$525)^2+(K429-Sheet5!$K$525)^2+(L429-Sheet5!$L$525)^2)</f>
        <v>1.1848949545667484</v>
      </c>
      <c r="O429" s="8">
        <f>SQRT((C429-Sheet5!$C$526)^2+(D429-Sheet5!$D$526)^2+(E429-Sheet5!$E$526)^2+(F429-Sheet5!$F$526)^2+(G429-Sheet5!$G$526)^2+(H429-Sheet5!$H$526)^2+(I429-Sheet5!$I$526)^2+(J429-Sheet5!$J$526)^2+(K429-Sheet5!$K$526)^2+(L429-Sheet5!$L$526)^2)</f>
        <v>3.6775890721393787</v>
      </c>
      <c r="P429" s="12">
        <f t="shared" si="6"/>
        <v>0</v>
      </c>
      <c r="Q429" s="11">
        <f>IF(P429=Sheet1!$M429, 1, 0)</f>
        <v>1</v>
      </c>
    </row>
    <row r="430" spans="1:17" x14ac:dyDescent="0.35">
      <c r="A430" s="6" t="s">
        <v>461</v>
      </c>
      <c r="B430" s="6" t="s">
        <v>468</v>
      </c>
      <c r="C430" s="6">
        <v>0.35387077307999454</v>
      </c>
      <c r="D430" s="6">
        <v>-0.16977996030181494</v>
      </c>
      <c r="E430" s="6">
        <v>-0.38489151929893034</v>
      </c>
      <c r="F430" s="6">
        <v>-8.7464126730160494E-3</v>
      </c>
      <c r="G430" s="6">
        <v>0.23901412291218965</v>
      </c>
      <c r="H430" s="6">
        <v>0.41947568762527365</v>
      </c>
      <c r="I430" s="6">
        <v>0.57906203060981287</v>
      </c>
      <c r="J430" s="6">
        <v>-1.0474835126576578</v>
      </c>
      <c r="K430" s="6">
        <v>0.18239623235957309</v>
      </c>
      <c r="L430" s="6">
        <v>-0.39163838680203855</v>
      </c>
      <c r="N430" s="8">
        <f>SQRT((C430-Sheet5!$C$525)^2+(D430-Sheet5!$D$525)^2+(E430-Sheet5!$E$525)^2+(F430-Sheet5!$F$525)^2+(G430-Sheet5!$G$525)^2+(H430-Sheet5!$H$525)^2+(I430-Sheet5!$I$525)^2+(J430-Sheet5!$J$525)^2+(K430-Sheet5!$K$525)^2+(L430-Sheet5!$L$525)^2)</f>
        <v>1.4899093639389822</v>
      </c>
      <c r="O430" s="8">
        <f>SQRT((C430-Sheet5!$C$526)^2+(D430-Sheet5!$D$526)^2+(E430-Sheet5!$E$526)^2+(F430-Sheet5!$F$526)^2+(G430-Sheet5!$G$526)^2+(H430-Sheet5!$H$526)^2+(I430-Sheet5!$I$526)^2+(J430-Sheet5!$J$526)^2+(K430-Sheet5!$K$526)^2+(L430-Sheet5!$L$526)^2)</f>
        <v>3.3794276999047721</v>
      </c>
      <c r="P430" s="12">
        <f t="shared" si="6"/>
        <v>0</v>
      </c>
      <c r="Q430" s="11">
        <f>IF(P430=Sheet1!$M430, 1, 0)</f>
        <v>1</v>
      </c>
    </row>
    <row r="431" spans="1:17" x14ac:dyDescent="0.35">
      <c r="A431" s="6" t="s">
        <v>461</v>
      </c>
      <c r="B431" s="6" t="s">
        <v>469</v>
      </c>
      <c r="C431" s="6">
        <v>0.20356433584159561</v>
      </c>
      <c r="D431" s="6">
        <v>-0.13295330412156439</v>
      </c>
      <c r="E431" s="6">
        <v>-2.9761630064537754E-2</v>
      </c>
      <c r="F431" s="6">
        <v>-6.5750962438449509E-2</v>
      </c>
      <c r="G431" s="6">
        <v>0.20417201877808103</v>
      </c>
      <c r="H431" s="6">
        <v>0.48357318147171974</v>
      </c>
      <c r="I431" s="6">
        <v>0.12006502429975198</v>
      </c>
      <c r="J431" s="6">
        <v>-0.71344204108775977</v>
      </c>
      <c r="K431" s="6">
        <v>1.6111509889766009</v>
      </c>
      <c r="L431" s="6">
        <v>-0.32259048574806409</v>
      </c>
      <c r="N431" s="8">
        <f>SQRT((C431-Sheet5!$C$525)^2+(D431-Sheet5!$D$525)^2+(E431-Sheet5!$E$525)^2+(F431-Sheet5!$F$525)^2+(G431-Sheet5!$G$525)^2+(H431-Sheet5!$H$525)^2+(I431-Sheet5!$I$525)^2+(J431-Sheet5!$J$525)^2+(K431-Sheet5!$K$525)^2+(L431-Sheet5!$L$525)^2)</f>
        <v>1.8436444663908869</v>
      </c>
      <c r="O431" s="8">
        <f>SQRT((C431-Sheet5!$C$526)^2+(D431-Sheet5!$D$526)^2+(E431-Sheet5!$E$526)^2+(F431-Sheet5!$F$526)^2+(G431-Sheet5!$G$526)^2+(H431-Sheet5!$H$526)^2+(I431-Sheet5!$I$526)^2+(J431-Sheet5!$J$526)^2+(K431-Sheet5!$K$526)^2+(L431-Sheet5!$L$526)^2)</f>
        <v>3.6593855089304106</v>
      </c>
      <c r="P431" s="12">
        <f t="shared" si="6"/>
        <v>0</v>
      </c>
      <c r="Q431" s="11">
        <f>IF(P431=Sheet1!$M431, 1, 0)</f>
        <v>1</v>
      </c>
    </row>
    <row r="432" spans="1:17" x14ac:dyDescent="0.35">
      <c r="A432" s="6" t="s">
        <v>461</v>
      </c>
      <c r="B432" s="6" t="s">
        <v>470</v>
      </c>
      <c r="C432" s="6">
        <v>0.35118672955788033</v>
      </c>
      <c r="D432" s="6">
        <v>0.3028287940113964</v>
      </c>
      <c r="E432" s="6">
        <v>-1.0421028495833249</v>
      </c>
      <c r="F432" s="6">
        <v>-0.28452518045713765</v>
      </c>
      <c r="G432" s="6">
        <v>0.36967201341509293</v>
      </c>
      <c r="H432" s="6">
        <v>-0.41863944199715492</v>
      </c>
      <c r="I432" s="6">
        <v>0.4273380201906542</v>
      </c>
      <c r="J432" s="6">
        <v>-0.78176870572705714</v>
      </c>
      <c r="K432" s="6">
        <v>0.96484681101073766</v>
      </c>
      <c r="L432" s="6">
        <v>-0.40999123350424566</v>
      </c>
      <c r="N432" s="8">
        <f>SQRT((C432-Sheet5!$C$525)^2+(D432-Sheet5!$D$525)^2+(E432-Sheet5!$E$525)^2+(F432-Sheet5!$F$525)^2+(G432-Sheet5!$G$525)^2+(H432-Sheet5!$H$525)^2+(I432-Sheet5!$I$525)^2+(J432-Sheet5!$J$525)^2+(K432-Sheet5!$K$525)^2+(L432-Sheet5!$L$525)^2)</f>
        <v>1.6227291623767748</v>
      </c>
      <c r="O432" s="8">
        <f>SQRT((C432-Sheet5!$C$526)^2+(D432-Sheet5!$D$526)^2+(E432-Sheet5!$E$526)^2+(F432-Sheet5!$F$526)^2+(G432-Sheet5!$G$526)^2+(H432-Sheet5!$H$526)^2+(I432-Sheet5!$I$526)^2+(J432-Sheet5!$J$526)^2+(K432-Sheet5!$K$526)^2+(L432-Sheet5!$L$526)^2)</f>
        <v>3.9176815131845415</v>
      </c>
      <c r="P432" s="12">
        <f t="shared" si="6"/>
        <v>0</v>
      </c>
      <c r="Q432" s="11">
        <f>IF(P432=Sheet1!$M432, 1, 0)</f>
        <v>1</v>
      </c>
    </row>
    <row r="433" spans="1:17" x14ac:dyDescent="0.35">
      <c r="A433" s="6" t="s">
        <v>461</v>
      </c>
      <c r="B433" s="6" t="s">
        <v>471</v>
      </c>
      <c r="C433" s="6">
        <v>0.27469148917762376</v>
      </c>
      <c r="D433" s="6">
        <v>0.5299265071229402</v>
      </c>
      <c r="E433" s="6">
        <v>-0.42136232742569885</v>
      </c>
      <c r="F433" s="6">
        <v>4.6717473585242759E-2</v>
      </c>
      <c r="G433" s="6">
        <v>-3.6819201482827475E-2</v>
      </c>
      <c r="H433" s="6">
        <v>-3.3515844516411868E-2</v>
      </c>
      <c r="I433" s="6">
        <v>-0.25988249759024229</v>
      </c>
      <c r="J433" s="6">
        <v>-0.64511537644846251</v>
      </c>
      <c r="K433" s="6">
        <v>0.17770152888766591</v>
      </c>
      <c r="L433" s="6">
        <v>-0.39713574071929858</v>
      </c>
      <c r="N433" s="8">
        <f>SQRT((C433-Sheet5!$C$525)^2+(D433-Sheet5!$D$525)^2+(E433-Sheet5!$E$525)^2+(F433-Sheet5!$F$525)^2+(G433-Sheet5!$G$525)^2+(H433-Sheet5!$H$525)^2+(I433-Sheet5!$I$525)^2+(J433-Sheet5!$J$525)^2+(K433-Sheet5!$K$525)^2+(L433-Sheet5!$L$525)^2)</f>
        <v>1.1351634394780916</v>
      </c>
      <c r="O433" s="8">
        <f>SQRT((C433-Sheet5!$C$526)^2+(D433-Sheet5!$D$526)^2+(E433-Sheet5!$E$526)^2+(F433-Sheet5!$F$526)^2+(G433-Sheet5!$G$526)^2+(H433-Sheet5!$H$526)^2+(I433-Sheet5!$I$526)^2+(J433-Sheet5!$J$526)^2+(K433-Sheet5!$K$526)^2+(L433-Sheet5!$L$526)^2)</f>
        <v>3.2324215126346889</v>
      </c>
      <c r="P433" s="12">
        <f t="shared" si="6"/>
        <v>0</v>
      </c>
      <c r="Q433" s="11">
        <f>IF(P433=Sheet1!$M433, 1, 0)</f>
        <v>1</v>
      </c>
    </row>
    <row r="434" spans="1:17" x14ac:dyDescent="0.35">
      <c r="A434" s="6" t="s">
        <v>461</v>
      </c>
      <c r="B434" s="6" t="s">
        <v>472</v>
      </c>
      <c r="C434" s="6">
        <v>0.2787175544607951</v>
      </c>
      <c r="D434" s="6">
        <v>-0.36618879326314979</v>
      </c>
      <c r="E434" s="6">
        <v>-0.94742610525423887</v>
      </c>
      <c r="F434" s="6">
        <v>-0.33382641268670005</v>
      </c>
      <c r="G434" s="6">
        <v>0.91843515352727934</v>
      </c>
      <c r="H434" s="6">
        <v>0.60368865313354547</v>
      </c>
      <c r="I434" s="6">
        <v>0.55674967613640747</v>
      </c>
      <c r="J434" s="6">
        <v>-0.61474796994210812</v>
      </c>
      <c r="K434" s="6">
        <v>0.83339511379734366</v>
      </c>
      <c r="L434" s="6">
        <v>-0.38760510501973633</v>
      </c>
      <c r="N434" s="8">
        <f>SQRT((C434-Sheet5!$C$525)^2+(D434-Sheet5!$D$525)^2+(E434-Sheet5!$E$525)^2+(F434-Sheet5!$F$525)^2+(G434-Sheet5!$G$525)^2+(H434-Sheet5!$H$525)^2+(I434-Sheet5!$I$525)^2+(J434-Sheet5!$J$525)^2+(K434-Sheet5!$K$525)^2+(L434-Sheet5!$L$525)^2)</f>
        <v>1.9455396426574791</v>
      </c>
      <c r="O434" s="8">
        <f>SQRT((C434-Sheet5!$C$526)^2+(D434-Sheet5!$D$526)^2+(E434-Sheet5!$E$526)^2+(F434-Sheet5!$F$526)^2+(G434-Sheet5!$G$526)^2+(H434-Sheet5!$H$526)^2+(I434-Sheet5!$I$526)^2+(J434-Sheet5!$J$526)^2+(K434-Sheet5!$K$526)^2+(L434-Sheet5!$L$526)^2)</f>
        <v>3.7174430085702239</v>
      </c>
      <c r="P434" s="12">
        <f t="shared" si="6"/>
        <v>0</v>
      </c>
      <c r="Q434" s="11">
        <f>IF(P434=Sheet1!$M434, 1, 0)</f>
        <v>1</v>
      </c>
    </row>
    <row r="435" spans="1:17" x14ac:dyDescent="0.35">
      <c r="A435" s="6" t="s">
        <v>461</v>
      </c>
      <c r="B435" s="6" t="s">
        <v>473</v>
      </c>
      <c r="C435" s="6">
        <v>0.74305708378656277</v>
      </c>
      <c r="D435" s="6">
        <v>0.60357981948344031</v>
      </c>
      <c r="E435" s="6">
        <v>-1.3213439865539365</v>
      </c>
      <c r="F435" s="6">
        <v>-0.64658110464299345</v>
      </c>
      <c r="G435" s="6">
        <v>-0.35620515604547631</v>
      </c>
      <c r="H435" s="6">
        <v>6.343834785636257E-2</v>
      </c>
      <c r="I435" s="6">
        <v>0.80601055039645408</v>
      </c>
      <c r="J435" s="6">
        <v>-1.2258920258824895</v>
      </c>
      <c r="K435" s="6">
        <v>0.20273994740450488</v>
      </c>
      <c r="L435" s="6">
        <v>-0.43655914466537615</v>
      </c>
      <c r="N435" s="8">
        <f>SQRT((C435-Sheet5!$C$525)^2+(D435-Sheet5!$D$525)^2+(E435-Sheet5!$E$525)^2+(F435-Sheet5!$F$525)^2+(G435-Sheet5!$G$525)^2+(H435-Sheet5!$H$525)^2+(I435-Sheet5!$I$525)^2+(J435-Sheet5!$J$525)^2+(K435-Sheet5!$K$525)^2+(L435-Sheet5!$L$525)^2)</f>
        <v>2.0123903420550864</v>
      </c>
      <c r="O435" s="8">
        <f>SQRT((C435-Sheet5!$C$526)^2+(D435-Sheet5!$D$526)^2+(E435-Sheet5!$E$526)^2+(F435-Sheet5!$F$526)^2+(G435-Sheet5!$G$526)^2+(H435-Sheet5!$H$526)^2+(I435-Sheet5!$I$526)^2+(J435-Sheet5!$J$526)^2+(K435-Sheet5!$K$526)^2+(L435-Sheet5!$L$526)^2)</f>
        <v>4.3368363442071178</v>
      </c>
      <c r="P435" s="12">
        <f t="shared" si="6"/>
        <v>0</v>
      </c>
      <c r="Q435" s="11">
        <f>IF(P435=Sheet1!$M435, 1, 0)</f>
        <v>1</v>
      </c>
    </row>
    <row r="436" spans="1:17" x14ac:dyDescent="0.35">
      <c r="A436" s="6" t="s">
        <v>461</v>
      </c>
      <c r="B436" s="6" t="s">
        <v>474</v>
      </c>
      <c r="C436" s="6">
        <v>0.22637870577956709</v>
      </c>
      <c r="D436" s="6">
        <v>-0.69762869888540213</v>
      </c>
      <c r="E436" s="6">
        <v>-1.0398924975756421</v>
      </c>
      <c r="F436" s="6">
        <v>-0.68509769232233986</v>
      </c>
      <c r="G436" s="6">
        <v>0.20126851010023725</v>
      </c>
      <c r="H436" s="6">
        <v>-0.22473105725160605</v>
      </c>
      <c r="I436" s="6">
        <v>0.64026163145115478</v>
      </c>
      <c r="J436" s="6">
        <v>-0.84250351873976592</v>
      </c>
      <c r="K436" s="6">
        <v>0.39052808628078256</v>
      </c>
      <c r="L436" s="6">
        <v>-0.4186855878905491</v>
      </c>
      <c r="N436" s="8">
        <f>SQRT((C436-Sheet5!$C$525)^2+(D436-Sheet5!$D$525)^2+(E436-Sheet5!$E$525)^2+(F436-Sheet5!$F$525)^2+(G436-Sheet5!$G$525)^2+(H436-Sheet5!$H$525)^2+(I436-Sheet5!$I$525)^2+(J436-Sheet5!$J$525)^2+(K436-Sheet5!$K$525)^2+(L436-Sheet5!$L$525)^2)</f>
        <v>1.3963584051623072</v>
      </c>
      <c r="O436" s="8">
        <f>SQRT((C436-Sheet5!$C$526)^2+(D436-Sheet5!$D$526)^2+(E436-Sheet5!$E$526)^2+(F436-Sheet5!$F$526)^2+(G436-Sheet5!$G$526)^2+(H436-Sheet5!$H$526)^2+(I436-Sheet5!$I$526)^2+(J436-Sheet5!$J$526)^2+(K436-Sheet5!$K$526)^2+(L436-Sheet5!$L$526)^2)</f>
        <v>4.1427396872428313</v>
      </c>
      <c r="P436" s="12">
        <f t="shared" si="6"/>
        <v>0</v>
      </c>
      <c r="Q436" s="11">
        <f>IF(P436=Sheet1!$M436, 1, 0)</f>
        <v>1</v>
      </c>
    </row>
    <row r="437" spans="1:17" x14ac:dyDescent="0.35">
      <c r="A437" s="6" t="s">
        <v>461</v>
      </c>
      <c r="B437" s="6" t="s">
        <v>475</v>
      </c>
      <c r="C437" s="6">
        <v>0.47331070981407941</v>
      </c>
      <c r="D437" s="6">
        <v>-0.69149092285536051</v>
      </c>
      <c r="E437" s="6">
        <v>-1.1349376339060084</v>
      </c>
      <c r="F437" s="6">
        <v>-0.8283793984895097</v>
      </c>
      <c r="G437" s="6">
        <v>-0.57106479820580747</v>
      </c>
      <c r="H437" s="6">
        <v>0.50134811674006163</v>
      </c>
      <c r="I437" s="6">
        <v>0.44710039129567081</v>
      </c>
      <c r="J437" s="6">
        <v>-0.48948241810339638</v>
      </c>
      <c r="K437" s="6">
        <v>-0.86608754303298674</v>
      </c>
      <c r="L437" s="6">
        <v>-0.42216381440949263</v>
      </c>
      <c r="N437" s="8">
        <f>SQRT((C437-Sheet5!$C$525)^2+(D437-Sheet5!$D$525)^2+(E437-Sheet5!$E$525)^2+(F437-Sheet5!$F$525)^2+(G437-Sheet5!$G$525)^2+(H437-Sheet5!$H$525)^2+(I437-Sheet5!$I$525)^2+(J437-Sheet5!$J$525)^2+(K437-Sheet5!$K$525)^2+(L437-Sheet5!$L$525)^2)</f>
        <v>1.7912269451864111</v>
      </c>
      <c r="O437" s="8">
        <f>SQRT((C437-Sheet5!$C$526)^2+(D437-Sheet5!$D$526)^2+(E437-Sheet5!$E$526)^2+(F437-Sheet5!$F$526)^2+(G437-Sheet5!$G$526)^2+(H437-Sheet5!$H$526)^2+(I437-Sheet5!$I$526)^2+(J437-Sheet5!$J$526)^2+(K437-Sheet5!$K$526)^2+(L437-Sheet5!$L$526)^2)</f>
        <v>4.1844640455299098</v>
      </c>
      <c r="P437" s="12">
        <f t="shared" si="6"/>
        <v>0</v>
      </c>
      <c r="Q437" s="11">
        <f>IF(P437=Sheet1!$M437, 1, 0)</f>
        <v>1</v>
      </c>
    </row>
    <row r="438" spans="1:17" x14ac:dyDescent="0.35">
      <c r="A438" s="6" t="s">
        <v>461</v>
      </c>
      <c r="B438" s="6" t="s">
        <v>476</v>
      </c>
      <c r="C438" s="6">
        <v>0.31495214200933758</v>
      </c>
      <c r="D438" s="6">
        <v>-0.55032207416440093</v>
      </c>
      <c r="E438" s="6">
        <v>-1.1220439138611913</v>
      </c>
      <c r="F438" s="6">
        <v>-0.76059020417386036</v>
      </c>
      <c r="G438" s="6">
        <v>-0.57106479820580747</v>
      </c>
      <c r="H438" s="6">
        <v>0.53959115928710022</v>
      </c>
      <c r="I438" s="6">
        <v>0.70018624060830148</v>
      </c>
      <c r="J438" s="6">
        <v>-0.43254353090398201</v>
      </c>
      <c r="K438" s="6">
        <v>0.61587385293231978</v>
      </c>
      <c r="L438" s="6">
        <v>-0.41547408627887761</v>
      </c>
      <c r="N438" s="8">
        <f>SQRT((C438-Sheet5!$C$525)^2+(D438-Sheet5!$D$525)^2+(E438-Sheet5!$E$525)^2+(F438-Sheet5!$F$525)^2+(G438-Sheet5!$G$525)^2+(H438-Sheet5!$H$525)^2+(I438-Sheet5!$I$525)^2+(J438-Sheet5!$J$525)^2+(K438-Sheet5!$K$525)^2+(L438-Sheet5!$L$525)^2)</f>
        <v>1.5719499969144906</v>
      </c>
      <c r="O438" s="8">
        <f>SQRT((C438-Sheet5!$C$526)^2+(D438-Sheet5!$D$526)^2+(E438-Sheet5!$E$526)^2+(F438-Sheet5!$F$526)^2+(G438-Sheet5!$G$526)^2+(H438-Sheet5!$H$526)^2+(I438-Sheet5!$I$526)^2+(J438-Sheet5!$J$526)^2+(K438-Sheet5!$K$526)^2+(L438-Sheet5!$L$526)^2)</f>
        <v>4.1795144828457405</v>
      </c>
      <c r="P438" s="12">
        <f t="shared" si="6"/>
        <v>0</v>
      </c>
      <c r="Q438" s="11">
        <f>IF(P438=Sheet1!$M438, 1, 0)</f>
        <v>1</v>
      </c>
    </row>
    <row r="439" spans="1:17" x14ac:dyDescent="0.35">
      <c r="A439" s="6" t="s">
        <v>461</v>
      </c>
      <c r="B439" s="6" t="s">
        <v>477</v>
      </c>
      <c r="C439" s="6">
        <v>-0.99351907502136627</v>
      </c>
      <c r="D439" s="6">
        <v>2.5001526127663283</v>
      </c>
      <c r="E439" s="6">
        <v>1.485066279200838</v>
      </c>
      <c r="F439" s="6">
        <v>2.1913210755712536</v>
      </c>
      <c r="G439" s="6">
        <v>1.2116895299893509</v>
      </c>
      <c r="H439" s="6">
        <v>1.0432143252234567</v>
      </c>
      <c r="I439" s="6">
        <v>0.87358510965876879</v>
      </c>
      <c r="J439" s="6">
        <v>4.953904738439361E-2</v>
      </c>
      <c r="K439" s="6">
        <v>-0.64543647985335773</v>
      </c>
      <c r="L439" s="6">
        <v>-0.10027294574231024</v>
      </c>
      <c r="N439" s="8">
        <f>SQRT((C439-Sheet5!$C$525)^2+(D439-Sheet5!$D$525)^2+(E439-Sheet5!$E$525)^2+(F439-Sheet5!$F$525)^2+(G439-Sheet5!$G$525)^2+(H439-Sheet5!$H$525)^2+(I439-Sheet5!$I$525)^2+(J439-Sheet5!$J$525)^2+(K439-Sheet5!$K$525)^2+(L439-Sheet5!$L$525)^2)</f>
        <v>5.1789367543595208</v>
      </c>
      <c r="O439" s="8">
        <f>SQRT((C439-Sheet5!$C$526)^2+(D439-Sheet5!$D$526)^2+(E439-Sheet5!$E$526)^2+(F439-Sheet5!$F$526)^2+(G439-Sheet5!$G$526)^2+(H439-Sheet5!$H$526)^2+(I439-Sheet5!$I$526)^2+(J439-Sheet5!$J$526)^2+(K439-Sheet5!$K$526)^2+(L439-Sheet5!$L$526)^2)</f>
        <v>2.4073671889184012</v>
      </c>
      <c r="P439" s="12">
        <f t="shared" si="6"/>
        <v>1</v>
      </c>
      <c r="Q439" s="11">
        <f>IF(P439=Sheet1!$M439, 1, 0)</f>
        <v>0</v>
      </c>
    </row>
    <row r="440" spans="1:17" x14ac:dyDescent="0.35">
      <c r="A440" s="6" t="s">
        <v>461</v>
      </c>
      <c r="B440" s="6" t="s">
        <v>478</v>
      </c>
      <c r="C440" s="6">
        <v>-0.60299074255374074</v>
      </c>
      <c r="D440" s="6">
        <v>1.5181084479596552</v>
      </c>
      <c r="E440" s="6">
        <v>6.565189826710921E-2</v>
      </c>
      <c r="F440" s="6">
        <v>0.97573756841107939</v>
      </c>
      <c r="G440" s="6">
        <v>0.46258429110604382</v>
      </c>
      <c r="H440" s="6">
        <v>1.0491393036462382</v>
      </c>
      <c r="I440" s="6">
        <v>0.92649726455284509</v>
      </c>
      <c r="J440" s="6">
        <v>0.68725458401783501</v>
      </c>
      <c r="K440" s="6">
        <v>-8.0507162067217045E-2</v>
      </c>
      <c r="L440" s="6">
        <v>-0.31591989745411653</v>
      </c>
      <c r="N440" s="8">
        <f>SQRT((C440-Sheet5!$C$525)^2+(D440-Sheet5!$D$525)^2+(E440-Sheet5!$E$525)^2+(F440-Sheet5!$F$525)^2+(G440-Sheet5!$G$525)^2+(H440-Sheet5!$H$525)^2+(I440-Sheet5!$I$525)^2+(J440-Sheet5!$J$525)^2+(K440-Sheet5!$K$525)^2+(L440-Sheet5!$L$525)^2)</f>
        <v>3.4183527786685088</v>
      </c>
      <c r="O440" s="8">
        <f>SQRT((C440-Sheet5!$C$526)^2+(D440-Sheet5!$D$526)^2+(E440-Sheet5!$E$526)^2+(F440-Sheet5!$F$526)^2+(G440-Sheet5!$G$526)^2+(H440-Sheet5!$H$526)^2+(I440-Sheet5!$I$526)^2+(J440-Sheet5!$J$526)^2+(K440-Sheet5!$K$526)^2+(L440-Sheet5!$L$526)^2)</f>
        <v>1.6725388984958072</v>
      </c>
      <c r="P440" s="12">
        <f t="shared" si="6"/>
        <v>1</v>
      </c>
      <c r="Q440" s="11">
        <f>IF(P440=Sheet1!$M440, 1, 0)</f>
        <v>0</v>
      </c>
    </row>
    <row r="441" spans="1:17" x14ac:dyDescent="0.35">
      <c r="A441" s="6" t="s">
        <v>479</v>
      </c>
      <c r="B441" s="6" t="s">
        <v>480</v>
      </c>
      <c r="C441" s="6">
        <v>0.90275767335236168</v>
      </c>
      <c r="D441" s="6">
        <v>-0.88176197978665327</v>
      </c>
      <c r="E441" s="6">
        <v>-0.51014479973429705</v>
      </c>
      <c r="F441" s="6">
        <v>-0.5402753226479976</v>
      </c>
      <c r="G441" s="6">
        <v>-0.103599901073201</v>
      </c>
      <c r="H441" s="6">
        <v>-0.4514961405234848</v>
      </c>
      <c r="I441" s="6">
        <v>0.57842453476771516</v>
      </c>
      <c r="J441" s="6">
        <v>-0.5654009343692824</v>
      </c>
      <c r="K441" s="6">
        <v>-0.61100865439270668</v>
      </c>
      <c r="L441" s="6">
        <v>-0.38439393772835595</v>
      </c>
      <c r="N441" s="8">
        <f>SQRT((C441-Sheet5!$C$525)^2+(D441-Sheet5!$D$525)^2+(E441-Sheet5!$E$525)^2+(F441-Sheet5!$F$525)^2+(G441-Sheet5!$G$525)^2+(H441-Sheet5!$H$525)^2+(I441-Sheet5!$I$525)^2+(J441-Sheet5!$J$525)^2+(K441-Sheet5!$K$525)^2+(L441-Sheet5!$L$525)^2)</f>
        <v>1.5054615832233913</v>
      </c>
      <c r="O441" s="8">
        <f>SQRT((C441-Sheet5!$C$526)^2+(D441-Sheet5!$D$526)^2+(E441-Sheet5!$E$526)^2+(F441-Sheet5!$F$526)^2+(G441-Sheet5!$G$526)^2+(H441-Sheet5!$H$526)^2+(I441-Sheet5!$I$526)^2+(J441-Sheet5!$J$526)^2+(K441-Sheet5!$K$526)^2+(L441-Sheet5!$L$526)^2)</f>
        <v>4.0083632307742434</v>
      </c>
      <c r="P441" s="12">
        <f t="shared" si="6"/>
        <v>0</v>
      </c>
      <c r="Q441" s="11">
        <f>IF(P441=Sheet1!$M441, 1, 0)</f>
        <v>1</v>
      </c>
    </row>
    <row r="442" spans="1:17" x14ac:dyDescent="0.35">
      <c r="A442" s="6" t="s">
        <v>479</v>
      </c>
      <c r="B442" s="6" t="s">
        <v>481</v>
      </c>
      <c r="C442" s="6">
        <v>0.75379325787502005</v>
      </c>
      <c r="D442" s="6">
        <v>-0.69762869888540213</v>
      </c>
      <c r="E442" s="6">
        <v>-0.33626377512990563</v>
      </c>
      <c r="F442" s="6">
        <v>-0.39853427998800234</v>
      </c>
      <c r="G442" s="6">
        <v>-0.57106479820580747</v>
      </c>
      <c r="H442" s="6">
        <v>-2.0588618866708864E-2</v>
      </c>
      <c r="I442" s="6">
        <v>0.63579916055647312</v>
      </c>
      <c r="J442" s="6">
        <v>-1.1158101772969551</v>
      </c>
      <c r="K442" s="6">
        <v>-0.67829940415670786</v>
      </c>
      <c r="L442" s="6">
        <v>-0.26916472415331522</v>
      </c>
      <c r="N442" s="8">
        <f>SQRT((C442-Sheet5!$C$525)^2+(D442-Sheet5!$D$525)^2+(E442-Sheet5!$E$525)^2+(F442-Sheet5!$F$525)^2+(G442-Sheet5!$G$525)^2+(H442-Sheet5!$H$525)^2+(I442-Sheet5!$I$525)^2+(J442-Sheet5!$J$525)^2+(K442-Sheet5!$K$525)^2+(L442-Sheet5!$L$525)^2)</f>
        <v>1.6192970136658309</v>
      </c>
      <c r="O442" s="8">
        <f>SQRT((C442-Sheet5!$C$526)^2+(D442-Sheet5!$D$526)^2+(E442-Sheet5!$E$526)^2+(F442-Sheet5!$F$526)^2+(G442-Sheet5!$G$526)^2+(H442-Sheet5!$H$526)^2+(I442-Sheet5!$I$526)^2+(J442-Sheet5!$J$526)^2+(K442-Sheet5!$K$526)^2+(L442-Sheet5!$L$526)^2)</f>
        <v>4.0289669152796934</v>
      </c>
      <c r="P442" s="12">
        <f t="shared" si="6"/>
        <v>0</v>
      </c>
      <c r="Q442" s="11">
        <f>IF(P442=Sheet1!$M442, 1, 0)</f>
        <v>1</v>
      </c>
    </row>
    <row r="443" spans="1:17" x14ac:dyDescent="0.35">
      <c r="A443" s="6" t="s">
        <v>479</v>
      </c>
      <c r="B443" s="6" t="s">
        <v>482</v>
      </c>
      <c r="C443" s="6">
        <v>0.77929167133510524</v>
      </c>
      <c r="D443" s="6">
        <v>-0.72217980300556894</v>
      </c>
      <c r="E443" s="6">
        <v>3.1023050146743131E-2</v>
      </c>
      <c r="F443" s="6">
        <v>-0.63579646009277746</v>
      </c>
      <c r="G443" s="6">
        <v>-1.5553542399943394</v>
      </c>
      <c r="H443" s="6">
        <v>-5.829302701167615E-2</v>
      </c>
      <c r="I443" s="6">
        <v>0.50957498382120625</v>
      </c>
      <c r="J443" s="6">
        <v>-0.99054462545824329</v>
      </c>
      <c r="K443" s="6">
        <v>9.7891569865248551E-2</v>
      </c>
      <c r="L443" s="6">
        <v>-0.36065771943314812</v>
      </c>
      <c r="N443" s="8">
        <f>SQRT((C443-Sheet5!$C$525)^2+(D443-Sheet5!$D$525)^2+(E443-Sheet5!$E$525)^2+(F443-Sheet5!$F$525)^2+(G443-Sheet5!$G$525)^2+(H443-Sheet5!$H$525)^2+(I443-Sheet5!$I$525)^2+(J443-Sheet5!$J$525)^2+(K443-Sheet5!$K$525)^2+(L443-Sheet5!$L$525)^2)</f>
        <v>1.7681874495896559</v>
      </c>
      <c r="O443" s="8">
        <f>SQRT((C443-Sheet5!$C$526)^2+(D443-Sheet5!$D$526)^2+(E443-Sheet5!$E$526)^2+(F443-Sheet5!$F$526)^2+(G443-Sheet5!$G$526)^2+(H443-Sheet5!$H$526)^2+(I443-Sheet5!$I$526)^2+(J443-Sheet5!$J$526)^2+(K443-Sheet5!$K$526)^2+(L443-Sheet5!$L$526)^2)</f>
        <v>4.4920124468204623</v>
      </c>
      <c r="P443" s="12">
        <f t="shared" si="6"/>
        <v>0</v>
      </c>
      <c r="Q443" s="11">
        <f>IF(P443=Sheet1!$M443, 1, 0)</f>
        <v>1</v>
      </c>
    </row>
    <row r="444" spans="1:17" x14ac:dyDescent="0.35">
      <c r="A444" s="6" t="s">
        <v>479</v>
      </c>
      <c r="B444" s="6" t="s">
        <v>483</v>
      </c>
      <c r="C444" s="6">
        <v>0.54041179786693605</v>
      </c>
      <c r="D444" s="6">
        <v>-7.1575543821147503E-2</v>
      </c>
      <c r="E444" s="6">
        <v>-4.6707662123440304E-2</v>
      </c>
      <c r="F444" s="6">
        <v>4.9798800599589861E-2</v>
      </c>
      <c r="G444" s="6">
        <v>-0.33007357794489894</v>
      </c>
      <c r="H444" s="6">
        <v>-0.18810391791078049</v>
      </c>
      <c r="I444" s="6">
        <v>0.54718723850494755</v>
      </c>
      <c r="J444" s="6">
        <v>-0.61095204412881376</v>
      </c>
      <c r="K444" s="6">
        <v>-0.68455900878591602</v>
      </c>
      <c r="L444" s="6">
        <v>-0.39156005137882177</v>
      </c>
      <c r="N444" s="8">
        <f>SQRT((C444-Sheet5!$C$525)^2+(D444-Sheet5!$D$525)^2+(E444-Sheet5!$E$525)^2+(F444-Sheet5!$F$525)^2+(G444-Sheet5!$G$525)^2+(H444-Sheet5!$H$525)^2+(I444-Sheet5!$I$525)^2+(J444-Sheet5!$J$525)^2+(K444-Sheet5!$K$525)^2+(L444-Sheet5!$L$525)^2)</f>
        <v>1.4580743338964208</v>
      </c>
      <c r="O444" s="8">
        <f>SQRT((C444-Sheet5!$C$526)^2+(D444-Sheet5!$D$526)^2+(E444-Sheet5!$E$526)^2+(F444-Sheet5!$F$526)^2+(G444-Sheet5!$G$526)^2+(H444-Sheet5!$H$526)^2+(I444-Sheet5!$I$526)^2+(J444-Sheet5!$J$526)^2+(K444-Sheet5!$K$526)^2+(L444-Sheet5!$L$526)^2)</f>
        <v>3.1973572394438294</v>
      </c>
      <c r="P444" s="12">
        <f t="shared" si="6"/>
        <v>0</v>
      </c>
      <c r="Q444" s="11">
        <f>IF(P444=Sheet1!$M444, 1, 0)</f>
        <v>1</v>
      </c>
    </row>
    <row r="445" spans="1:17" x14ac:dyDescent="0.35">
      <c r="A445" s="6" t="s">
        <v>479</v>
      </c>
      <c r="B445" s="6" t="s">
        <v>484</v>
      </c>
      <c r="C445" s="6">
        <v>0.66521982164524929</v>
      </c>
      <c r="D445" s="6">
        <v>-0.78969533933602742</v>
      </c>
      <c r="E445" s="6">
        <v>-0.46446419157551622</v>
      </c>
      <c r="F445" s="6">
        <v>-0.72669560701603564</v>
      </c>
      <c r="G445" s="6">
        <v>-1.0820823255060454</v>
      </c>
      <c r="H445" s="6">
        <v>9.844958399097592E-2</v>
      </c>
      <c r="I445" s="6">
        <v>6.9702852774065266E-2</v>
      </c>
      <c r="J445" s="6">
        <v>-1.0474835126576578</v>
      </c>
      <c r="K445" s="6">
        <v>-0.13997340604470707</v>
      </c>
      <c r="L445" s="6">
        <v>-0.40929018474875145</v>
      </c>
      <c r="N445" s="8">
        <f>SQRT((C445-Sheet5!$C$525)^2+(D445-Sheet5!$D$525)^2+(E445-Sheet5!$E$525)^2+(F445-Sheet5!$F$525)^2+(G445-Sheet5!$G$525)^2+(H445-Sheet5!$H$525)^2+(I445-Sheet5!$I$525)^2+(J445-Sheet5!$J$525)^2+(K445-Sheet5!$K$525)^2+(L445-Sheet5!$L$525)^2)</f>
        <v>1.3375988652998698</v>
      </c>
      <c r="O445" s="8">
        <f>SQRT((C445-Sheet5!$C$526)^2+(D445-Sheet5!$D$526)^2+(E445-Sheet5!$E$526)^2+(F445-Sheet5!$F$526)^2+(G445-Sheet5!$G$526)^2+(H445-Sheet5!$H$526)^2+(I445-Sheet5!$I$526)^2+(J445-Sheet5!$J$526)^2+(K445-Sheet5!$K$526)^2+(L445-Sheet5!$L$526)^2)</f>
        <v>4.4504737455166534</v>
      </c>
      <c r="P445" s="12">
        <f t="shared" si="6"/>
        <v>0</v>
      </c>
      <c r="Q445" s="11">
        <f>IF(P445=Sheet1!$M445, 1, 0)</f>
        <v>1</v>
      </c>
    </row>
    <row r="446" spans="1:17" x14ac:dyDescent="0.35">
      <c r="A446" s="6" t="s">
        <v>479</v>
      </c>
      <c r="B446" s="6" t="s">
        <v>485</v>
      </c>
      <c r="C446" s="6">
        <v>-0.85126476834931031</v>
      </c>
      <c r="D446" s="6">
        <v>1.1866685423374022</v>
      </c>
      <c r="E446" s="6">
        <v>0.76080760468339426</v>
      </c>
      <c r="F446" s="6">
        <v>1.1529138717360718</v>
      </c>
      <c r="G446" s="6">
        <v>0.83423340186985562</v>
      </c>
      <c r="H446" s="6">
        <v>0.84553549966341146</v>
      </c>
      <c r="I446" s="6">
        <v>0.92330978534235875</v>
      </c>
      <c r="J446" s="6">
        <v>-0.19340020466644148</v>
      </c>
      <c r="K446" s="6">
        <v>-0.85982793840377758</v>
      </c>
      <c r="L446" s="6">
        <v>-0.32634770254996071</v>
      </c>
      <c r="N446" s="8">
        <f>SQRT((C446-Sheet5!$C$525)^2+(D446-Sheet5!$D$525)^2+(E446-Sheet5!$E$525)^2+(F446-Sheet5!$F$525)^2+(G446-Sheet5!$G$525)^2+(H446-Sheet5!$H$525)^2+(I446-Sheet5!$I$525)^2+(J446-Sheet5!$J$525)^2+(K446-Sheet5!$K$525)^2+(L446-Sheet5!$L$525)^2)</f>
        <v>3.5911057280089964</v>
      </c>
      <c r="O446" s="8">
        <f>SQRT((C446-Sheet5!$C$526)^2+(D446-Sheet5!$D$526)^2+(E446-Sheet5!$E$526)^2+(F446-Sheet5!$F$526)^2+(G446-Sheet5!$G$526)^2+(H446-Sheet5!$H$526)^2+(I446-Sheet5!$I$526)^2+(J446-Sheet5!$J$526)^2+(K446-Sheet5!$K$526)^2+(L446-Sheet5!$L$526)^2)</f>
        <v>1.6215074719893652</v>
      </c>
      <c r="P446" s="12">
        <f t="shared" si="6"/>
        <v>1</v>
      </c>
      <c r="Q446" s="11">
        <f>IF(P446=Sheet1!$M446, 1, 0)</f>
        <v>0</v>
      </c>
    </row>
    <row r="447" spans="1:17" x14ac:dyDescent="0.35">
      <c r="A447" s="6" t="s">
        <v>486</v>
      </c>
      <c r="B447" s="6" t="s">
        <v>487</v>
      </c>
      <c r="C447" s="6">
        <v>0.27737553269973797</v>
      </c>
      <c r="D447" s="6">
        <v>0.29055324195131327</v>
      </c>
      <c r="E447" s="6">
        <v>-0.10933430234112365</v>
      </c>
      <c r="F447" s="6">
        <v>-0.40623759752387117</v>
      </c>
      <c r="G447" s="6">
        <v>-2.2899419354884336</v>
      </c>
      <c r="H447" s="6">
        <v>0.13669262653801445</v>
      </c>
      <c r="I447" s="6">
        <v>0.60328687260951019</v>
      </c>
      <c r="J447" s="6">
        <v>-0.83870759292647146</v>
      </c>
      <c r="K447" s="6">
        <v>-0.64387157869605682</v>
      </c>
      <c r="L447" s="6">
        <v>-0.38373948486343884</v>
      </c>
      <c r="N447" s="8">
        <f>SQRT((C447-Sheet5!$C$525)^2+(D447-Sheet5!$D$525)^2+(E447-Sheet5!$E$525)^2+(F447-Sheet5!$F$525)^2+(G447-Sheet5!$G$525)^2+(H447-Sheet5!$H$525)^2+(I447-Sheet5!$I$525)^2+(J447-Sheet5!$J$525)^2+(K447-Sheet5!$K$525)^2+(L447-Sheet5!$L$525)^2)</f>
        <v>2.4917987972276299</v>
      </c>
      <c r="O447" s="8">
        <f>SQRT((C447-Sheet5!$C$526)^2+(D447-Sheet5!$D$526)^2+(E447-Sheet5!$E$526)^2+(F447-Sheet5!$F$526)^2+(G447-Sheet5!$G$526)^2+(H447-Sheet5!$H$526)^2+(I447-Sheet5!$I$526)^2+(J447-Sheet5!$J$526)^2+(K447-Sheet5!$K$526)^2+(L447-Sheet5!$L$526)^2)</f>
        <v>4.3768871073395523</v>
      </c>
      <c r="P447" s="12">
        <f t="shared" si="6"/>
        <v>0</v>
      </c>
      <c r="Q447" s="11">
        <f>IF(P447=Sheet1!$M447, 1, 0)</f>
        <v>1</v>
      </c>
    </row>
    <row r="448" spans="1:17" x14ac:dyDescent="0.35">
      <c r="A448" s="6" t="s">
        <v>486</v>
      </c>
      <c r="B448" s="6" t="s">
        <v>488</v>
      </c>
      <c r="C448" s="6">
        <v>0.45720644868139365</v>
      </c>
      <c r="D448" s="6">
        <v>-0.6116998344648179</v>
      </c>
      <c r="E448" s="6">
        <v>-0.65455446423624919</v>
      </c>
      <c r="F448" s="6">
        <v>-0.87768063071907221</v>
      </c>
      <c r="G448" s="6">
        <v>-2.0692752759724216</v>
      </c>
      <c r="H448" s="6">
        <v>0.49057542869864212</v>
      </c>
      <c r="I448" s="6">
        <v>-8.0108670118802308E-2</v>
      </c>
      <c r="J448" s="6">
        <v>-0.63752352482187391</v>
      </c>
      <c r="K448" s="6">
        <v>-7.5812458595309884E-2</v>
      </c>
      <c r="L448" s="6">
        <v>-0.26221336949986795</v>
      </c>
      <c r="N448" s="8">
        <f>SQRT((C448-Sheet5!$C$525)^2+(D448-Sheet5!$D$525)^2+(E448-Sheet5!$E$525)^2+(F448-Sheet5!$F$525)^2+(G448-Sheet5!$G$525)^2+(H448-Sheet5!$H$525)^2+(I448-Sheet5!$I$525)^2+(J448-Sheet5!$J$525)^2+(K448-Sheet5!$K$525)^2+(L448-Sheet5!$L$525)^2)</f>
        <v>2.0146552994443514</v>
      </c>
      <c r="O448" s="8">
        <f>SQRT((C448-Sheet5!$C$526)^2+(D448-Sheet5!$D$526)^2+(E448-Sheet5!$E$526)^2+(F448-Sheet5!$F$526)^2+(G448-Sheet5!$G$526)^2+(H448-Sheet5!$H$526)^2+(I448-Sheet5!$I$526)^2+(J448-Sheet5!$J$526)^2+(K448-Sheet5!$K$526)^2+(L448-Sheet5!$L$526)^2)</f>
        <v>4.7867448125380738</v>
      </c>
      <c r="P448" s="12">
        <f t="shared" si="6"/>
        <v>0</v>
      </c>
      <c r="Q448" s="11">
        <f>IF(P448=Sheet1!$M448, 1, 0)</f>
        <v>1</v>
      </c>
    </row>
    <row r="449" spans="1:17" x14ac:dyDescent="0.35">
      <c r="A449" s="6" t="s">
        <v>486</v>
      </c>
      <c r="B449" s="6" t="s">
        <v>489</v>
      </c>
      <c r="C449" s="6">
        <v>0.2008802923194814</v>
      </c>
      <c r="D449" s="6">
        <v>-0.34163768914298293</v>
      </c>
      <c r="E449" s="6">
        <v>-0.95368876927600721</v>
      </c>
      <c r="F449" s="6">
        <v>-0.50792138899734751</v>
      </c>
      <c r="G449" s="6">
        <v>0.3725755220929326</v>
      </c>
      <c r="H449" s="6">
        <v>-0.76067228731222125</v>
      </c>
      <c r="I449" s="6">
        <v>-3.4186743951823959</v>
      </c>
      <c r="J449" s="6">
        <v>-1.0930346224171892</v>
      </c>
      <c r="K449" s="6">
        <v>1.6862662445271113</v>
      </c>
      <c r="L449" s="6">
        <v>-0.41180882845206157</v>
      </c>
      <c r="N449" s="8">
        <f>SQRT((C449-Sheet5!$C$525)^2+(D449-Sheet5!$D$525)^2+(E449-Sheet5!$E$525)^2+(F449-Sheet5!$F$525)^2+(G449-Sheet5!$G$525)^2+(H449-Sheet5!$H$525)^2+(I449-Sheet5!$I$525)^2+(J449-Sheet5!$J$525)^2+(K449-Sheet5!$K$525)^2+(L449-Sheet5!$L$525)^2)</f>
        <v>3.6823534028699791</v>
      </c>
      <c r="O449" s="8">
        <f>SQRT((C449-Sheet5!$C$526)^2+(D449-Sheet5!$D$526)^2+(E449-Sheet5!$E$526)^2+(F449-Sheet5!$F$526)^2+(G449-Sheet5!$G$526)^2+(H449-Sheet5!$H$526)^2+(I449-Sheet5!$I$526)^2+(J449-Sheet5!$J$526)^2+(K449-Sheet5!$K$526)^2+(L449-Sheet5!$L$526)^2)</f>
        <v>6.171410098673058</v>
      </c>
      <c r="P449" s="12">
        <f t="shared" si="6"/>
        <v>0</v>
      </c>
      <c r="Q449" s="11">
        <f>IF(P449=Sheet1!$M449, 1, 0)</f>
        <v>1</v>
      </c>
    </row>
    <row r="450" spans="1:17" x14ac:dyDescent="0.35">
      <c r="A450" s="6" t="s">
        <v>486</v>
      </c>
      <c r="B450" s="6" t="s">
        <v>490</v>
      </c>
      <c r="C450" s="6">
        <v>-0.64593543890756899</v>
      </c>
      <c r="D450" s="6">
        <v>-0.29253548090264925</v>
      </c>
      <c r="E450" s="6">
        <v>-0.30605563102490541</v>
      </c>
      <c r="F450" s="6">
        <v>-0.24754925628496582</v>
      </c>
      <c r="G450" s="6">
        <v>-0.54783672878306966</v>
      </c>
      <c r="H450" s="6">
        <v>0.17601293788919548</v>
      </c>
      <c r="I450" s="6">
        <v>-0.14194576680224097</v>
      </c>
      <c r="J450" s="6">
        <v>-0.48189056647680778</v>
      </c>
      <c r="K450" s="6">
        <v>0.12136508722478216</v>
      </c>
      <c r="L450" s="6">
        <v>-0.28463322254374562</v>
      </c>
      <c r="N450" s="8">
        <f>SQRT((C450-Sheet5!$C$525)^2+(D450-Sheet5!$D$525)^2+(E450-Sheet5!$E$525)^2+(F450-Sheet5!$F$525)^2+(G450-Sheet5!$G$525)^2+(H450-Sheet5!$H$525)^2+(I450-Sheet5!$I$525)^2+(J450-Sheet5!$J$525)^2+(K450-Sheet5!$K$525)^2+(L450-Sheet5!$L$525)^2)</f>
        <v>1.0684436272098587</v>
      </c>
      <c r="O450" s="8">
        <f>SQRT((C450-Sheet5!$C$526)^2+(D450-Sheet5!$D$526)^2+(E450-Sheet5!$E$526)^2+(F450-Sheet5!$F$526)^2+(G450-Sheet5!$G$526)^2+(H450-Sheet5!$H$526)^2+(I450-Sheet5!$I$526)^2+(J450-Sheet5!$J$526)^2+(K450-Sheet5!$K$526)^2+(L450-Sheet5!$L$526)^2)</f>
        <v>3.3528485576161842</v>
      </c>
      <c r="P450" s="12">
        <f t="shared" si="6"/>
        <v>0</v>
      </c>
      <c r="Q450" s="11">
        <f>IF(P450=Sheet1!$M450, 1, 0)</f>
        <v>1</v>
      </c>
    </row>
    <row r="451" spans="1:17" x14ac:dyDescent="0.35">
      <c r="A451" s="6" t="s">
        <v>486</v>
      </c>
      <c r="B451" s="6" t="s">
        <v>491</v>
      </c>
      <c r="C451" s="6">
        <v>-1.0069392926319376</v>
      </c>
      <c r="D451" s="6">
        <v>-0.21274439251210708</v>
      </c>
      <c r="E451" s="6">
        <v>0.27526694699570814</v>
      </c>
      <c r="F451" s="6">
        <v>-0.29222849799300649</v>
      </c>
      <c r="G451" s="6">
        <v>-0.93109987425824825</v>
      </c>
      <c r="H451" s="6">
        <v>0.10652910002204077</v>
      </c>
      <c r="I451" s="6">
        <v>0.1417398829310606</v>
      </c>
      <c r="J451" s="6">
        <v>-0.73242167015423132</v>
      </c>
      <c r="K451" s="6">
        <v>-6.7987952808798685E-2</v>
      </c>
      <c r="L451" s="6">
        <v>-0.30454032427944433</v>
      </c>
      <c r="N451" s="8">
        <f>SQRT((C451-Sheet5!$C$525)^2+(D451-Sheet5!$D$525)^2+(E451-Sheet5!$E$525)^2+(F451-Sheet5!$F$525)^2+(G451-Sheet5!$G$525)^2+(H451-Sheet5!$H$525)^2+(I451-Sheet5!$I$525)^2+(J451-Sheet5!$J$525)^2+(K451-Sheet5!$K$525)^2+(L451-Sheet5!$L$525)^2)</f>
        <v>1.7267150049137476</v>
      </c>
      <c r="O451" s="8">
        <f>SQRT((C451-Sheet5!$C$526)^2+(D451-Sheet5!$D$526)^2+(E451-Sheet5!$E$526)^2+(F451-Sheet5!$F$526)^2+(G451-Sheet5!$G$526)^2+(H451-Sheet5!$H$526)^2+(I451-Sheet5!$I$526)^2+(J451-Sheet5!$J$526)^2+(K451-Sheet5!$K$526)^2+(L451-Sheet5!$L$526)^2)</f>
        <v>3.4084491510005819</v>
      </c>
      <c r="P451" s="12">
        <f t="shared" ref="P451:P514" si="7">IF(N451&lt;=O451, 0, 1)</f>
        <v>0</v>
      </c>
      <c r="Q451" s="11">
        <f>IF(P451=Sheet1!$M451, 1, 0)</f>
        <v>1</v>
      </c>
    </row>
    <row r="452" spans="1:17" x14ac:dyDescent="0.35">
      <c r="A452" s="6" t="s">
        <v>486</v>
      </c>
      <c r="B452" s="6" t="s">
        <v>492</v>
      </c>
      <c r="C452" s="6">
        <v>-0.69022215702245437</v>
      </c>
      <c r="D452" s="6">
        <v>-0.56873540225452623</v>
      </c>
      <c r="E452" s="6">
        <v>-0.70612934441551778</v>
      </c>
      <c r="F452" s="6">
        <v>-0.57725124682016937</v>
      </c>
      <c r="G452" s="6">
        <v>-0.32136305191137177</v>
      </c>
      <c r="H452" s="6">
        <v>0.24549677575635093</v>
      </c>
      <c r="I452" s="6">
        <v>-0.49129348827156427</v>
      </c>
      <c r="J452" s="6">
        <v>-0.96397314476518325</v>
      </c>
      <c r="K452" s="6">
        <v>0.21525915666292322</v>
      </c>
      <c r="L452" s="6">
        <v>-0.41124173765822197</v>
      </c>
      <c r="N452" s="8">
        <f>SQRT((C452-Sheet5!$C$525)^2+(D452-Sheet5!$D$525)^2+(E452-Sheet5!$E$525)^2+(F452-Sheet5!$F$525)^2+(G452-Sheet5!$G$525)^2+(H452-Sheet5!$H$525)^2+(I452-Sheet5!$I$525)^2+(J452-Sheet5!$J$525)^2+(K452-Sheet5!$K$525)^2+(L452-Sheet5!$L$525)^2)</f>
        <v>1.2987688539027149</v>
      </c>
      <c r="O452" s="8">
        <f>SQRT((C452-Sheet5!$C$526)^2+(D452-Sheet5!$D$526)^2+(E452-Sheet5!$E$526)^2+(F452-Sheet5!$F$526)^2+(G452-Sheet5!$G$526)^2+(H452-Sheet5!$H$526)^2+(I452-Sheet5!$I$526)^2+(J452-Sheet5!$J$526)^2+(K452-Sheet5!$K$526)^2+(L452-Sheet5!$L$526)^2)</f>
        <v>4.0333998354621237</v>
      </c>
      <c r="P452" s="12">
        <f t="shared" si="7"/>
        <v>0</v>
      </c>
      <c r="Q452" s="11">
        <f>IF(P452=Sheet1!$M452, 1, 0)</f>
        <v>1</v>
      </c>
    </row>
    <row r="453" spans="1:17" x14ac:dyDescent="0.35">
      <c r="A453" s="6" t="s">
        <v>493</v>
      </c>
      <c r="B453" s="6" t="s">
        <v>494</v>
      </c>
      <c r="C453" s="6">
        <v>2.01260966974661</v>
      </c>
      <c r="D453" s="6">
        <v>0.76929977229456614</v>
      </c>
      <c r="E453" s="6">
        <v>-1.469805963069974</v>
      </c>
      <c r="F453" s="6">
        <v>-1.0718042326229791</v>
      </c>
      <c r="G453" s="6">
        <v>-1.8021524776109314</v>
      </c>
      <c r="H453" s="6">
        <v>0.41355070920249304</v>
      </c>
      <c r="I453" s="6">
        <v>0.52041241313686049</v>
      </c>
      <c r="J453" s="6">
        <v>-0.25033909186585568</v>
      </c>
      <c r="K453" s="6">
        <v>-7.8942260909916143E-2</v>
      </c>
      <c r="L453" s="6">
        <v>-0.42237754955061957</v>
      </c>
      <c r="N453" s="8">
        <f>SQRT((C453-Sheet5!$C$525)^2+(D453-Sheet5!$D$525)^2+(E453-Sheet5!$E$525)^2+(F453-Sheet5!$F$525)^2+(G453-Sheet5!$G$525)^2+(H453-Sheet5!$H$525)^2+(I453-Sheet5!$I$525)^2+(J453-Sheet5!$J$525)^2+(K453-Sheet5!$K$525)^2+(L453-Sheet5!$L$525)^2)</f>
        <v>3.0435593923017916</v>
      </c>
      <c r="O453" s="8">
        <f>SQRT((C453-Sheet5!$C$526)^2+(D453-Sheet5!$D$526)^2+(E453-Sheet5!$E$526)^2+(F453-Sheet5!$F$526)^2+(G453-Sheet5!$G$526)^2+(H453-Sheet5!$H$526)^2+(I453-Sheet5!$I$526)^2+(J453-Sheet5!$J$526)^2+(K453-Sheet5!$K$526)^2+(L453-Sheet5!$L$526)^2)</f>
        <v>5.2673662153226255</v>
      </c>
      <c r="P453" s="12">
        <f t="shared" si="7"/>
        <v>0</v>
      </c>
      <c r="Q453" s="11">
        <f>IF(P453=Sheet1!$M453, 1, 0)</f>
        <v>0</v>
      </c>
    </row>
    <row r="454" spans="1:17" x14ac:dyDescent="0.35">
      <c r="A454" s="6" t="s">
        <v>493</v>
      </c>
      <c r="B454" s="6" t="s">
        <v>495</v>
      </c>
      <c r="C454" s="6">
        <v>1.403331790226672</v>
      </c>
      <c r="D454" s="6">
        <v>0.81226420450485837</v>
      </c>
      <c r="E454" s="6">
        <v>-1.0111579214757638</v>
      </c>
      <c r="F454" s="6">
        <v>-0.55414129421256286</v>
      </c>
      <c r="G454" s="6">
        <v>-1.3114595110555873</v>
      </c>
      <c r="H454" s="6">
        <v>0.49919357913177742</v>
      </c>
      <c r="I454" s="6">
        <v>0.49873755450555191</v>
      </c>
      <c r="J454" s="6">
        <v>1.9201181156748245E-4</v>
      </c>
      <c r="K454" s="6">
        <v>-0.76436896780833552</v>
      </c>
      <c r="L454" s="6">
        <v>-0.4164392062743329</v>
      </c>
      <c r="N454" s="8">
        <f>SQRT((C454-Sheet5!$C$525)^2+(D454-Sheet5!$D$525)^2+(E454-Sheet5!$E$525)^2+(F454-Sheet5!$F$525)^2+(G454-Sheet5!$G$525)^2+(H454-Sheet5!$H$525)^2+(I454-Sheet5!$I$525)^2+(J454-Sheet5!$J$525)^2+(K454-Sheet5!$K$525)^2+(L454-Sheet5!$L$525)^2)</f>
        <v>2.526048095771948</v>
      </c>
      <c r="O454" s="8">
        <f>SQRT((C454-Sheet5!$C$526)^2+(D454-Sheet5!$D$526)^2+(E454-Sheet5!$E$526)^2+(F454-Sheet5!$F$526)^2+(G454-Sheet5!$G$526)^2+(H454-Sheet5!$H$526)^2+(I454-Sheet5!$I$526)^2+(J454-Sheet5!$J$526)^2+(K454-Sheet5!$K$526)^2+(L454-Sheet5!$L$526)^2)</f>
        <v>4.2089634474282089</v>
      </c>
      <c r="P454" s="12">
        <f t="shared" si="7"/>
        <v>0</v>
      </c>
      <c r="Q454" s="11">
        <f>IF(P454=Sheet1!$M454, 1, 0)</f>
        <v>0</v>
      </c>
    </row>
    <row r="455" spans="1:17" x14ac:dyDescent="0.35">
      <c r="A455" s="6" t="s">
        <v>493</v>
      </c>
      <c r="B455" s="6" t="s">
        <v>496</v>
      </c>
      <c r="C455" s="6">
        <v>1.0154875012811608</v>
      </c>
      <c r="D455" s="6">
        <v>0.76316199626452463</v>
      </c>
      <c r="E455" s="6">
        <v>-3.0130022065818246E-2</v>
      </c>
      <c r="F455" s="6">
        <v>0.21464979586719163</v>
      </c>
      <c r="G455" s="6">
        <v>-0.93109987425824825</v>
      </c>
      <c r="H455" s="6">
        <v>-0.15955629460101903</v>
      </c>
      <c r="I455" s="6">
        <v>0.28517644740295456</v>
      </c>
      <c r="J455" s="6">
        <v>1.1427656816131504</v>
      </c>
      <c r="K455" s="6">
        <v>-1.0757842981114982</v>
      </c>
      <c r="L455" s="6">
        <v>-0.33298116039657388</v>
      </c>
      <c r="N455" s="8">
        <f>SQRT((C455-Sheet5!$C$525)^2+(D455-Sheet5!$D$525)^2+(E455-Sheet5!$E$525)^2+(F455-Sheet5!$F$525)^2+(G455-Sheet5!$G$525)^2+(H455-Sheet5!$H$525)^2+(I455-Sheet5!$I$525)^2+(J455-Sheet5!$J$525)^2+(K455-Sheet5!$K$525)^2+(L455-Sheet5!$L$525)^2)</f>
        <v>2.6856134654056647</v>
      </c>
      <c r="O455" s="8">
        <f>SQRT((C455-Sheet5!$C$526)^2+(D455-Sheet5!$D$526)^2+(E455-Sheet5!$E$526)^2+(F455-Sheet5!$F$526)^2+(G455-Sheet5!$G$526)^2+(H455-Sheet5!$H$526)^2+(I455-Sheet5!$I$526)^2+(J455-Sheet5!$J$526)^2+(K455-Sheet5!$K$526)^2+(L455-Sheet5!$L$526)^2)</f>
        <v>3.1185047022999797</v>
      </c>
      <c r="P455" s="12">
        <f t="shared" si="7"/>
        <v>0</v>
      </c>
      <c r="Q455" s="11">
        <f>IF(P455=Sheet1!$M455, 1, 0)</f>
        <v>1</v>
      </c>
    </row>
    <row r="456" spans="1:17" x14ac:dyDescent="0.35">
      <c r="A456" s="6" t="s">
        <v>493</v>
      </c>
      <c r="B456" s="6" t="s">
        <v>497</v>
      </c>
      <c r="C456" s="6">
        <v>0.67192993045053506</v>
      </c>
      <c r="D456" s="6">
        <v>0.21689992959081214</v>
      </c>
      <c r="E456" s="6">
        <v>8.1827460673527374E-3</v>
      </c>
      <c r="F456" s="6">
        <v>-9.1942242060405355E-2</v>
      </c>
      <c r="G456" s="6">
        <v>-0.93400338293609209</v>
      </c>
      <c r="H456" s="6">
        <v>-0.42294851721372334</v>
      </c>
      <c r="I456" s="6">
        <v>0.70401121566088543</v>
      </c>
      <c r="J456" s="6">
        <v>-7.9522430267612701E-2</v>
      </c>
      <c r="K456" s="6">
        <v>0.21212935434831698</v>
      </c>
      <c r="L456" s="6">
        <v>-0.42527244984658524</v>
      </c>
      <c r="N456" s="8">
        <f>SQRT((C456-Sheet5!$C$525)^2+(D456-Sheet5!$D$525)^2+(E456-Sheet5!$E$525)^2+(F456-Sheet5!$F$525)^2+(G456-Sheet5!$G$525)^2+(H456-Sheet5!$H$525)^2+(I456-Sheet5!$I$525)^2+(J456-Sheet5!$J$525)^2+(K456-Sheet5!$K$525)^2+(L456-Sheet5!$L$525)^2)</f>
        <v>1.515142274699421</v>
      </c>
      <c r="O456" s="8">
        <f>SQRT((C456-Sheet5!$C$526)^2+(D456-Sheet5!$D$526)^2+(E456-Sheet5!$E$526)^2+(F456-Sheet5!$F$526)^2+(G456-Sheet5!$G$526)^2+(H456-Sheet5!$H$526)^2+(I456-Sheet5!$I$526)^2+(J456-Sheet5!$J$526)^2+(K456-Sheet5!$K$526)^2+(L456-Sheet5!$L$526)^2)</f>
        <v>3.418870425190748</v>
      </c>
      <c r="P456" s="12">
        <f t="shared" si="7"/>
        <v>0</v>
      </c>
      <c r="Q456" s="11">
        <f>IF(P456=Sheet1!$M456, 1, 0)</f>
        <v>1</v>
      </c>
    </row>
    <row r="457" spans="1:17" x14ac:dyDescent="0.35">
      <c r="A457" s="6" t="s">
        <v>493</v>
      </c>
      <c r="B457" s="6" t="s">
        <v>498</v>
      </c>
      <c r="C457" s="6">
        <v>1.9133000594283824</v>
      </c>
      <c r="D457" s="6">
        <v>0.24145103371097953</v>
      </c>
      <c r="E457" s="6">
        <v>-0.99531706542070264</v>
      </c>
      <c r="F457" s="6">
        <v>-0.93930717100602734</v>
      </c>
      <c r="G457" s="6">
        <v>-1.9444244028252036</v>
      </c>
      <c r="H457" s="6">
        <v>-2.022154056962433</v>
      </c>
      <c r="I457" s="6">
        <v>-3.4208969487796309E-2</v>
      </c>
      <c r="J457" s="6">
        <v>-1.3321779486547298</v>
      </c>
      <c r="K457" s="6">
        <v>-0.5718861254601485</v>
      </c>
      <c r="L457" s="6">
        <v>-0.40969594510709967</v>
      </c>
      <c r="N457" s="8">
        <f>SQRT((C457-Sheet5!$C$525)^2+(D457-Sheet5!$D$525)^2+(E457-Sheet5!$E$525)^2+(F457-Sheet5!$F$525)^2+(G457-Sheet5!$G$525)^2+(H457-Sheet5!$H$525)^2+(I457-Sheet5!$I$525)^2+(J457-Sheet5!$J$525)^2+(K457-Sheet5!$K$525)^2+(L457-Sheet5!$L$525)^2)</f>
        <v>3.3042403625149412</v>
      </c>
      <c r="O457" s="8">
        <f>SQRT((C457-Sheet5!$C$526)^2+(D457-Sheet5!$D$526)^2+(E457-Sheet5!$E$526)^2+(F457-Sheet5!$F$526)^2+(G457-Sheet5!$G$526)^2+(H457-Sheet5!$H$526)^2+(I457-Sheet5!$I$526)^2+(J457-Sheet5!$J$526)^2+(K457-Sheet5!$K$526)^2+(L457-Sheet5!$L$526)^2)</f>
        <v>6.0788815720754839</v>
      </c>
      <c r="P457" s="12">
        <f t="shared" si="7"/>
        <v>0</v>
      </c>
      <c r="Q457" s="11">
        <f>IF(P457=Sheet1!$M457, 1, 0)</f>
        <v>0</v>
      </c>
    </row>
    <row r="458" spans="1:17" x14ac:dyDescent="0.35">
      <c r="A458" s="6" t="s">
        <v>493</v>
      </c>
      <c r="B458" s="6" t="s">
        <v>499</v>
      </c>
      <c r="C458" s="6">
        <v>1.7442053175351835</v>
      </c>
      <c r="D458" s="6">
        <v>0.29669101798135483</v>
      </c>
      <c r="E458" s="6">
        <v>-0.59119104001600487</v>
      </c>
      <c r="F458" s="6">
        <v>-0.63117446957125567</v>
      </c>
      <c r="G458" s="6">
        <v>-2.2667138660656962</v>
      </c>
      <c r="H458" s="6">
        <v>-0.78437220100334382</v>
      </c>
      <c r="I458" s="6">
        <v>0.3820758154017449</v>
      </c>
      <c r="J458" s="6">
        <v>0.22415163479593117</v>
      </c>
      <c r="K458" s="6">
        <v>0.4280857140560399</v>
      </c>
      <c r="L458" s="6">
        <v>-0.41652052968515174</v>
      </c>
      <c r="N458" s="8">
        <f>SQRT((C458-Sheet5!$C$525)^2+(D458-Sheet5!$D$525)^2+(E458-Sheet5!$E$525)^2+(F458-Sheet5!$F$525)^2+(G458-Sheet5!$G$525)^2+(H458-Sheet5!$H$525)^2+(I458-Sheet5!$I$525)^2+(J458-Sheet5!$J$525)^2+(K458-Sheet5!$K$525)^2+(L458-Sheet5!$L$525)^2)</f>
        <v>2.7529231907602703</v>
      </c>
      <c r="O458" s="8">
        <f>SQRT((C458-Sheet5!$C$526)^2+(D458-Sheet5!$D$526)^2+(E458-Sheet5!$E$526)^2+(F458-Sheet5!$F$526)^2+(G458-Sheet5!$G$526)^2+(H458-Sheet5!$H$526)^2+(I458-Sheet5!$I$526)^2+(J458-Sheet5!$J$526)^2+(K458-Sheet5!$K$526)^2+(L458-Sheet5!$L$526)^2)</f>
        <v>5.0983918664827739</v>
      </c>
      <c r="P458" s="12">
        <f t="shared" si="7"/>
        <v>0</v>
      </c>
      <c r="Q458" s="11">
        <f>IF(P458=Sheet1!$M458, 1, 0)</f>
        <v>0</v>
      </c>
    </row>
    <row r="459" spans="1:17" x14ac:dyDescent="0.35">
      <c r="A459" s="6" t="s">
        <v>493</v>
      </c>
      <c r="B459" s="6" t="s">
        <v>500</v>
      </c>
      <c r="C459" s="6">
        <v>1.4731169218016429</v>
      </c>
      <c r="D459" s="6">
        <v>1.4353320599436772E-2</v>
      </c>
      <c r="E459" s="6">
        <v>-0.31121311904283228</v>
      </c>
      <c r="F459" s="6">
        <v>-0.86689598616885621</v>
      </c>
      <c r="G459" s="6">
        <v>-2.9141963012245249</v>
      </c>
      <c r="H459" s="6">
        <v>-0.64378862206282073</v>
      </c>
      <c r="I459" s="6">
        <v>-4.5046398803449725E-2</v>
      </c>
      <c r="J459" s="6">
        <v>-0.4477272341571592</v>
      </c>
      <c r="K459" s="6">
        <v>-6.1728348179590609E-2</v>
      </c>
      <c r="L459" s="6">
        <v>-0.41784886778190822</v>
      </c>
      <c r="N459" s="8">
        <f>SQRT((C459-Sheet5!$C$525)^2+(D459-Sheet5!$D$525)^2+(E459-Sheet5!$E$525)^2+(F459-Sheet5!$F$525)^2+(G459-Sheet5!$G$525)^2+(H459-Sheet5!$H$525)^2+(I459-Sheet5!$I$525)^2+(J459-Sheet5!$J$525)^2+(K459-Sheet5!$K$525)^2+(L459-Sheet5!$L$525)^2)</f>
        <v>2.9528808113529559</v>
      </c>
      <c r="O459" s="8">
        <f>SQRT((C459-Sheet5!$C$526)^2+(D459-Sheet5!$D$526)^2+(E459-Sheet5!$E$526)^2+(F459-Sheet5!$F$526)^2+(G459-Sheet5!$G$526)^2+(H459-Sheet5!$H$526)^2+(I459-Sheet5!$I$526)^2+(J459-Sheet5!$J$526)^2+(K459-Sheet5!$K$526)^2+(L459-Sheet5!$L$526)^2)</f>
        <v>5.5244469693777223</v>
      </c>
      <c r="P459" s="12">
        <f t="shared" si="7"/>
        <v>0</v>
      </c>
      <c r="Q459" s="11">
        <f>IF(P459=Sheet1!$M459, 1, 0)</f>
        <v>0</v>
      </c>
    </row>
    <row r="460" spans="1:17" x14ac:dyDescent="0.35">
      <c r="A460" s="6" t="s">
        <v>493</v>
      </c>
      <c r="B460" s="6" t="s">
        <v>501</v>
      </c>
      <c r="C460" s="6">
        <v>2.3185906312676363</v>
      </c>
      <c r="D460" s="6">
        <v>9.4144408989978376E-2</v>
      </c>
      <c r="E460" s="6">
        <v>-1.2550334263234482</v>
      </c>
      <c r="F460" s="6">
        <v>-1.1642440430534109</v>
      </c>
      <c r="G460" s="6">
        <v>-2.0634682586167381</v>
      </c>
      <c r="H460" s="6">
        <v>0.2934352375406673</v>
      </c>
      <c r="I460" s="6">
        <v>0.51084997550540145</v>
      </c>
      <c r="J460" s="6">
        <v>-1.2372798033223726</v>
      </c>
      <c r="K460" s="6">
        <v>1.1260316302128777</v>
      </c>
      <c r="L460" s="6">
        <v>-0.43612647152359146</v>
      </c>
      <c r="N460" s="8">
        <f>SQRT((C460-Sheet5!$C$525)^2+(D460-Sheet5!$D$525)^2+(E460-Sheet5!$E$525)^2+(F460-Sheet5!$F$525)^2+(G460-Sheet5!$G$525)^2+(H460-Sheet5!$H$525)^2+(I460-Sheet5!$I$525)^2+(J460-Sheet5!$J$525)^2+(K460-Sheet5!$K$525)^2+(L460-Sheet5!$L$525)^2)</f>
        <v>3.3335501900466711</v>
      </c>
      <c r="O460" s="8">
        <f>SQRT((C460-Sheet5!$C$526)^2+(D460-Sheet5!$D$526)^2+(E460-Sheet5!$E$526)^2+(F460-Sheet5!$F$526)^2+(G460-Sheet5!$G$526)^2+(H460-Sheet5!$H$526)^2+(I460-Sheet5!$I$526)^2+(J460-Sheet5!$J$526)^2+(K460-Sheet5!$K$526)^2+(L460-Sheet5!$L$526)^2)</f>
        <v>6.0897946828603784</v>
      </c>
      <c r="P460" s="12">
        <f t="shared" si="7"/>
        <v>0</v>
      </c>
      <c r="Q460" s="11">
        <f>IF(P460=Sheet1!$M460, 1, 0)</f>
        <v>0</v>
      </c>
    </row>
    <row r="461" spans="1:17" x14ac:dyDescent="0.35">
      <c r="A461" s="6" t="s">
        <v>493</v>
      </c>
      <c r="B461" s="6" t="s">
        <v>502</v>
      </c>
      <c r="C461" s="6">
        <v>0.48538890566359355</v>
      </c>
      <c r="D461" s="6">
        <v>-0.29867325693269081</v>
      </c>
      <c r="E461" s="6">
        <v>-1.0037900814501539</v>
      </c>
      <c r="F461" s="6">
        <v>-0.7898628108101633</v>
      </c>
      <c r="G461" s="6">
        <v>-0.95723145235882978</v>
      </c>
      <c r="H461" s="6">
        <v>-1.0052123058524416</v>
      </c>
      <c r="I461" s="6">
        <v>0.56439962624157458</v>
      </c>
      <c r="J461" s="6">
        <v>-1.3018105421483754</v>
      </c>
      <c r="K461" s="6">
        <v>0.92728918323548248</v>
      </c>
      <c r="L461" s="6">
        <v>-0.43964857758074666</v>
      </c>
      <c r="N461" s="8">
        <f>SQRT((C461-Sheet5!$C$525)^2+(D461-Sheet5!$D$525)^2+(E461-Sheet5!$E$525)^2+(F461-Sheet5!$F$525)^2+(G461-Sheet5!$G$525)^2+(H461-Sheet5!$H$525)^2+(I461-Sheet5!$I$525)^2+(J461-Sheet5!$J$525)^2+(K461-Sheet5!$K$525)^2+(L461-Sheet5!$L$525)^2)</f>
        <v>1.8664644617841402</v>
      </c>
      <c r="O461" s="8">
        <f>SQRT((C461-Sheet5!$C$526)^2+(D461-Sheet5!$D$526)^2+(E461-Sheet5!$E$526)^2+(F461-Sheet5!$F$526)^2+(G461-Sheet5!$G$526)^2+(H461-Sheet5!$H$526)^2+(I461-Sheet5!$I$526)^2+(J461-Sheet5!$J$526)^2+(K461-Sheet5!$K$526)^2+(L461-Sheet5!$L$526)^2)</f>
        <v>4.9865129264863359</v>
      </c>
      <c r="P461" s="12">
        <f t="shared" si="7"/>
        <v>0</v>
      </c>
      <c r="Q461" s="11">
        <f>IF(P461=Sheet1!$M461, 1, 0)</f>
        <v>1</v>
      </c>
    </row>
    <row r="462" spans="1:17" x14ac:dyDescent="0.35">
      <c r="A462" s="6" t="s">
        <v>493</v>
      </c>
      <c r="B462" s="6" t="s">
        <v>503</v>
      </c>
      <c r="C462" s="6">
        <v>-0.97338874860550939</v>
      </c>
      <c r="D462" s="6">
        <v>2.3098815558350352</v>
      </c>
      <c r="E462" s="6">
        <v>1.4084407429344961</v>
      </c>
      <c r="F462" s="6">
        <v>1.7414473314764867</v>
      </c>
      <c r="G462" s="6">
        <v>0.28256675307982132</v>
      </c>
      <c r="H462" s="6">
        <v>0.71949504957880428</v>
      </c>
      <c r="I462" s="6">
        <v>0.83916033418551383</v>
      </c>
      <c r="J462" s="6">
        <v>2.3764415709337965</v>
      </c>
      <c r="K462" s="6">
        <v>-1.2369691173136383</v>
      </c>
      <c r="L462" s="6">
        <v>-0.23762367329142606</v>
      </c>
      <c r="N462" s="8">
        <f>SQRT((C462-Sheet5!$C$525)^2+(D462-Sheet5!$D$525)^2+(E462-Sheet5!$E$525)^2+(F462-Sheet5!$F$525)^2+(G462-Sheet5!$G$525)^2+(H462-Sheet5!$H$525)^2+(I462-Sheet5!$I$525)^2+(J462-Sheet5!$J$525)^2+(K462-Sheet5!$K$525)^2+(L462-Sheet5!$L$525)^2)</f>
        <v>5.4136524237114916</v>
      </c>
      <c r="O462" s="8">
        <f>SQRT((C462-Sheet5!$C$526)^2+(D462-Sheet5!$D$526)^2+(E462-Sheet5!$E$526)^2+(F462-Sheet5!$F$526)^2+(G462-Sheet5!$G$526)^2+(H462-Sheet5!$H$526)^2+(I462-Sheet5!$I$526)^2+(J462-Sheet5!$J$526)^2+(K462-Sheet5!$K$526)^2+(L462-Sheet5!$L$526)^2)</f>
        <v>2.4610126424006253</v>
      </c>
      <c r="P462" s="12">
        <f t="shared" si="7"/>
        <v>1</v>
      </c>
      <c r="Q462" s="11">
        <f>IF(P462=Sheet1!$M462, 1, 0)</f>
        <v>0</v>
      </c>
    </row>
    <row r="463" spans="1:17" x14ac:dyDescent="0.35">
      <c r="A463" s="6" t="s">
        <v>493</v>
      </c>
      <c r="B463" s="6" t="s">
        <v>504</v>
      </c>
      <c r="C463" s="6">
        <v>1.4744589435627002</v>
      </c>
      <c r="D463" s="6">
        <v>1.2848729588180696</v>
      </c>
      <c r="E463" s="6">
        <v>-1.0756265216998495</v>
      </c>
      <c r="F463" s="6">
        <v>-0.27219987239974702</v>
      </c>
      <c r="G463" s="6">
        <v>-1.1546700424521024</v>
      </c>
      <c r="H463" s="6">
        <v>0.32683057046906688</v>
      </c>
      <c r="I463" s="6">
        <v>0.70464871150298214</v>
      </c>
      <c r="J463" s="6">
        <v>1.3857049336639855</v>
      </c>
      <c r="K463" s="6">
        <v>-1.3856347272573599</v>
      </c>
      <c r="L463" s="6">
        <v>-0.42654992946905262</v>
      </c>
      <c r="N463" s="8">
        <f>SQRT((C463-Sheet5!$C$525)^2+(D463-Sheet5!$D$525)^2+(E463-Sheet5!$E$525)^2+(F463-Sheet5!$F$525)^2+(G463-Sheet5!$G$525)^2+(H463-Sheet5!$H$525)^2+(I463-Sheet5!$I$525)^2+(J463-Sheet5!$J$525)^2+(K463-Sheet5!$K$525)^2+(L463-Sheet5!$L$525)^2)</f>
        <v>3.5360437329234462</v>
      </c>
      <c r="O463" s="8">
        <f>SQRT((C463-Sheet5!$C$526)^2+(D463-Sheet5!$D$526)^2+(E463-Sheet5!$E$526)^2+(F463-Sheet5!$F$526)^2+(G463-Sheet5!$G$526)^2+(H463-Sheet5!$H$526)^2+(I463-Sheet5!$I$526)^2+(J463-Sheet5!$J$526)^2+(K463-Sheet5!$K$526)^2+(L463-Sheet5!$L$526)^2)</f>
        <v>4.0979691785313204</v>
      </c>
      <c r="P463" s="12">
        <f t="shared" si="7"/>
        <v>0</v>
      </c>
      <c r="Q463" s="11">
        <f>IF(P463=Sheet1!$M463, 1, 0)</f>
        <v>0</v>
      </c>
    </row>
    <row r="464" spans="1:17" x14ac:dyDescent="0.35">
      <c r="A464" s="6" t="s">
        <v>505</v>
      </c>
      <c r="B464" s="6" t="s">
        <v>506</v>
      </c>
      <c r="C464" s="6">
        <v>-0.44597419651005643</v>
      </c>
      <c r="D464" s="6">
        <v>-4.0886663670939613E-2</v>
      </c>
      <c r="E464" s="6">
        <v>-1.0527862176204592</v>
      </c>
      <c r="F464" s="6">
        <v>-0.67277238426494923</v>
      </c>
      <c r="G464" s="6">
        <v>-0.96303846971451312</v>
      </c>
      <c r="H464" s="6">
        <v>-0.20911065959154834</v>
      </c>
      <c r="I464" s="6">
        <v>0.6115743185567758</v>
      </c>
      <c r="J464" s="6">
        <v>-0.68307463458140549</v>
      </c>
      <c r="K464" s="6">
        <v>-0.71742193308926616</v>
      </c>
      <c r="L464" s="6">
        <v>-0.42646710161692369</v>
      </c>
      <c r="N464" s="8">
        <f>SQRT((C464-Sheet5!$C$525)^2+(D464-Sheet5!$D$525)^2+(E464-Sheet5!$E$525)^2+(F464-Sheet5!$F$525)^2+(G464-Sheet5!$G$525)^2+(H464-Sheet5!$H$525)^2+(I464-Sheet5!$I$525)^2+(J464-Sheet5!$J$525)^2+(K464-Sheet5!$K$525)^2+(L464-Sheet5!$L$525)^2)</f>
        <v>1.798896175754251</v>
      </c>
      <c r="O464" s="8">
        <f>SQRT((C464-Sheet5!$C$526)^2+(D464-Sheet5!$D$526)^2+(E464-Sheet5!$E$526)^2+(F464-Sheet5!$F$526)^2+(G464-Sheet5!$G$526)^2+(H464-Sheet5!$H$526)^2+(I464-Sheet5!$I$526)^2+(J464-Sheet5!$J$526)^2+(K464-Sheet5!$K$526)^2+(L464-Sheet5!$L$526)^2)</f>
        <v>4.0284576967556616</v>
      </c>
      <c r="P464" s="12">
        <f t="shared" si="7"/>
        <v>0</v>
      </c>
      <c r="Q464" s="11">
        <f>IF(P464=Sheet1!$M464, 1, 0)</f>
        <v>1</v>
      </c>
    </row>
    <row r="465" spans="1:17" x14ac:dyDescent="0.35">
      <c r="A465" s="6" t="s">
        <v>505</v>
      </c>
      <c r="B465" s="6" t="s">
        <v>507</v>
      </c>
      <c r="C465" s="6">
        <v>0.16732974829305308</v>
      </c>
      <c r="D465" s="6">
        <v>0.35193100225173013</v>
      </c>
      <c r="E465" s="6">
        <v>-0.86895860898149446</v>
      </c>
      <c r="F465" s="6">
        <v>-0.63271513307843041</v>
      </c>
      <c r="G465" s="6">
        <v>-1.5989068701619711</v>
      </c>
      <c r="H465" s="6">
        <v>0.18840152913682801</v>
      </c>
      <c r="I465" s="6">
        <v>-9.0946099434456626E-2</v>
      </c>
      <c r="J465" s="6">
        <v>-0.3148698306918587</v>
      </c>
      <c r="K465" s="6">
        <v>-1.0084935483474982</v>
      </c>
      <c r="L465" s="6">
        <v>-0.34974560960555695</v>
      </c>
      <c r="N465" s="8">
        <f>SQRT((C465-Sheet5!$C$525)^2+(D465-Sheet5!$D$525)^2+(E465-Sheet5!$E$525)^2+(F465-Sheet5!$F$525)^2+(G465-Sheet5!$G$525)^2+(H465-Sheet5!$H$525)^2+(I465-Sheet5!$I$525)^2+(J465-Sheet5!$J$525)^2+(K465-Sheet5!$K$525)^2+(L465-Sheet5!$L$525)^2)</f>
        <v>2.0310037899771158</v>
      </c>
      <c r="O465" s="8">
        <f>SQRT((C465-Sheet5!$C$526)^2+(D465-Sheet5!$D$526)^2+(E465-Sheet5!$E$526)^2+(F465-Sheet5!$F$526)^2+(G465-Sheet5!$G$526)^2+(H465-Sheet5!$H$526)^2+(I465-Sheet5!$I$526)^2+(J465-Sheet5!$J$526)^2+(K465-Sheet5!$K$526)^2+(L465-Sheet5!$L$526)^2)</f>
        <v>4.1319881873993261</v>
      </c>
      <c r="P465" s="12">
        <f t="shared" si="7"/>
        <v>0</v>
      </c>
      <c r="Q465" s="11">
        <f>IF(P465=Sheet1!$M465, 1, 0)</f>
        <v>1</v>
      </c>
    </row>
    <row r="466" spans="1:17" x14ac:dyDescent="0.35">
      <c r="A466" s="6" t="s">
        <v>505</v>
      </c>
      <c r="B466" s="6" t="s">
        <v>508</v>
      </c>
      <c r="C466" s="6">
        <v>-0.54259976330616977</v>
      </c>
      <c r="D466" s="6">
        <v>0.34579322622168857</v>
      </c>
      <c r="E466" s="6">
        <v>-1.2100896021672285</v>
      </c>
      <c r="F466" s="6">
        <v>-0.94392916152754913</v>
      </c>
      <c r="G466" s="6">
        <v>-1.8195735296779858</v>
      </c>
      <c r="H466" s="6">
        <v>0.22125822766315714</v>
      </c>
      <c r="I466" s="6">
        <v>-3.8671440382477024E-2</v>
      </c>
      <c r="J466" s="6">
        <v>-0.86527907361953171</v>
      </c>
      <c r="K466" s="6">
        <v>-0.89269086270712661</v>
      </c>
      <c r="L466" s="6">
        <v>-0.42418398655871886</v>
      </c>
      <c r="N466" s="8">
        <f>SQRT((C466-Sheet5!$C$525)^2+(D466-Sheet5!$D$525)^2+(E466-Sheet5!$E$525)^2+(F466-Sheet5!$F$525)^2+(G466-Sheet5!$G$525)^2+(H466-Sheet5!$H$525)^2+(I466-Sheet5!$I$525)^2+(J466-Sheet5!$J$525)^2+(K466-Sheet5!$K$525)^2+(L466-Sheet5!$L$525)^2)</f>
        <v>2.4490207397791774</v>
      </c>
      <c r="O466" s="8">
        <f>SQRT((C466-Sheet5!$C$526)^2+(D466-Sheet5!$D$526)^2+(E466-Sheet5!$E$526)^2+(F466-Sheet5!$F$526)^2+(G466-Sheet5!$G$526)^2+(H466-Sheet5!$H$526)^2+(I466-Sheet5!$I$526)^2+(J466-Sheet5!$J$526)^2+(K466-Sheet5!$K$526)^2+(L466-Sheet5!$L$526)^2)</f>
        <v>4.6727538595388962</v>
      </c>
      <c r="P466" s="12">
        <f t="shared" si="7"/>
        <v>0</v>
      </c>
      <c r="Q466" s="11">
        <f>IF(P466=Sheet1!$M466, 1, 0)</f>
        <v>1</v>
      </c>
    </row>
    <row r="467" spans="1:17" x14ac:dyDescent="0.35">
      <c r="A467" s="6" t="s">
        <v>505</v>
      </c>
      <c r="B467" s="6" t="s">
        <v>509</v>
      </c>
      <c r="C467" s="6">
        <v>-0.95057437866753802</v>
      </c>
      <c r="D467" s="6">
        <v>-0.20660661648206549</v>
      </c>
      <c r="E467" s="6">
        <v>-1.1725136180366185</v>
      </c>
      <c r="F467" s="6">
        <v>-0.88384328474776852</v>
      </c>
      <c r="G467" s="6">
        <v>-1.0820823255060454</v>
      </c>
      <c r="H467" s="6">
        <v>-1.0359144667704869</v>
      </c>
      <c r="I467" s="6">
        <v>0.34063858566542055</v>
      </c>
      <c r="J467" s="6">
        <v>-1.1841368419362523</v>
      </c>
      <c r="K467" s="6">
        <v>-9.3026371325635418E-2</v>
      </c>
      <c r="L467" s="6">
        <v>-0.32245308010840712</v>
      </c>
      <c r="N467" s="8">
        <f>SQRT((C467-Sheet5!$C$525)^2+(D467-Sheet5!$D$525)^2+(E467-Sheet5!$E$525)^2+(F467-Sheet5!$F$525)^2+(G467-Sheet5!$G$525)^2+(H467-Sheet5!$H$525)^2+(I467-Sheet5!$I$525)^2+(J467-Sheet5!$J$525)^2+(K467-Sheet5!$K$525)^2+(L467-Sheet5!$L$525)^2)</f>
        <v>2.1168661116609275</v>
      </c>
      <c r="O467" s="8">
        <f>SQRT((C467-Sheet5!$C$526)^2+(D467-Sheet5!$D$526)^2+(E467-Sheet5!$E$526)^2+(F467-Sheet5!$F$526)^2+(G467-Sheet5!$G$526)^2+(H467-Sheet5!$H$526)^2+(I467-Sheet5!$I$526)^2+(J467-Sheet5!$J$526)^2+(K467-Sheet5!$K$526)^2+(L467-Sheet5!$L$526)^2)</f>
        <v>4.7452480007223556</v>
      </c>
      <c r="P467" s="12">
        <f t="shared" si="7"/>
        <v>0</v>
      </c>
      <c r="Q467" s="11">
        <f>IF(P467=Sheet1!$M467, 1, 0)</f>
        <v>1</v>
      </c>
    </row>
    <row r="468" spans="1:17" x14ac:dyDescent="0.35">
      <c r="A468" s="6" t="s">
        <v>505</v>
      </c>
      <c r="B468" s="6" t="s">
        <v>510</v>
      </c>
      <c r="C468" s="6">
        <v>-0.94654831338436674</v>
      </c>
      <c r="D468" s="6">
        <v>0.11255773708010311</v>
      </c>
      <c r="E468" s="6">
        <v>-1.0336298335538736</v>
      </c>
      <c r="F468" s="6">
        <v>-0.32458243164365874</v>
      </c>
      <c r="G468" s="6">
        <v>-1.3591132060089755E-2</v>
      </c>
      <c r="H468" s="6">
        <v>-0.44287799009034873</v>
      </c>
      <c r="I468" s="6">
        <v>0.1245274951944336</v>
      </c>
      <c r="J468" s="6">
        <v>1.1199901267333845</v>
      </c>
      <c r="K468" s="6">
        <v>-0.79410208979707941</v>
      </c>
      <c r="L468" s="6">
        <v>-0.37807532601592014</v>
      </c>
      <c r="N468" s="8">
        <f>SQRT((C468-Sheet5!$C$525)^2+(D468-Sheet5!$D$525)^2+(E468-Sheet5!$E$525)^2+(F468-Sheet5!$F$525)^2+(G468-Sheet5!$G$525)^2+(H468-Sheet5!$H$525)^2+(I468-Sheet5!$I$525)^2+(J468-Sheet5!$J$525)^2+(K468-Sheet5!$K$525)^2+(L468-Sheet5!$L$525)^2)</f>
        <v>2.4022959941851787</v>
      </c>
      <c r="O468" s="8">
        <f>SQRT((C468-Sheet5!$C$526)^2+(D468-Sheet5!$D$526)^2+(E468-Sheet5!$E$526)^2+(F468-Sheet5!$F$526)^2+(G468-Sheet5!$G$526)^2+(H468-Sheet5!$H$526)^2+(I468-Sheet5!$I$526)^2+(J468-Sheet5!$J$526)^2+(K468-Sheet5!$K$526)^2+(L468-Sheet5!$L$526)^2)</f>
        <v>3.1935419100270774</v>
      </c>
      <c r="P468" s="12">
        <f t="shared" si="7"/>
        <v>0</v>
      </c>
      <c r="Q468" s="11">
        <f>IF(P468=Sheet1!$M468, 1, 0)</f>
        <v>1</v>
      </c>
    </row>
    <row r="469" spans="1:17" x14ac:dyDescent="0.35">
      <c r="A469" s="6" t="s">
        <v>505</v>
      </c>
      <c r="B469" s="6" t="s">
        <v>511</v>
      </c>
      <c r="C469" s="6">
        <v>0.37131705597373715</v>
      </c>
      <c r="D469" s="6">
        <v>-0.10226442397135649</v>
      </c>
      <c r="E469" s="6">
        <v>-0.86637986497253106</v>
      </c>
      <c r="F469" s="6">
        <v>-0.45091683923191406</v>
      </c>
      <c r="G469" s="6">
        <v>-0.16747709198573077</v>
      </c>
      <c r="H469" s="6">
        <v>-0.3825509370584006</v>
      </c>
      <c r="I469" s="6">
        <v>-1.2511885320515537</v>
      </c>
      <c r="J469" s="6">
        <v>0.65309125169818638</v>
      </c>
      <c r="K469" s="6">
        <v>-0.72994114234768448</v>
      </c>
      <c r="L469" s="6">
        <v>-0.40688205479667994</v>
      </c>
      <c r="N469" s="8">
        <f>SQRT((C469-Sheet5!$C$525)^2+(D469-Sheet5!$D$525)^2+(E469-Sheet5!$E$525)^2+(F469-Sheet5!$F$525)^2+(G469-Sheet5!$G$525)^2+(H469-Sheet5!$H$525)^2+(I469-Sheet5!$I$525)^2+(J469-Sheet5!$J$525)^2+(K469-Sheet5!$K$525)^2+(L469-Sheet5!$L$525)^2)</f>
        <v>1.8290471074329915</v>
      </c>
      <c r="O469" s="8">
        <f>SQRT((C469-Sheet5!$C$526)^2+(D469-Sheet5!$D$526)^2+(E469-Sheet5!$E$526)^2+(F469-Sheet5!$F$526)^2+(G469-Sheet5!$G$526)^2+(H469-Sheet5!$H$526)^2+(I469-Sheet5!$I$526)^2+(J469-Sheet5!$J$526)^2+(K469-Sheet5!$K$526)^2+(L469-Sheet5!$L$526)^2)</f>
        <v>3.8620897870408202</v>
      </c>
      <c r="P469" s="12">
        <f t="shared" si="7"/>
        <v>0</v>
      </c>
      <c r="Q469" s="11">
        <f>IF(P469=Sheet1!$M469, 1, 0)</f>
        <v>1</v>
      </c>
    </row>
    <row r="470" spans="1:17" x14ac:dyDescent="0.35">
      <c r="A470" s="6" t="s">
        <v>505</v>
      </c>
      <c r="B470" s="6" t="s">
        <v>512</v>
      </c>
      <c r="C470" s="6">
        <v>-0.77208548444693947</v>
      </c>
      <c r="D470" s="6">
        <v>-0.63625093858498472</v>
      </c>
      <c r="E470" s="6">
        <v>-1.4539651070149129</v>
      </c>
      <c r="F470" s="6">
        <v>-1.0825888771731962</v>
      </c>
      <c r="G470" s="6">
        <v>-0.66978409325244581</v>
      </c>
      <c r="H470" s="6">
        <v>-0.30714212076846453</v>
      </c>
      <c r="I470" s="6">
        <v>-0.39439412027277393</v>
      </c>
      <c r="J470" s="6">
        <v>0.45949903522017715</v>
      </c>
      <c r="K470" s="6">
        <v>-0.27455490557270729</v>
      </c>
      <c r="L470" s="6">
        <v>-0.43629440478483278</v>
      </c>
      <c r="N470" s="8">
        <f>SQRT((C470-Sheet5!$C$525)^2+(D470-Sheet5!$D$525)^2+(E470-Sheet5!$E$525)^2+(F470-Sheet5!$F$525)^2+(G470-Sheet5!$G$525)^2+(H470-Sheet5!$H$525)^2+(I470-Sheet5!$I$525)^2+(J470-Sheet5!$J$525)^2+(K470-Sheet5!$K$525)^2+(L470-Sheet5!$L$525)^2)</f>
        <v>1.9427675257413091</v>
      </c>
      <c r="O470" s="8">
        <f>SQRT((C470-Sheet5!$C$526)^2+(D470-Sheet5!$D$526)^2+(E470-Sheet5!$E$526)^2+(F470-Sheet5!$F$526)^2+(G470-Sheet5!$G$526)^2+(H470-Sheet5!$H$526)^2+(I470-Sheet5!$I$526)^2+(J470-Sheet5!$J$526)^2+(K470-Sheet5!$K$526)^2+(L470-Sheet5!$L$526)^2)</f>
        <v>4.3615585050485448</v>
      </c>
      <c r="P470" s="12">
        <f t="shared" si="7"/>
        <v>0</v>
      </c>
      <c r="Q470" s="11">
        <f>IF(P470=Sheet1!$M470, 1, 0)</f>
        <v>1</v>
      </c>
    </row>
    <row r="471" spans="1:17" x14ac:dyDescent="0.35">
      <c r="A471" s="6" t="s">
        <v>505</v>
      </c>
      <c r="B471" s="6" t="s">
        <v>513</v>
      </c>
      <c r="C471" s="6">
        <v>-0.64190937362439759</v>
      </c>
      <c r="D471" s="6">
        <v>-0.47053098577385882</v>
      </c>
      <c r="E471" s="6">
        <v>-1.4211782189009494</v>
      </c>
      <c r="F471" s="6">
        <v>-1.4169128582299235</v>
      </c>
      <c r="G471" s="6">
        <v>-2.1592840449855326</v>
      </c>
      <c r="H471" s="6">
        <v>-0.63732500923796886</v>
      </c>
      <c r="I471" s="6">
        <v>-1.0695022170538218</v>
      </c>
      <c r="J471" s="6">
        <v>0.39496829639417413</v>
      </c>
      <c r="K471" s="6">
        <v>-3.6689929662751655E-2</v>
      </c>
      <c r="L471" s="6">
        <v>-0.43535183051401094</v>
      </c>
      <c r="N471" s="8">
        <f>SQRT((C471-Sheet5!$C$525)^2+(D471-Sheet5!$D$525)^2+(E471-Sheet5!$E$525)^2+(F471-Sheet5!$F$525)^2+(G471-Sheet5!$G$525)^2+(H471-Sheet5!$H$525)^2+(I471-Sheet5!$I$525)^2+(J471-Sheet5!$J$525)^2+(K471-Sheet5!$K$525)^2+(L471-Sheet5!$L$525)^2)</f>
        <v>2.752316457102276</v>
      </c>
      <c r="O471" s="8">
        <f>SQRT((C471-Sheet5!$C$526)^2+(D471-Sheet5!$D$526)^2+(E471-Sheet5!$E$526)^2+(F471-Sheet5!$F$526)^2+(G471-Sheet5!$G$526)^2+(H471-Sheet5!$H$526)^2+(I471-Sheet5!$I$526)^2+(J471-Sheet5!$J$526)^2+(K471-Sheet5!$K$526)^2+(L471-Sheet5!$L$526)^2)</f>
        <v>5.4383071956791342</v>
      </c>
      <c r="P471" s="12">
        <f t="shared" si="7"/>
        <v>0</v>
      </c>
      <c r="Q471" s="11">
        <f>IF(P471=Sheet1!$M471, 1, 0)</f>
        <v>1</v>
      </c>
    </row>
    <row r="472" spans="1:17" x14ac:dyDescent="0.35">
      <c r="A472" s="6" t="s">
        <v>505</v>
      </c>
      <c r="B472" s="6" t="s">
        <v>514</v>
      </c>
      <c r="C472" s="6">
        <v>-1.1706659474809076</v>
      </c>
      <c r="D472" s="6">
        <v>2.0705082906634091</v>
      </c>
      <c r="E472" s="6">
        <v>1.0923604058358354</v>
      </c>
      <c r="F472" s="6">
        <v>1.5735150091945358</v>
      </c>
      <c r="G472" s="6">
        <v>0.40741762622704125</v>
      </c>
      <c r="H472" s="6">
        <v>1.1859524417722642</v>
      </c>
      <c r="I472" s="6">
        <v>0.94753462734205607</v>
      </c>
      <c r="J472" s="6">
        <v>0.24313126386240255</v>
      </c>
      <c r="K472" s="6">
        <v>-1.5468195464595</v>
      </c>
      <c r="L472" s="6">
        <v>-0.30442189131630942</v>
      </c>
      <c r="N472" s="8">
        <f>SQRT((C472-Sheet5!$C$525)^2+(D472-Sheet5!$D$525)^2+(E472-Sheet5!$E$525)^2+(F472-Sheet5!$F$525)^2+(G472-Sheet5!$G$525)^2+(H472-Sheet5!$H$525)^2+(I472-Sheet5!$I$525)^2+(J472-Sheet5!$J$525)^2+(K472-Sheet5!$K$525)^2+(L472-Sheet5!$L$525)^2)</f>
        <v>4.7004390451499267</v>
      </c>
      <c r="O472" s="8">
        <f>SQRT((C472-Sheet5!$C$526)^2+(D472-Sheet5!$D$526)^2+(E472-Sheet5!$E$526)^2+(F472-Sheet5!$F$526)^2+(G472-Sheet5!$G$526)^2+(H472-Sheet5!$H$526)^2+(I472-Sheet5!$I$526)^2+(J472-Sheet5!$J$526)^2+(K472-Sheet5!$K$526)^2+(L472-Sheet5!$L$526)^2)</f>
        <v>2.1853454199959965</v>
      </c>
      <c r="P472" s="12">
        <f t="shared" si="7"/>
        <v>1</v>
      </c>
      <c r="Q472" s="11">
        <f>IF(P472=Sheet1!$M472, 1, 0)</f>
        <v>0</v>
      </c>
    </row>
    <row r="473" spans="1:17" x14ac:dyDescent="0.35">
      <c r="A473" s="6" t="s">
        <v>505</v>
      </c>
      <c r="B473" s="6" t="s">
        <v>515</v>
      </c>
      <c r="C473" s="6">
        <v>-0.76403335388059668</v>
      </c>
      <c r="D473" s="6">
        <v>0.92888194907565047</v>
      </c>
      <c r="E473" s="6">
        <v>-0.74002140853332288</v>
      </c>
      <c r="F473" s="6">
        <v>0.16380790013045457</v>
      </c>
      <c r="G473" s="6">
        <v>-6.5854288261248589E-2</v>
      </c>
      <c r="H473" s="6">
        <v>0.71895641517673314</v>
      </c>
      <c r="I473" s="6">
        <v>0.83342287160663786</v>
      </c>
      <c r="J473" s="6">
        <v>-0.85389129617964865</v>
      </c>
      <c r="K473" s="6">
        <v>-0.51085498032535759</v>
      </c>
      <c r="L473" s="6">
        <v>-0.41583651036948732</v>
      </c>
      <c r="N473" s="8">
        <f>SQRT((C473-Sheet5!$C$525)^2+(D473-Sheet5!$D$525)^2+(E473-Sheet5!$E$525)^2+(F473-Sheet5!$F$525)^2+(G473-Sheet5!$G$525)^2+(H473-Sheet5!$H$525)^2+(I473-Sheet5!$I$525)^2+(J473-Sheet5!$J$525)^2+(K473-Sheet5!$K$525)^2+(L473-Sheet5!$L$525)^2)</f>
        <v>2.502969350608248</v>
      </c>
      <c r="O473" s="8">
        <f>SQRT((C473-Sheet5!$C$526)^2+(D473-Sheet5!$D$526)^2+(E473-Sheet5!$E$526)^2+(F473-Sheet5!$F$526)^2+(G473-Sheet5!$G$526)^2+(H473-Sheet5!$H$526)^2+(I473-Sheet5!$I$526)^2+(J473-Sheet5!$J$526)^2+(K473-Sheet5!$K$526)^2+(L473-Sheet5!$L$526)^2)</f>
        <v>3.0425758425045357</v>
      </c>
      <c r="P473" s="12">
        <f t="shared" si="7"/>
        <v>0</v>
      </c>
      <c r="Q473" s="11">
        <f>IF(P473=Sheet1!$M473, 1, 0)</f>
        <v>1</v>
      </c>
    </row>
    <row r="474" spans="1:17" x14ac:dyDescent="0.35">
      <c r="A474" s="6" t="s">
        <v>516</v>
      </c>
      <c r="B474" s="6" t="s">
        <v>517</v>
      </c>
      <c r="C474" s="6">
        <v>1.4207780731204147</v>
      </c>
      <c r="D474" s="6">
        <v>0.32737989813156382</v>
      </c>
      <c r="E474" s="6">
        <v>-1.0605224496473493</v>
      </c>
      <c r="F474" s="6">
        <v>-0.21673598614148823</v>
      </c>
      <c r="G474" s="6">
        <v>-0.33588059530058234</v>
      </c>
      <c r="H474" s="6">
        <v>-0.61093192353649162</v>
      </c>
      <c r="I474" s="6">
        <v>0.82003545892259477</v>
      </c>
      <c r="J474" s="6">
        <v>1.0782349427871476</v>
      </c>
      <c r="K474" s="6">
        <v>0.3232373365167836</v>
      </c>
      <c r="L474" s="6">
        <v>-0.38635027559699342</v>
      </c>
      <c r="N474" s="8">
        <f>SQRT((C474-Sheet5!$C$525)^2+(D474-Sheet5!$D$525)^2+(E474-Sheet5!$E$525)^2+(F474-Sheet5!$F$525)^2+(G474-Sheet5!$G$525)^2+(H474-Sheet5!$H$525)^2+(I474-Sheet5!$I$525)^2+(J474-Sheet5!$J$525)^2+(K474-Sheet5!$K$525)^2+(L474-Sheet5!$L$525)^2)</f>
        <v>2.421073395132336</v>
      </c>
      <c r="O474" s="8">
        <f>SQRT((C474-Sheet5!$C$526)^2+(D474-Sheet5!$D$526)^2+(E474-Sheet5!$E$526)^2+(F474-Sheet5!$F$526)^2+(G474-Sheet5!$G$526)^2+(H474-Sheet5!$H$526)^2+(I474-Sheet5!$I$526)^2+(J474-Sheet5!$J$526)^2+(K474-Sheet5!$K$526)^2+(L474-Sheet5!$L$526)^2)</f>
        <v>3.9146555776114345</v>
      </c>
      <c r="P474" s="12">
        <f t="shared" si="7"/>
        <v>0</v>
      </c>
      <c r="Q474" s="11">
        <f>IF(P474=Sheet1!$M474, 1, 0)</f>
        <v>0</v>
      </c>
    </row>
    <row r="475" spans="1:17" x14ac:dyDescent="0.35">
      <c r="A475" s="6" t="s">
        <v>516</v>
      </c>
      <c r="B475" s="6" t="s">
        <v>518</v>
      </c>
      <c r="C475" s="6">
        <v>0.50551923207945038</v>
      </c>
      <c r="D475" s="6">
        <v>8.8006632959936798E-2</v>
      </c>
      <c r="E475" s="6">
        <v>-0.80080608874460379</v>
      </c>
      <c r="F475" s="6">
        <v>-0.71128897194429574</v>
      </c>
      <c r="G475" s="6">
        <v>-1.3724331932902731</v>
      </c>
      <c r="H475" s="6">
        <v>-0.1417813593326771</v>
      </c>
      <c r="I475" s="6">
        <v>-8.6483628539775009E-2</v>
      </c>
      <c r="J475" s="6">
        <v>-0.69446241202128833</v>
      </c>
      <c r="K475" s="6">
        <v>0.9679766133253439</v>
      </c>
      <c r="L475" s="6">
        <v>-0.42308137734353385</v>
      </c>
      <c r="N475" s="8">
        <f>SQRT((C475-Sheet5!$C$525)^2+(D475-Sheet5!$D$525)^2+(E475-Sheet5!$E$525)^2+(F475-Sheet5!$F$525)^2+(G475-Sheet5!$G$525)^2+(H475-Sheet5!$H$525)^2+(I475-Sheet5!$I$525)^2+(J475-Sheet5!$J$525)^2+(K475-Sheet5!$K$525)^2+(L475-Sheet5!$L$525)^2)</f>
        <v>1.5049956583805031</v>
      </c>
      <c r="O475" s="8">
        <f>SQRT((C475-Sheet5!$C$526)^2+(D475-Sheet5!$D$526)^2+(E475-Sheet5!$E$526)^2+(F475-Sheet5!$F$526)^2+(G475-Sheet5!$G$526)^2+(H475-Sheet5!$H$526)^2+(I475-Sheet5!$I$526)^2+(J475-Sheet5!$J$526)^2+(K475-Sheet5!$K$526)^2+(L475-Sheet5!$L$526)^2)</f>
        <v>4.5661262248302785</v>
      </c>
      <c r="P475" s="12">
        <f t="shared" si="7"/>
        <v>0</v>
      </c>
      <c r="Q475" s="11">
        <f>IF(P475=Sheet1!$M475, 1, 0)</f>
        <v>1</v>
      </c>
    </row>
    <row r="476" spans="1:17" x14ac:dyDescent="0.35">
      <c r="A476" s="6" t="s">
        <v>516</v>
      </c>
      <c r="B476" s="6" t="s">
        <v>519</v>
      </c>
      <c r="C476" s="6">
        <v>2.5950471140454052</v>
      </c>
      <c r="D476" s="6">
        <v>-0.83265977154631954</v>
      </c>
      <c r="E476" s="6">
        <v>-0.84390795289442122</v>
      </c>
      <c r="F476" s="6">
        <v>-1.4785393985168778</v>
      </c>
      <c r="G476" s="6">
        <v>-2.7341787631983023</v>
      </c>
      <c r="H476" s="6">
        <v>-0.86732189892227318</v>
      </c>
      <c r="I476" s="6">
        <v>-4.1664570179625366</v>
      </c>
      <c r="J476" s="6">
        <v>-0.81972796386000013</v>
      </c>
      <c r="K476" s="6">
        <v>0.86156333462878443</v>
      </c>
      <c r="L476" s="6">
        <v>-0.43825176650936182</v>
      </c>
      <c r="N476" s="8">
        <f>SQRT((C476-Sheet5!$C$525)^2+(D476-Sheet5!$D$525)^2+(E476-Sheet5!$E$525)^2+(F476-Sheet5!$F$525)^2+(G476-Sheet5!$G$525)^2+(H476-Sheet5!$H$525)^2+(I476-Sheet5!$I$525)^2+(J476-Sheet5!$J$525)^2+(K476-Sheet5!$K$525)^2+(L476-Sheet5!$L$525)^2)</f>
        <v>5.3597542472285067</v>
      </c>
      <c r="O476" s="8">
        <f>SQRT((C476-Sheet5!$C$526)^2+(D476-Sheet5!$D$526)^2+(E476-Sheet5!$E$526)^2+(F476-Sheet5!$F$526)^2+(G476-Sheet5!$G$526)^2+(H476-Sheet5!$H$526)^2+(I476-Sheet5!$I$526)^2+(J476-Sheet5!$J$526)^2+(K476-Sheet5!$K$526)^2+(L476-Sheet5!$L$526)^2)</f>
        <v>8.2755189100597271</v>
      </c>
      <c r="P476" s="12">
        <f t="shared" si="7"/>
        <v>0</v>
      </c>
      <c r="Q476" s="11">
        <f>IF(P476=Sheet1!$M476, 1, 0)</f>
        <v>0</v>
      </c>
    </row>
    <row r="477" spans="1:17" x14ac:dyDescent="0.35">
      <c r="A477" s="6" t="s">
        <v>516</v>
      </c>
      <c r="B477" s="6" t="s">
        <v>520</v>
      </c>
      <c r="C477" s="6">
        <v>2.3507991535330071</v>
      </c>
      <c r="D477" s="6">
        <v>-0.13295330412156439</v>
      </c>
      <c r="E477" s="6">
        <v>-0.22721974275088053</v>
      </c>
      <c r="F477" s="6">
        <v>-0.81297276341776981</v>
      </c>
      <c r="G477" s="6">
        <v>-2.5164156123601318</v>
      </c>
      <c r="H477" s="6">
        <v>1.3345348463762764E-2</v>
      </c>
      <c r="I477" s="6">
        <v>0.3336261314023502</v>
      </c>
      <c r="J477" s="6">
        <v>-0.12127761421384972</v>
      </c>
      <c r="K477" s="6">
        <v>-0.33089134723559105</v>
      </c>
      <c r="L477" s="6">
        <v>6.4727448954961561E-2</v>
      </c>
      <c r="N477" s="8">
        <f>SQRT((C477-Sheet5!$C$525)^2+(D477-Sheet5!$D$525)^2+(E477-Sheet5!$E$525)^2+(F477-Sheet5!$F$525)^2+(G477-Sheet5!$G$525)^2+(H477-Sheet5!$H$525)^2+(I477-Sheet5!$I$525)^2+(J477-Sheet5!$J$525)^2+(K477-Sheet5!$K$525)^2+(L477-Sheet5!$L$525)^2)</f>
        <v>3.2016926179599268</v>
      </c>
      <c r="O477" s="8">
        <f>SQRT((C477-Sheet5!$C$526)^2+(D477-Sheet5!$D$526)^2+(E477-Sheet5!$E$526)^2+(F477-Sheet5!$F$526)^2+(G477-Sheet5!$G$526)^2+(H477-Sheet5!$H$526)^2+(I477-Sheet5!$I$526)^2+(J477-Sheet5!$J$526)^2+(K477-Sheet5!$K$526)^2+(L477-Sheet5!$L$526)^2)</f>
        <v>5.3450497068654732</v>
      </c>
      <c r="P477" s="12">
        <f t="shared" si="7"/>
        <v>0</v>
      </c>
      <c r="Q477" s="11">
        <f>IF(P477=Sheet1!$M477, 1, 0)</f>
        <v>0</v>
      </c>
    </row>
    <row r="478" spans="1:17" x14ac:dyDescent="0.35">
      <c r="A478" s="6" t="s">
        <v>516</v>
      </c>
      <c r="B478" s="6" t="s">
        <v>521</v>
      </c>
      <c r="C478" s="6">
        <v>1.1121130680772742</v>
      </c>
      <c r="D478" s="6">
        <v>-5.9299991761064347E-2</v>
      </c>
      <c r="E478" s="6">
        <v>0.60866170815455178</v>
      </c>
      <c r="F478" s="6">
        <v>0.32249624136936217</v>
      </c>
      <c r="G478" s="6">
        <v>-0.24296831760963145</v>
      </c>
      <c r="H478" s="6">
        <v>0.52235485842082952</v>
      </c>
      <c r="I478" s="6">
        <v>6.7790365247773279E-2</v>
      </c>
      <c r="J478" s="6">
        <v>0.75178532284383803</v>
      </c>
      <c r="K478" s="6">
        <v>0.31697773188757328</v>
      </c>
      <c r="L478" s="6">
        <v>-0.32117223638801018</v>
      </c>
      <c r="N478" s="8">
        <f>SQRT((C478-Sheet5!$C$525)^2+(D478-Sheet5!$D$525)^2+(E478-Sheet5!$E$525)^2+(F478-Sheet5!$F$525)^2+(G478-Sheet5!$G$525)^2+(H478-Sheet5!$H$525)^2+(I478-Sheet5!$I$525)^2+(J478-Sheet5!$J$525)^2+(K478-Sheet5!$K$525)^2+(L478-Sheet5!$L$525)^2)</f>
        <v>2.1377436662923111</v>
      </c>
      <c r="O478" s="8">
        <f>SQRT((C478-Sheet5!$C$526)^2+(D478-Sheet5!$D$526)^2+(E478-Sheet5!$E$526)^2+(F478-Sheet5!$F$526)^2+(G478-Sheet5!$G$526)^2+(H478-Sheet5!$H$526)^2+(I478-Sheet5!$I$526)^2+(J478-Sheet5!$J$526)^2+(K478-Sheet5!$K$526)^2+(L478-Sheet5!$L$526)^2)</f>
        <v>2.8212428993167831</v>
      </c>
      <c r="P478" s="12">
        <f t="shared" si="7"/>
        <v>0</v>
      </c>
      <c r="Q478" s="11">
        <f>IF(P478=Sheet1!$M478, 1, 0)</f>
        <v>0</v>
      </c>
    </row>
    <row r="479" spans="1:17" x14ac:dyDescent="0.35">
      <c r="A479" s="6" t="s">
        <v>516</v>
      </c>
      <c r="B479" s="6" t="s">
        <v>522</v>
      </c>
      <c r="C479" s="6">
        <v>0.84236669410479081</v>
      </c>
      <c r="D479" s="6">
        <v>-0.58101095431460936</v>
      </c>
      <c r="E479" s="6">
        <v>-1.5239595872582061</v>
      </c>
      <c r="F479" s="6">
        <v>-1.1503780714888456</v>
      </c>
      <c r="G479" s="6">
        <v>-0.9485209263253026</v>
      </c>
      <c r="H479" s="6">
        <v>-1.9499770470849229</v>
      </c>
      <c r="I479" s="6">
        <v>-2.151970156935048</v>
      </c>
      <c r="J479" s="6">
        <v>-0.572992785995871</v>
      </c>
      <c r="K479" s="6">
        <v>1.6596629248529713</v>
      </c>
      <c r="L479" s="6">
        <v>-0.43176507527055735</v>
      </c>
      <c r="N479" s="8">
        <f>SQRT((C479-Sheet5!$C$525)^2+(D479-Sheet5!$D$525)^2+(E479-Sheet5!$E$525)^2+(F479-Sheet5!$F$525)^2+(G479-Sheet5!$G$525)^2+(H479-Sheet5!$H$525)^2+(I479-Sheet5!$I$525)^2+(J479-Sheet5!$J$525)^2+(K479-Sheet5!$K$525)^2+(L479-Sheet5!$L$525)^2)</f>
        <v>3.3077670102854495</v>
      </c>
      <c r="O479" s="8">
        <f>SQRT((C479-Sheet5!$C$526)^2+(D479-Sheet5!$D$526)^2+(E479-Sheet5!$E$526)^2+(F479-Sheet5!$F$526)^2+(G479-Sheet5!$G$526)^2+(H479-Sheet5!$H$526)^2+(I479-Sheet5!$I$526)^2+(J479-Sheet5!$J$526)^2+(K479-Sheet5!$K$526)^2+(L479-Sheet5!$L$526)^2)</f>
        <v>6.5027896184669736</v>
      </c>
      <c r="P479" s="12">
        <f t="shared" si="7"/>
        <v>0</v>
      </c>
      <c r="Q479" s="11">
        <f>IF(P479=Sheet1!$M479, 1, 0)</f>
        <v>0</v>
      </c>
    </row>
    <row r="480" spans="1:17" x14ac:dyDescent="0.35">
      <c r="A480" s="6" t="s">
        <v>516</v>
      </c>
      <c r="B480" s="6" t="s">
        <v>523</v>
      </c>
      <c r="C480" s="6">
        <v>2.0810527795605238</v>
      </c>
      <c r="D480" s="6">
        <v>-6.5437767791105925E-2</v>
      </c>
      <c r="E480" s="6">
        <v>-1.0958880817702765</v>
      </c>
      <c r="F480" s="6">
        <v>-0.64041845061429925</v>
      </c>
      <c r="G480" s="6">
        <v>-0.99788057384862183</v>
      </c>
      <c r="H480" s="6">
        <v>0.3801553762740934</v>
      </c>
      <c r="I480" s="6">
        <v>4.0407810380426222E-3</v>
      </c>
      <c r="J480" s="6">
        <v>-0.64511537644846251</v>
      </c>
      <c r="K480" s="6">
        <v>-8.989656901103138E-2</v>
      </c>
      <c r="L480" s="6">
        <v>-0.28089598137924437</v>
      </c>
      <c r="N480" s="8">
        <f>SQRT((C480-Sheet5!$C$525)^2+(D480-Sheet5!$D$525)^2+(E480-Sheet5!$E$525)^2+(F480-Sheet5!$F$525)^2+(G480-Sheet5!$G$525)^2+(H480-Sheet5!$H$525)^2+(I480-Sheet5!$I$525)^2+(J480-Sheet5!$J$525)^2+(K480-Sheet5!$K$525)^2+(L480-Sheet5!$L$525)^2)</f>
        <v>2.2348536677650488</v>
      </c>
      <c r="O480" s="8">
        <f>SQRT((C480-Sheet5!$C$526)^2+(D480-Sheet5!$D$526)^2+(E480-Sheet5!$E$526)^2+(F480-Sheet5!$F$526)^2+(G480-Sheet5!$G$526)^2+(H480-Sheet5!$H$526)^2+(I480-Sheet5!$I$526)^2+(J480-Sheet5!$J$526)^2+(K480-Sheet5!$K$526)^2+(L480-Sheet5!$L$526)^2)</f>
        <v>4.8345193929566932</v>
      </c>
      <c r="P480" s="12">
        <f t="shared" si="7"/>
        <v>0</v>
      </c>
      <c r="Q480" s="11">
        <f>IF(P480=Sheet1!$M480, 1, 0)</f>
        <v>1</v>
      </c>
    </row>
    <row r="481" spans="1:17" x14ac:dyDescent="0.35">
      <c r="A481" s="6" t="s">
        <v>516</v>
      </c>
      <c r="B481" s="6" t="s">
        <v>524</v>
      </c>
      <c r="C481" s="6">
        <v>0.70145440919379176</v>
      </c>
      <c r="D481" s="6">
        <v>-0.2557088247223992</v>
      </c>
      <c r="E481" s="6">
        <v>-0.89990353708905568</v>
      </c>
      <c r="F481" s="6">
        <v>-0.92544119944146208</v>
      </c>
      <c r="G481" s="6">
        <v>-1.4014682800686984</v>
      </c>
      <c r="H481" s="6">
        <v>-1.1899639057627842</v>
      </c>
      <c r="I481" s="6">
        <v>-0.74501683342629255</v>
      </c>
      <c r="J481" s="6">
        <v>-0.47429871485021918</v>
      </c>
      <c r="K481" s="6">
        <v>-0.47486225370740337</v>
      </c>
      <c r="L481" s="6">
        <v>-0.40481309277996602</v>
      </c>
      <c r="N481" s="8">
        <f>SQRT((C481-Sheet5!$C$525)^2+(D481-Sheet5!$D$525)^2+(E481-Sheet5!$E$525)^2+(F481-Sheet5!$F$525)^2+(G481-Sheet5!$G$525)^2+(H481-Sheet5!$H$525)^2+(I481-Sheet5!$I$525)^2+(J481-Sheet5!$J$525)^2+(K481-Sheet5!$K$525)^2+(L481-Sheet5!$L$525)^2)</f>
        <v>1.8397951822414793</v>
      </c>
      <c r="O481" s="8">
        <f>SQRT((C481-Sheet5!$C$526)^2+(D481-Sheet5!$D$526)^2+(E481-Sheet5!$E$526)^2+(F481-Sheet5!$F$526)^2+(G481-Sheet5!$G$526)^2+(H481-Sheet5!$H$526)^2+(I481-Sheet5!$I$526)^2+(J481-Sheet5!$J$526)^2+(K481-Sheet5!$K$526)^2+(L481-Sheet5!$L$526)^2)</f>
        <v>4.9496924368183493</v>
      </c>
      <c r="P481" s="12">
        <f t="shared" si="7"/>
        <v>0</v>
      </c>
      <c r="Q481" s="11">
        <f>IF(P481=Sheet1!$M481, 1, 0)</f>
        <v>0</v>
      </c>
    </row>
    <row r="482" spans="1:17" x14ac:dyDescent="0.35">
      <c r="A482" s="6" t="s">
        <v>516</v>
      </c>
      <c r="B482" s="6" t="s">
        <v>525</v>
      </c>
      <c r="C482" s="6">
        <v>2.8970020102832601</v>
      </c>
      <c r="D482" s="6">
        <v>-1.8699439206233688</v>
      </c>
      <c r="E482" s="6">
        <v>-1.9973433089036361</v>
      </c>
      <c r="F482" s="6">
        <v>-2.4984586402659716</v>
      </c>
      <c r="G482" s="6">
        <v>-2.7457927979096715</v>
      </c>
      <c r="H482" s="6">
        <v>-0.40140314113088427</v>
      </c>
      <c r="I482" s="6">
        <v>-3.0655016986604888</v>
      </c>
      <c r="J482" s="6">
        <v>-1.3549535035344955</v>
      </c>
      <c r="K482" s="6">
        <v>0.96171700869613352</v>
      </c>
      <c r="L482" s="6">
        <v>-0.45585809689648016</v>
      </c>
      <c r="N482" s="8">
        <f>SQRT((C482-Sheet5!$C$525)^2+(D482-Sheet5!$D$525)^2+(E482-Sheet5!$E$525)^2+(F482-Sheet5!$F$525)^2+(G482-Sheet5!$G$525)^2+(H482-Sheet5!$H$525)^2+(I482-Sheet5!$I$525)^2+(J482-Sheet5!$J$525)^2+(K482-Sheet5!$K$525)^2+(L482-Sheet5!$L$525)^2)</f>
        <v>5.564970957582255</v>
      </c>
      <c r="O482" s="8">
        <f>SQRT((C482-Sheet5!$C$526)^2+(D482-Sheet5!$D$526)^2+(E482-Sheet5!$E$526)^2+(F482-Sheet5!$F$526)^2+(G482-Sheet5!$G$526)^2+(H482-Sheet5!$H$526)^2+(I482-Sheet5!$I$526)^2+(J482-Sheet5!$J$526)^2+(K482-Sheet5!$K$526)^2+(L482-Sheet5!$L$526)^2)</f>
        <v>8.8935298602926469</v>
      </c>
      <c r="P482" s="12">
        <f t="shared" si="7"/>
        <v>0</v>
      </c>
      <c r="Q482" s="11">
        <f>IF(P482=Sheet1!$M482, 1, 0)</f>
        <v>0</v>
      </c>
    </row>
    <row r="483" spans="1:17" x14ac:dyDescent="0.35">
      <c r="A483" s="6" t="s">
        <v>516</v>
      </c>
      <c r="B483" s="6" t="s">
        <v>526</v>
      </c>
      <c r="C483" s="6">
        <v>2.5655226353021487</v>
      </c>
      <c r="D483" s="6">
        <v>-0.90631308390682019</v>
      </c>
      <c r="E483" s="6">
        <v>-1.8713532444657084</v>
      </c>
      <c r="F483" s="6">
        <v>-1.5756011994688301</v>
      </c>
      <c r="G483" s="6">
        <v>-1.2795209155993224</v>
      </c>
      <c r="H483" s="6">
        <v>-0.36154419537763277</v>
      </c>
      <c r="I483" s="6">
        <v>-2.8245282703477068</v>
      </c>
      <c r="J483" s="6">
        <v>-1.203116471002724</v>
      </c>
      <c r="K483" s="6">
        <v>1.8850086915045086</v>
      </c>
      <c r="L483" s="6">
        <v>-0.4491674075950281</v>
      </c>
      <c r="N483" s="8">
        <f>SQRT((C483-Sheet5!$C$525)^2+(D483-Sheet5!$D$525)^2+(E483-Sheet5!$E$525)^2+(F483-Sheet5!$F$525)^2+(G483-Sheet5!$G$525)^2+(H483-Sheet5!$H$525)^2+(I483-Sheet5!$I$525)^2+(J483-Sheet5!$J$525)^2+(K483-Sheet5!$K$525)^2+(L483-Sheet5!$L$525)^2)</f>
        <v>4.4506416709111685</v>
      </c>
      <c r="O483" s="8">
        <f>SQRT((C483-Sheet5!$C$526)^2+(D483-Sheet5!$D$526)^2+(E483-Sheet5!$E$526)^2+(F483-Sheet5!$F$526)^2+(G483-Sheet5!$G$526)^2+(H483-Sheet5!$H$526)^2+(I483-Sheet5!$I$526)^2+(J483-Sheet5!$J$526)^2+(K483-Sheet5!$K$526)^2+(L483-Sheet5!$L$526)^2)</f>
        <v>7.6585005833181787</v>
      </c>
      <c r="P483" s="12">
        <f t="shared" si="7"/>
        <v>0</v>
      </c>
      <c r="Q483" s="11">
        <f>IF(P483=Sheet1!$M483, 1, 0)</f>
        <v>0</v>
      </c>
    </row>
    <row r="484" spans="1:17" x14ac:dyDescent="0.35">
      <c r="A484" s="6" t="s">
        <v>516</v>
      </c>
      <c r="B484" s="6" t="s">
        <v>527</v>
      </c>
      <c r="C484" s="6">
        <v>2.285040087241208</v>
      </c>
      <c r="D484" s="6">
        <v>-1.1088596928981966</v>
      </c>
      <c r="E484" s="6">
        <v>-1.7755713241327811</v>
      </c>
      <c r="F484" s="6">
        <v>-1.5524912468612224</v>
      </c>
      <c r="G484" s="6">
        <v>-0.59719637630638889</v>
      </c>
      <c r="H484" s="6">
        <v>0.77228122098175955</v>
      </c>
      <c r="I484" s="6">
        <v>-0.27836987701106458</v>
      </c>
      <c r="J484" s="6">
        <v>-0.81972796386000013</v>
      </c>
      <c r="K484" s="6">
        <v>2.3701280502682298</v>
      </c>
      <c r="L484" s="6">
        <v>-0.44667799602217417</v>
      </c>
      <c r="N484" s="8">
        <f>SQRT((C484-Sheet5!$C$525)^2+(D484-Sheet5!$D$525)^2+(E484-Sheet5!$E$525)^2+(F484-Sheet5!$F$525)^2+(G484-Sheet5!$G$525)^2+(H484-Sheet5!$H$525)^2+(I484-Sheet5!$I$525)^2+(J484-Sheet5!$J$525)^2+(K484-Sheet5!$K$525)^2+(L484-Sheet5!$L$525)^2)</f>
        <v>3.6999929604276613</v>
      </c>
      <c r="O484" s="8">
        <f>SQRT((C484-Sheet5!$C$526)^2+(D484-Sheet5!$D$526)^2+(E484-Sheet5!$E$526)^2+(F484-Sheet5!$F$526)^2+(G484-Sheet5!$G$526)^2+(H484-Sheet5!$H$526)^2+(I484-Sheet5!$I$526)^2+(J484-Sheet5!$J$526)^2+(K484-Sheet5!$K$526)^2+(L484-Sheet5!$L$526)^2)</f>
        <v>6.5782832848122084</v>
      </c>
      <c r="P484" s="12">
        <f t="shared" si="7"/>
        <v>0</v>
      </c>
      <c r="Q484" s="11">
        <f>IF(P484=Sheet1!$M484, 1, 0)</f>
        <v>0</v>
      </c>
    </row>
    <row r="485" spans="1:17" x14ac:dyDescent="0.35">
      <c r="A485" s="6" t="s">
        <v>516</v>
      </c>
      <c r="B485" s="6" t="s">
        <v>528</v>
      </c>
      <c r="C485" s="6">
        <v>3.0097318382120597</v>
      </c>
      <c r="D485" s="6">
        <v>-2.0356638734344945</v>
      </c>
      <c r="E485" s="6">
        <v>-1.9582937567679042</v>
      </c>
      <c r="F485" s="6">
        <v>-2.1256180715298973</v>
      </c>
      <c r="G485" s="6">
        <v>-0.69591567135302324</v>
      </c>
      <c r="H485" s="6">
        <v>-1.7232119638130445</v>
      </c>
      <c r="I485" s="6">
        <v>-0.16999558385452232</v>
      </c>
      <c r="J485" s="6">
        <v>-1.6548316427847449</v>
      </c>
      <c r="K485" s="6">
        <v>3.9506782191435814</v>
      </c>
      <c r="L485" s="6">
        <v>-0.45564831091379226</v>
      </c>
      <c r="N485" s="8">
        <f>SQRT((C485-Sheet5!$C$525)^2+(D485-Sheet5!$D$525)^2+(E485-Sheet5!$E$525)^2+(F485-Sheet5!$F$525)^2+(G485-Sheet5!$G$525)^2+(H485-Sheet5!$H$525)^2+(I485-Sheet5!$I$525)^2+(J485-Sheet5!$J$525)^2+(K485-Sheet5!$K$525)^2+(L485-Sheet5!$L$525)^2)</f>
        <v>5.7700729169667699</v>
      </c>
      <c r="O485" s="8">
        <f>SQRT((C485-Sheet5!$C$526)^2+(D485-Sheet5!$D$526)^2+(E485-Sheet5!$E$526)^2+(F485-Sheet5!$F$526)^2+(G485-Sheet5!$G$526)^2+(H485-Sheet5!$H$526)^2+(I485-Sheet5!$I$526)^2+(J485-Sheet5!$J$526)^2+(K485-Sheet5!$K$526)^2+(L485-Sheet5!$L$526)^2)</f>
        <v>8.8456670217988176</v>
      </c>
      <c r="P485" s="12">
        <f t="shared" si="7"/>
        <v>0</v>
      </c>
      <c r="Q485" s="11">
        <f>IF(P485=Sheet1!$M485, 1, 0)</f>
        <v>1</v>
      </c>
    </row>
    <row r="486" spans="1:17" x14ac:dyDescent="0.35">
      <c r="A486" s="6" t="s">
        <v>516</v>
      </c>
      <c r="B486" s="6" t="s">
        <v>529</v>
      </c>
      <c r="C486" s="6">
        <v>0.41291973056650833</v>
      </c>
      <c r="D486" s="6">
        <v>1.6899661768008225</v>
      </c>
      <c r="E486" s="6">
        <v>1.259610374417178</v>
      </c>
      <c r="F486" s="6">
        <v>1.3193055305108483</v>
      </c>
      <c r="G486" s="6">
        <v>0.36967201341509293</v>
      </c>
      <c r="H486" s="6">
        <v>0.72865183441401093</v>
      </c>
      <c r="I486" s="6">
        <v>0.44901287882196284</v>
      </c>
      <c r="J486" s="6">
        <v>1.8563997345124774</v>
      </c>
      <c r="K486" s="6">
        <v>-1.2620075358304761</v>
      </c>
      <c r="L486" s="6">
        <v>-0.25026139819673437</v>
      </c>
      <c r="N486" s="8">
        <f>SQRT((C486-Sheet5!$C$525)^2+(D486-Sheet5!$D$525)^2+(E486-Sheet5!$E$525)^2+(F486-Sheet5!$F$525)^2+(G486-Sheet5!$G$525)^2+(H486-Sheet5!$H$525)^2+(I486-Sheet5!$I$525)^2+(J486-Sheet5!$J$525)^2+(K486-Sheet5!$K$525)^2+(L486-Sheet5!$L$525)^2)</f>
        <v>4.4225144632378806</v>
      </c>
      <c r="O486" s="8">
        <f>SQRT((C486-Sheet5!$C$526)^2+(D486-Sheet5!$D$526)^2+(E486-Sheet5!$E$526)^2+(F486-Sheet5!$F$526)^2+(G486-Sheet5!$G$526)^2+(H486-Sheet5!$H$526)^2+(I486-Sheet5!$I$526)^2+(J486-Sheet5!$J$526)^2+(K486-Sheet5!$K$526)^2+(L486-Sheet5!$L$526)^2)</f>
        <v>2.0072011609819369</v>
      </c>
      <c r="P486" s="12">
        <f t="shared" si="7"/>
        <v>1</v>
      </c>
      <c r="Q486" s="11">
        <f>IF(P486=Sheet1!$M486, 1, 0)</f>
        <v>0</v>
      </c>
    </row>
    <row r="487" spans="1:17" x14ac:dyDescent="0.35">
      <c r="A487" s="6" t="s">
        <v>530</v>
      </c>
      <c r="B487" s="6" t="s">
        <v>531</v>
      </c>
      <c r="C487" s="6">
        <v>-0.28358956342214331</v>
      </c>
      <c r="D487" s="6">
        <v>0.18007327341056265</v>
      </c>
      <c r="E487" s="6">
        <v>-4.5602486119598835E-2</v>
      </c>
      <c r="F487" s="6">
        <v>8.6774724771761666E-2</v>
      </c>
      <c r="G487" s="6">
        <v>-0.75108233623202991</v>
      </c>
      <c r="H487" s="6">
        <v>0.26381034542676335</v>
      </c>
      <c r="I487" s="6">
        <v>-0.87889096026672742</v>
      </c>
      <c r="J487" s="6">
        <v>-1.0892386966038949</v>
      </c>
      <c r="K487" s="6">
        <v>0.19178563930338741</v>
      </c>
      <c r="L487" s="6">
        <v>-0.24111775912918038</v>
      </c>
      <c r="N487" s="8">
        <f>SQRT((C487-Sheet5!$C$525)^2+(D487-Sheet5!$D$525)^2+(E487-Sheet5!$E$525)^2+(F487-Sheet5!$F$525)^2+(G487-Sheet5!$G$525)^2+(H487-Sheet5!$H$525)^2+(I487-Sheet5!$I$525)^2+(J487-Sheet5!$J$525)^2+(K487-Sheet5!$K$525)^2+(L487-Sheet5!$L$525)^2)</f>
        <v>1.5104521188019806</v>
      </c>
      <c r="O487" s="8">
        <f>SQRT((C487-Sheet5!$C$526)^2+(D487-Sheet5!$D$526)^2+(E487-Sheet5!$E$526)^2+(F487-Sheet5!$F$526)^2+(G487-Sheet5!$G$526)^2+(H487-Sheet5!$H$526)^2+(I487-Sheet5!$I$526)^2+(J487-Sheet5!$J$526)^2+(K487-Sheet5!$K$526)^2+(L487-Sheet5!$L$526)^2)</f>
        <v>3.6784002515800576</v>
      </c>
      <c r="P487" s="12">
        <f t="shared" si="7"/>
        <v>0</v>
      </c>
      <c r="Q487" s="11">
        <f>IF(P487=Sheet1!$M487, 1, 0)</f>
        <v>0</v>
      </c>
    </row>
    <row r="488" spans="1:17" x14ac:dyDescent="0.35">
      <c r="A488" s="6" t="s">
        <v>530</v>
      </c>
      <c r="B488" s="6" t="s">
        <v>532</v>
      </c>
      <c r="C488" s="6">
        <v>3.3304750391047144</v>
      </c>
      <c r="D488" s="6">
        <v>-1.7410506239924928</v>
      </c>
      <c r="E488" s="6">
        <v>-1.0240516415205809</v>
      </c>
      <c r="F488" s="6">
        <v>-1.7342895407077377</v>
      </c>
      <c r="G488" s="6">
        <v>-2.832898058244941</v>
      </c>
      <c r="H488" s="6">
        <v>-2.8818145626677008</v>
      </c>
      <c r="I488" s="6">
        <v>-2.6555918721919207</v>
      </c>
      <c r="J488" s="6">
        <v>-1.3056064679616697</v>
      </c>
      <c r="K488" s="6">
        <v>2.2965776958750204</v>
      </c>
      <c r="L488" s="6">
        <v>-0.36156945265711266</v>
      </c>
      <c r="N488" s="8">
        <f>SQRT((C488-Sheet5!$C$525)^2+(D488-Sheet5!$D$525)^2+(E488-Sheet5!$E$525)^2+(F488-Sheet5!$F$525)^2+(G488-Sheet5!$G$525)^2+(H488-Sheet5!$H$525)^2+(I488-Sheet5!$I$525)^2+(J488-Sheet5!$J$525)^2+(K488-Sheet5!$K$525)^2+(L488-Sheet5!$L$525)^2)</f>
        <v>6.0936054233021331</v>
      </c>
      <c r="O488" s="8">
        <f>SQRT((C488-Sheet5!$C$526)^2+(D488-Sheet5!$D$526)^2+(E488-Sheet5!$E$526)^2+(F488-Sheet5!$F$526)^2+(G488-Sheet5!$G$526)^2+(H488-Sheet5!$H$526)^2+(I488-Sheet5!$I$526)^2+(J488-Sheet5!$J$526)^2+(K488-Sheet5!$K$526)^2+(L488-Sheet5!$L$526)^2)</f>
        <v>9.2933302505064042</v>
      </c>
      <c r="P488" s="12">
        <f t="shared" si="7"/>
        <v>0</v>
      </c>
      <c r="Q488" s="11">
        <f>IF(P488=Sheet1!$M488, 1, 0)</f>
        <v>1</v>
      </c>
    </row>
    <row r="489" spans="1:17" x14ac:dyDescent="0.35">
      <c r="A489" s="6" t="s">
        <v>530</v>
      </c>
      <c r="B489" s="6" t="s">
        <v>533</v>
      </c>
      <c r="C489" s="6">
        <v>-1.9211276493888138E-2</v>
      </c>
      <c r="D489" s="6">
        <v>0.99025970937606844</v>
      </c>
      <c r="E489" s="6">
        <v>-0.12370159039106277</v>
      </c>
      <c r="F489" s="6">
        <v>0.3240369048765368</v>
      </c>
      <c r="G489" s="6">
        <v>-0.72495075813144838</v>
      </c>
      <c r="H489" s="6">
        <v>-0.32114661522231003</v>
      </c>
      <c r="I489" s="6">
        <v>-0.65449242384847495</v>
      </c>
      <c r="J489" s="6">
        <v>1.0668471653472644</v>
      </c>
      <c r="K489" s="6">
        <v>-0.23386747548284592</v>
      </c>
      <c r="L489" s="6">
        <v>-0.24431388200745963</v>
      </c>
      <c r="N489" s="8">
        <f>SQRT((C489-Sheet5!$C$525)^2+(D489-Sheet5!$D$525)^2+(E489-Sheet5!$E$525)^2+(F489-Sheet5!$F$525)^2+(G489-Sheet5!$G$525)^2+(H489-Sheet5!$H$525)^2+(I489-Sheet5!$I$525)^2+(J489-Sheet5!$J$525)^2+(K489-Sheet5!$K$525)^2+(L489-Sheet5!$L$525)^2)</f>
        <v>2.295747570265084</v>
      </c>
      <c r="O489" s="8">
        <f>SQRT((C489-Sheet5!$C$526)^2+(D489-Sheet5!$D$526)^2+(E489-Sheet5!$E$526)^2+(F489-Sheet5!$F$526)^2+(G489-Sheet5!$G$526)^2+(H489-Sheet5!$H$526)^2+(I489-Sheet5!$I$526)^2+(J489-Sheet5!$J$526)^2+(K489-Sheet5!$K$526)^2+(L489-Sheet5!$L$526)^2)</f>
        <v>2.8777554424438985</v>
      </c>
      <c r="P489" s="12">
        <f t="shared" si="7"/>
        <v>0</v>
      </c>
      <c r="Q489" s="11">
        <f>IF(P489=Sheet1!$M489, 1, 0)</f>
        <v>0</v>
      </c>
    </row>
    <row r="490" spans="1:17" x14ac:dyDescent="0.35">
      <c r="A490" s="6" t="s">
        <v>530</v>
      </c>
      <c r="B490" s="6" t="s">
        <v>534</v>
      </c>
      <c r="C490" s="6">
        <v>1.5509541839429564</v>
      </c>
      <c r="D490" s="6">
        <v>0.96570860525590108</v>
      </c>
      <c r="E490" s="6">
        <v>-0.54108972784185816</v>
      </c>
      <c r="F490" s="6">
        <v>-0.11967418518953367</v>
      </c>
      <c r="G490" s="6">
        <v>-0.43750339902506036</v>
      </c>
      <c r="H490" s="6">
        <v>0.45933463337852593</v>
      </c>
      <c r="I490" s="6">
        <v>0.13090245361540628</v>
      </c>
      <c r="J490" s="6">
        <v>-0.76278907666058571</v>
      </c>
      <c r="K490" s="6">
        <v>0.5673619170559473</v>
      </c>
      <c r="L490" s="6">
        <v>-0.29818874022829528</v>
      </c>
      <c r="N490" s="8">
        <f>SQRT((C490-Sheet5!$C$525)^2+(D490-Sheet5!$D$525)^2+(E490-Sheet5!$E$525)^2+(F490-Sheet5!$F$525)^2+(G490-Sheet5!$G$525)^2+(H490-Sheet5!$H$525)^2+(I490-Sheet5!$I$525)^2+(J490-Sheet5!$J$525)^2+(K490-Sheet5!$K$525)^2+(L490-Sheet5!$L$525)^2)</f>
        <v>2.1298921841687553</v>
      </c>
      <c r="O490" s="8">
        <f>SQRT((C490-Sheet5!$C$526)^2+(D490-Sheet5!$D$526)^2+(E490-Sheet5!$E$526)^2+(F490-Sheet5!$F$526)^2+(G490-Sheet5!$G$526)^2+(H490-Sheet5!$H$526)^2+(I490-Sheet5!$I$526)^2+(J490-Sheet5!$J$526)^2+(K490-Sheet5!$K$526)^2+(L490-Sheet5!$L$526)^2)</f>
        <v>3.9698023328034449</v>
      </c>
      <c r="P490" s="12">
        <f t="shared" si="7"/>
        <v>0</v>
      </c>
      <c r="Q490" s="11">
        <f>IF(P490=Sheet1!$M490, 1, 0)</f>
        <v>0</v>
      </c>
    </row>
    <row r="491" spans="1:17" x14ac:dyDescent="0.35">
      <c r="A491" s="6" t="s">
        <v>530</v>
      </c>
      <c r="B491" s="6" t="s">
        <v>535</v>
      </c>
      <c r="C491" s="6">
        <v>1.8542511019418684</v>
      </c>
      <c r="D491" s="6">
        <v>0.63426869963364929</v>
      </c>
      <c r="E491" s="6">
        <v>-1.0439448095897275</v>
      </c>
      <c r="F491" s="6">
        <v>-0.33998906671539642</v>
      </c>
      <c r="G491" s="6">
        <v>-0.14134551388514929</v>
      </c>
      <c r="H491" s="6">
        <v>-0.47627332301874908</v>
      </c>
      <c r="I491" s="6">
        <v>-0.27071992690589664</v>
      </c>
      <c r="J491" s="6">
        <v>-0.98295277383165469</v>
      </c>
      <c r="K491" s="6">
        <v>-0.86452264187568473</v>
      </c>
      <c r="L491" s="6">
        <v>-0.39831664356766405</v>
      </c>
      <c r="N491" s="8">
        <f>SQRT((C491-Sheet5!$C$525)^2+(D491-Sheet5!$D$525)^2+(E491-Sheet5!$E$525)^2+(F491-Sheet5!$F$525)^2+(G491-Sheet5!$G$525)^2+(H491-Sheet5!$H$525)^2+(I491-Sheet5!$I$525)^2+(J491-Sheet5!$J$525)^2+(K491-Sheet5!$K$525)^2+(L491-Sheet5!$L$525)^2)</f>
        <v>2.3670852815909473</v>
      </c>
      <c r="O491" s="8">
        <f>SQRT((C491-Sheet5!$C$526)^2+(D491-Sheet5!$D$526)^2+(E491-Sheet5!$E$526)^2+(F491-Sheet5!$F$526)^2+(G491-Sheet5!$G$526)^2+(H491-Sheet5!$H$526)^2+(I491-Sheet5!$I$526)^2+(J491-Sheet5!$J$526)^2+(K491-Sheet5!$K$526)^2+(L491-Sheet5!$L$526)^2)</f>
        <v>4.5464258429719049</v>
      </c>
      <c r="P491" s="12">
        <f t="shared" si="7"/>
        <v>0</v>
      </c>
      <c r="Q491" s="11">
        <f>IF(P491=Sheet1!$M491, 1, 0)</f>
        <v>0</v>
      </c>
    </row>
    <row r="492" spans="1:17" x14ac:dyDescent="0.35">
      <c r="A492" s="6" t="s">
        <v>530</v>
      </c>
      <c r="B492" s="6" t="s">
        <v>536</v>
      </c>
      <c r="C492" s="6">
        <v>1.6341595331284986</v>
      </c>
      <c r="D492" s="6">
        <v>1.1682552142472775</v>
      </c>
      <c r="E492" s="6">
        <v>-0.26442733488021003</v>
      </c>
      <c r="F492" s="6">
        <v>0.3702568100917521</v>
      </c>
      <c r="G492" s="6">
        <v>-0.39685427753526831</v>
      </c>
      <c r="H492" s="6">
        <v>0.32952374247942162</v>
      </c>
      <c r="I492" s="6">
        <v>0.79899809613338379</v>
      </c>
      <c r="J492" s="6">
        <v>1.6817871471009402</v>
      </c>
      <c r="K492" s="6">
        <v>8.6769811250344078E-4</v>
      </c>
      <c r="L492" s="6">
        <v>-0.3894164523571117</v>
      </c>
      <c r="N492" s="8">
        <f>SQRT((C492-Sheet5!$C$525)^2+(D492-Sheet5!$D$525)^2+(E492-Sheet5!$E$525)^2+(F492-Sheet5!$F$525)^2+(G492-Sheet5!$G$525)^2+(H492-Sheet5!$H$525)^2+(I492-Sheet5!$I$525)^2+(J492-Sheet5!$J$525)^2+(K492-Sheet5!$K$525)^2+(L492-Sheet5!$L$525)^2)</f>
        <v>3.3014861168989893</v>
      </c>
      <c r="O492" s="8">
        <f>SQRT((C492-Sheet5!$C$526)^2+(D492-Sheet5!$D$526)^2+(E492-Sheet5!$E$526)^2+(F492-Sheet5!$F$526)^2+(G492-Sheet5!$G$526)^2+(H492-Sheet5!$H$526)^2+(I492-Sheet5!$I$526)^2+(J492-Sheet5!$J$526)^2+(K492-Sheet5!$K$526)^2+(L492-Sheet5!$L$526)^2)</f>
        <v>3.2802330112218261</v>
      </c>
      <c r="P492" s="12">
        <f t="shared" si="7"/>
        <v>1</v>
      </c>
      <c r="Q492" s="11">
        <f>IF(P492=Sheet1!$M492, 1, 0)</f>
        <v>1</v>
      </c>
    </row>
    <row r="493" spans="1:17" x14ac:dyDescent="0.35">
      <c r="A493" s="6" t="s">
        <v>530</v>
      </c>
      <c r="B493" s="6" t="s">
        <v>537</v>
      </c>
      <c r="C493" s="6">
        <v>3.2633739510518578</v>
      </c>
      <c r="D493" s="6">
        <v>-2.2504860344859545</v>
      </c>
      <c r="E493" s="6">
        <v>-1.4543334990161936</v>
      </c>
      <c r="F493" s="6">
        <v>-2.0378002516209874</v>
      </c>
      <c r="G493" s="6">
        <v>-0.88174022673492913</v>
      </c>
      <c r="H493" s="6">
        <v>-4.1443736011220542</v>
      </c>
      <c r="I493" s="6">
        <v>-0.19422042585421967</v>
      </c>
      <c r="J493" s="6">
        <v>-1.6396479395315677</v>
      </c>
      <c r="K493" s="6">
        <v>3.0978070884138136</v>
      </c>
      <c r="L493" s="6">
        <v>-0.39448198982833305</v>
      </c>
      <c r="N493" s="8">
        <f>SQRT((C493-Sheet5!$C$525)^2+(D493-Sheet5!$D$525)^2+(E493-Sheet5!$E$525)^2+(F493-Sheet5!$F$525)^2+(G493-Sheet5!$G$525)^2+(H493-Sheet5!$H$525)^2+(I493-Sheet5!$I$525)^2+(J493-Sheet5!$J$525)^2+(K493-Sheet5!$K$525)^2+(L493-Sheet5!$L$525)^2)</f>
        <v>6.4277926247862753</v>
      </c>
      <c r="O493" s="8">
        <f>SQRT((C493-Sheet5!$C$526)^2+(D493-Sheet5!$D$526)^2+(E493-Sheet5!$E$526)^2+(F493-Sheet5!$F$526)^2+(G493-Sheet5!$G$526)^2+(H493-Sheet5!$H$526)^2+(I493-Sheet5!$I$526)^2+(J493-Sheet5!$J$526)^2+(K493-Sheet5!$K$526)^2+(L493-Sheet5!$L$526)^2)</f>
        <v>9.4352173028990496</v>
      </c>
      <c r="P493" s="12">
        <f t="shared" si="7"/>
        <v>0</v>
      </c>
      <c r="Q493" s="11">
        <f>IF(P493=Sheet1!$M493, 1, 0)</f>
        <v>0</v>
      </c>
    </row>
    <row r="494" spans="1:17" x14ac:dyDescent="0.35">
      <c r="A494" s="6" t="s">
        <v>530</v>
      </c>
      <c r="B494" s="6" t="s">
        <v>538</v>
      </c>
      <c r="C494" s="6">
        <v>3.1841946671494865</v>
      </c>
      <c r="D494" s="6">
        <v>-2.8826769655802504</v>
      </c>
      <c r="E494" s="6">
        <v>-1.8551439964093668</v>
      </c>
      <c r="F494" s="6">
        <v>-3.2256518156520322</v>
      </c>
      <c r="G494" s="6">
        <v>-1.2562928461765845</v>
      </c>
      <c r="H494" s="6">
        <v>-3.3078743747058383</v>
      </c>
      <c r="I494" s="6">
        <v>-0.14449575017062968</v>
      </c>
      <c r="J494" s="6">
        <v>-1.2600553582021381</v>
      </c>
      <c r="K494" s="6">
        <v>3.431131034919209</v>
      </c>
      <c r="L494" s="6">
        <v>-0.4383993898129166</v>
      </c>
      <c r="N494" s="8">
        <f>SQRT((C494-Sheet5!$C$525)^2+(D494-Sheet5!$D$525)^2+(E494-Sheet5!$E$525)^2+(F494-Sheet5!$F$525)^2+(G494-Sheet5!$G$525)^2+(H494-Sheet5!$H$525)^2+(I494-Sheet5!$I$525)^2+(J494-Sheet5!$J$525)^2+(K494-Sheet5!$K$525)^2+(L494-Sheet5!$L$525)^2)</f>
        <v>6.7710212181390457</v>
      </c>
      <c r="O494" s="8">
        <f>SQRT((C494-Sheet5!$C$526)^2+(D494-Sheet5!$D$526)^2+(E494-Sheet5!$E$526)^2+(F494-Sheet5!$F$526)^2+(G494-Sheet5!$G$526)^2+(H494-Sheet5!$H$526)^2+(I494-Sheet5!$I$526)^2+(J494-Sheet5!$J$526)^2+(K494-Sheet5!$K$526)^2+(L494-Sheet5!$L$526)^2)</f>
        <v>9.9267112063366909</v>
      </c>
      <c r="P494" s="12">
        <f t="shared" si="7"/>
        <v>0</v>
      </c>
      <c r="Q494" s="11">
        <f>IF(P494=Sheet1!$M494, 1, 0)</f>
        <v>0</v>
      </c>
    </row>
    <row r="495" spans="1:17" x14ac:dyDescent="0.35">
      <c r="A495" s="6" t="s">
        <v>530</v>
      </c>
      <c r="B495" s="6" t="s">
        <v>539</v>
      </c>
      <c r="C495" s="6">
        <v>0.25456116276176671</v>
      </c>
      <c r="D495" s="6">
        <v>1.0700507977666101</v>
      </c>
      <c r="E495" s="6">
        <v>0.39609952341570898</v>
      </c>
      <c r="F495" s="6">
        <v>0.70149946413413244</v>
      </c>
      <c r="G495" s="6">
        <v>0.78487375434653639</v>
      </c>
      <c r="H495" s="6">
        <v>0.3462214089436218</v>
      </c>
      <c r="I495" s="6">
        <v>0.3903632613490105</v>
      </c>
      <c r="J495" s="6">
        <v>0.11786571202369081</v>
      </c>
      <c r="K495" s="6">
        <v>-0.73463584581959163</v>
      </c>
      <c r="L495" s="6">
        <v>0.99575701327331334</v>
      </c>
      <c r="N495" s="8">
        <f>SQRT((C495-Sheet5!$C$525)^2+(D495-Sheet5!$D$525)^2+(E495-Sheet5!$E$525)^2+(F495-Sheet5!$F$525)^2+(G495-Sheet5!$G$525)^2+(H495-Sheet5!$H$525)^2+(I495-Sheet5!$I$525)^2+(J495-Sheet5!$J$525)^2+(K495-Sheet5!$K$525)^2+(L495-Sheet5!$L$525)^2)</f>
        <v>2.9788495914522581</v>
      </c>
      <c r="O495" s="8">
        <f>SQRT((C495-Sheet5!$C$526)^2+(D495-Sheet5!$D$526)^2+(E495-Sheet5!$E$526)^2+(F495-Sheet5!$F$526)^2+(G495-Sheet5!$G$526)^2+(H495-Sheet5!$H$526)^2+(I495-Sheet5!$I$526)^2+(J495-Sheet5!$J$526)^2+(K495-Sheet5!$K$526)^2+(L495-Sheet5!$L$526)^2)</f>
        <v>1.5796761318374646</v>
      </c>
      <c r="P495" s="12">
        <f t="shared" si="7"/>
        <v>1</v>
      </c>
      <c r="Q495" s="11">
        <f>IF(P495=Sheet1!$M495, 1, 0)</f>
        <v>0</v>
      </c>
    </row>
    <row r="496" spans="1:17" x14ac:dyDescent="0.35">
      <c r="A496" s="6" t="s">
        <v>530</v>
      </c>
      <c r="B496" s="6" t="s">
        <v>540</v>
      </c>
      <c r="C496" s="6">
        <v>1.0235396318475034</v>
      </c>
      <c r="D496" s="6">
        <v>0.21689992959081214</v>
      </c>
      <c r="E496" s="6">
        <v>-0.90653459311210449</v>
      </c>
      <c r="F496" s="6">
        <v>-1.2797938060914502</v>
      </c>
      <c r="G496" s="6">
        <v>-2.710950693775565</v>
      </c>
      <c r="H496" s="6">
        <v>-0.83446520039594407</v>
      </c>
      <c r="I496" s="6">
        <v>-1.3155756121033821</v>
      </c>
      <c r="J496" s="6">
        <v>0.63411162263171506</v>
      </c>
      <c r="K496" s="6">
        <v>1.6048913843473906</v>
      </c>
      <c r="L496" s="6">
        <v>-0.39158928350927796</v>
      </c>
      <c r="N496" s="8">
        <f>SQRT((C496-Sheet5!$C$525)^2+(D496-Sheet5!$D$525)^2+(E496-Sheet5!$E$525)^2+(F496-Sheet5!$F$525)^2+(G496-Sheet5!$G$525)^2+(H496-Sheet5!$H$525)^2+(I496-Sheet5!$I$525)^2+(J496-Sheet5!$J$525)^2+(K496-Sheet5!$K$525)^2+(L496-Sheet5!$L$525)^2)</f>
        <v>3.4461744206887159</v>
      </c>
      <c r="O496" s="8">
        <f>SQRT((C496-Sheet5!$C$526)^2+(D496-Sheet5!$D$526)^2+(E496-Sheet5!$E$526)^2+(F496-Sheet5!$F$526)^2+(G496-Sheet5!$G$526)^2+(H496-Sheet5!$H$526)^2+(I496-Sheet5!$I$526)^2+(J496-Sheet5!$J$526)^2+(K496-Sheet5!$K$526)^2+(L496-Sheet5!$L$526)^2)</f>
        <v>6.0927092389480322</v>
      </c>
      <c r="P496" s="12">
        <f t="shared" si="7"/>
        <v>0</v>
      </c>
      <c r="Q496" s="11">
        <f>IF(P496=Sheet1!$M496, 1, 0)</f>
        <v>1</v>
      </c>
    </row>
    <row r="497" spans="1:17" x14ac:dyDescent="0.35">
      <c r="A497" s="6" t="s">
        <v>530</v>
      </c>
      <c r="B497" s="6" t="s">
        <v>541</v>
      </c>
      <c r="C497" s="6">
        <v>1.8488830148976401</v>
      </c>
      <c r="D497" s="6">
        <v>-1.1825130052586972</v>
      </c>
      <c r="E497" s="6">
        <v>-1.472753099080218</v>
      </c>
      <c r="F497" s="6">
        <v>-1.729667550186216</v>
      </c>
      <c r="G497" s="6">
        <v>-1.262099863532268</v>
      </c>
      <c r="H497" s="6">
        <v>-2.2575372906674467</v>
      </c>
      <c r="I497" s="6">
        <v>-2.3253690259855158</v>
      </c>
      <c r="J497" s="6">
        <v>-0.36042094045139028</v>
      </c>
      <c r="K497" s="6">
        <v>-1.2307095126844292</v>
      </c>
      <c r="L497" s="6">
        <v>-0.41957828575293704</v>
      </c>
      <c r="N497" s="8">
        <f>SQRT((C497-Sheet5!$C$525)^2+(D497-Sheet5!$D$525)^2+(E497-Sheet5!$E$525)^2+(F497-Sheet5!$F$525)^2+(G497-Sheet5!$G$525)^2+(H497-Sheet5!$H$525)^2+(I497-Sheet5!$I$525)^2+(J497-Sheet5!$J$525)^2+(K497-Sheet5!$K$525)^2+(L497-Sheet5!$L$525)^2)</f>
        <v>4.1375237360325112</v>
      </c>
      <c r="O497" s="8">
        <f>SQRT((C497-Sheet5!$C$526)^2+(D497-Sheet5!$D$526)^2+(E497-Sheet5!$E$526)^2+(F497-Sheet5!$F$526)^2+(G497-Sheet5!$G$526)^2+(H497-Sheet5!$H$526)^2+(I497-Sheet5!$I$526)^2+(J497-Sheet5!$J$526)^2+(K497-Sheet5!$K$526)^2+(L497-Sheet5!$L$526)^2)</f>
        <v>7.0653233257597483</v>
      </c>
      <c r="P497" s="12">
        <f t="shared" si="7"/>
        <v>0</v>
      </c>
      <c r="Q497" s="11">
        <f>IF(P497=Sheet1!$M497, 1, 0)</f>
        <v>0</v>
      </c>
    </row>
    <row r="498" spans="1:17" x14ac:dyDescent="0.35">
      <c r="A498" s="6" t="s">
        <v>530</v>
      </c>
      <c r="B498" s="6" t="s">
        <v>542</v>
      </c>
      <c r="C498" s="6">
        <v>1.6851563600486694</v>
      </c>
      <c r="D498" s="6">
        <v>-2.0602149775546614</v>
      </c>
      <c r="E498" s="6">
        <v>-1.6904727718369876</v>
      </c>
      <c r="F498" s="6">
        <v>-2.8712992090020455</v>
      </c>
      <c r="G498" s="6">
        <v>-3.213257695042278</v>
      </c>
      <c r="H498" s="6">
        <v>-2.4702978794854795</v>
      </c>
      <c r="I498" s="6">
        <v>0.86274768034311444</v>
      </c>
      <c r="J498" s="6">
        <v>-1.7497297881171021</v>
      </c>
      <c r="K498" s="6">
        <v>1.8302371509989257</v>
      </c>
      <c r="L498" s="6">
        <v>-0.42626847357395242</v>
      </c>
      <c r="N498" s="8">
        <f>SQRT((C498-Sheet5!$C$525)^2+(D498-Sheet5!$D$525)^2+(E498-Sheet5!$E$525)^2+(F498-Sheet5!$F$525)^2+(G498-Sheet5!$G$525)^2+(H498-Sheet5!$H$525)^2+(I498-Sheet5!$I$525)^2+(J498-Sheet5!$J$525)^2+(K498-Sheet5!$K$525)^2+(L498-Sheet5!$L$525)^2)</f>
        <v>5.5863740554584265</v>
      </c>
      <c r="O498" s="8">
        <f>SQRT((C498-Sheet5!$C$526)^2+(D498-Sheet5!$D$526)^2+(E498-Sheet5!$E$526)^2+(F498-Sheet5!$F$526)^2+(G498-Sheet5!$G$526)^2+(H498-Sheet5!$H$526)^2+(I498-Sheet5!$I$526)^2+(J498-Sheet5!$J$526)^2+(K498-Sheet5!$K$526)^2+(L498-Sheet5!$L$526)^2)</f>
        <v>8.8144710795329715</v>
      </c>
      <c r="P498" s="12">
        <f t="shared" si="7"/>
        <v>0</v>
      </c>
      <c r="Q498" s="11">
        <f>IF(P498=Sheet1!$M498, 1, 0)</f>
        <v>0</v>
      </c>
    </row>
    <row r="499" spans="1:17" x14ac:dyDescent="0.35">
      <c r="A499" s="6" t="s">
        <v>530</v>
      </c>
      <c r="B499" s="6" t="s">
        <v>543</v>
      </c>
      <c r="C499" s="6">
        <v>3.4042862359628563</v>
      </c>
      <c r="D499" s="6">
        <v>-2.5573748359880404</v>
      </c>
      <c r="E499" s="6">
        <v>-2.0002904449138801</v>
      </c>
      <c r="F499" s="6">
        <v>-3.150159303800514</v>
      </c>
      <c r="G499" s="6">
        <v>-1.0472402213719409</v>
      </c>
      <c r="H499" s="6">
        <v>-3.4533056632649997</v>
      </c>
      <c r="I499" s="6">
        <v>-2.656866863876115</v>
      </c>
      <c r="J499" s="6">
        <v>-1.0664631417241293</v>
      </c>
      <c r="K499" s="6">
        <v>2.50470954979623</v>
      </c>
      <c r="L499" s="6">
        <v>-0.42642232359292964</v>
      </c>
      <c r="N499" s="8">
        <f>SQRT((C499-Sheet5!$C$525)^2+(D499-Sheet5!$D$525)^2+(E499-Sheet5!$E$525)^2+(F499-Sheet5!$F$525)^2+(G499-Sheet5!$G$525)^2+(H499-Sheet5!$H$525)^2+(I499-Sheet5!$I$525)^2+(J499-Sheet5!$J$525)^2+(K499-Sheet5!$K$525)^2+(L499-Sheet5!$L$525)^2)</f>
        <v>6.8201355328828539</v>
      </c>
      <c r="O499" s="8">
        <f>SQRT((C499-Sheet5!$C$526)^2+(D499-Sheet5!$D$526)^2+(E499-Sheet5!$E$526)^2+(F499-Sheet5!$F$526)^2+(G499-Sheet5!$G$526)^2+(H499-Sheet5!$H$526)^2+(I499-Sheet5!$I$526)^2+(J499-Sheet5!$J$526)^2+(K499-Sheet5!$K$526)^2+(L499-Sheet5!$L$526)^2)</f>
        <v>10.075823674596595</v>
      </c>
      <c r="P499" s="12">
        <f t="shared" si="7"/>
        <v>0</v>
      </c>
      <c r="Q499" s="11">
        <f>IF(P499=Sheet1!$M499, 1, 0)</f>
        <v>0</v>
      </c>
    </row>
    <row r="500" spans="1:17" x14ac:dyDescent="0.35">
      <c r="A500" s="6" t="s">
        <v>530</v>
      </c>
      <c r="B500" s="6" t="s">
        <v>544</v>
      </c>
      <c r="C500" s="6">
        <v>2.4407146115238354</v>
      </c>
      <c r="D500" s="6">
        <v>-3.31232128768317</v>
      </c>
      <c r="E500" s="6">
        <v>-1.8035691162300982</v>
      </c>
      <c r="F500" s="6">
        <v>-3.643171626096148</v>
      </c>
      <c r="G500" s="6">
        <v>-1.4856700317261222</v>
      </c>
      <c r="H500" s="6">
        <v>-2.4735296858979057</v>
      </c>
      <c r="I500" s="6">
        <v>-0.27135742274799424</v>
      </c>
      <c r="J500" s="6">
        <v>-0.23895131442597306</v>
      </c>
      <c r="K500" s="6">
        <v>2.8818507287060906</v>
      </c>
      <c r="L500" s="6">
        <v>-0.42874998682992832</v>
      </c>
      <c r="N500" s="8">
        <f>SQRT((C500-Sheet5!$C$525)^2+(D500-Sheet5!$D$525)^2+(E500-Sheet5!$E$525)^2+(F500-Sheet5!$F$525)^2+(G500-Sheet5!$G$525)^2+(H500-Sheet5!$H$525)^2+(I500-Sheet5!$I$525)^2+(J500-Sheet5!$J$525)^2+(K500-Sheet5!$K$525)^2+(L500-Sheet5!$L$525)^2)</f>
        <v>6.2367467976517581</v>
      </c>
      <c r="O500" s="8">
        <f>SQRT((C500-Sheet5!$C$526)^2+(D500-Sheet5!$D$526)^2+(E500-Sheet5!$E$526)^2+(F500-Sheet5!$F$526)^2+(G500-Sheet5!$G$526)^2+(H500-Sheet5!$H$526)^2+(I500-Sheet5!$I$526)^2+(J500-Sheet5!$J$526)^2+(K500-Sheet5!$K$526)^2+(L500-Sheet5!$L$526)^2)</f>
        <v>9.3809387689368648</v>
      </c>
      <c r="P500" s="12">
        <f t="shared" si="7"/>
        <v>0</v>
      </c>
      <c r="Q500" s="11">
        <f>IF(P500=Sheet1!$M500, 1, 0)</f>
        <v>0</v>
      </c>
    </row>
    <row r="501" spans="1:17" x14ac:dyDescent="0.35">
      <c r="A501" s="6" t="s">
        <v>530</v>
      </c>
      <c r="B501" s="6" t="s">
        <v>545</v>
      </c>
      <c r="C501" s="6">
        <v>2.7279072683900618</v>
      </c>
      <c r="D501" s="6">
        <v>-2.9379169498506257</v>
      </c>
      <c r="E501" s="6">
        <v>-2.0201836129830264</v>
      </c>
      <c r="F501" s="6">
        <v>-3.1316713417144273</v>
      </c>
      <c r="G501" s="6">
        <v>-1.1111174122844707</v>
      </c>
      <c r="H501" s="6">
        <v>-3.9838605493049055</v>
      </c>
      <c r="I501" s="6">
        <v>-5.0066765378467872</v>
      </c>
      <c r="J501" s="6">
        <v>-1.4954027586263845</v>
      </c>
      <c r="K501" s="6">
        <v>3.3090687446496272</v>
      </c>
      <c r="L501" s="6">
        <v>-0.43661217622155762</v>
      </c>
      <c r="N501" s="8">
        <f>SQRT((C501-Sheet5!$C$525)^2+(D501-Sheet5!$D$525)^2+(E501-Sheet5!$E$525)^2+(F501-Sheet5!$F$525)^2+(G501-Sheet5!$G$525)^2+(H501-Sheet5!$H$525)^2+(I501-Sheet5!$I$525)^2+(J501-Sheet5!$J$525)^2+(K501-Sheet5!$K$525)^2+(L501-Sheet5!$L$525)^2)</f>
        <v>8.3669689453535447</v>
      </c>
      <c r="O501" s="8">
        <f>SQRT((C501-Sheet5!$C$526)^2+(D501-Sheet5!$D$526)^2+(E501-Sheet5!$E$526)^2+(F501-Sheet5!$F$526)^2+(G501-Sheet5!$G$526)^2+(H501-Sheet5!$H$526)^2+(I501-Sheet5!$I$526)^2+(J501-Sheet5!$J$526)^2+(K501-Sheet5!$K$526)^2+(L501-Sheet5!$L$526)^2)</f>
        <v>11.528982604947169</v>
      </c>
      <c r="P501" s="12">
        <f t="shared" si="7"/>
        <v>0</v>
      </c>
      <c r="Q501" s="11">
        <f>IF(P501=Sheet1!$M501, 1, 0)</f>
        <v>0</v>
      </c>
    </row>
    <row r="502" spans="1:17" x14ac:dyDescent="0.35">
      <c r="A502" s="6" t="s">
        <v>530</v>
      </c>
      <c r="B502" s="6" t="s">
        <v>546</v>
      </c>
      <c r="C502" s="6">
        <v>0.21027444464688136</v>
      </c>
      <c r="D502" s="6">
        <v>0.24145103371097953</v>
      </c>
      <c r="E502" s="6">
        <v>-1.3659194187088759</v>
      </c>
      <c r="F502" s="6">
        <v>-0.92235987242711504</v>
      </c>
      <c r="G502" s="6">
        <v>-0.92819636558040863</v>
      </c>
      <c r="H502" s="6">
        <v>-0.47627332301874908</v>
      </c>
      <c r="I502" s="6">
        <v>0.29856386008699759</v>
      </c>
      <c r="J502" s="6">
        <v>-0.59197241506234233</v>
      </c>
      <c r="K502" s="6">
        <v>-0.13997340604470707</v>
      </c>
      <c r="L502" s="6">
        <v>-0.42002082134331026</v>
      </c>
      <c r="N502" s="8">
        <f>SQRT((C502-Sheet5!$C$525)^2+(D502-Sheet5!$D$525)^2+(E502-Sheet5!$E$525)^2+(F502-Sheet5!$F$525)^2+(G502-Sheet5!$G$525)^2+(H502-Sheet5!$H$525)^2+(I502-Sheet5!$I$525)^2+(J502-Sheet5!$J$525)^2+(K502-Sheet5!$K$525)^2+(L502-Sheet5!$L$525)^2)</f>
        <v>1.5589835912537495</v>
      </c>
      <c r="O502" s="8">
        <f>SQRT((C502-Sheet5!$C$526)^2+(D502-Sheet5!$D$526)^2+(E502-Sheet5!$E$526)^2+(F502-Sheet5!$F$526)^2+(G502-Sheet5!$G$526)^2+(H502-Sheet5!$H$526)^2+(I502-Sheet5!$I$526)^2+(J502-Sheet5!$J$526)^2+(K502-Sheet5!$K$526)^2+(L502-Sheet5!$L$526)^2)</f>
        <v>4.3753740171020912</v>
      </c>
      <c r="P502" s="12">
        <f t="shared" si="7"/>
        <v>0</v>
      </c>
      <c r="Q502" s="11">
        <f>IF(P502=Sheet1!$M502, 1, 0)</f>
        <v>1</v>
      </c>
    </row>
    <row r="503" spans="1:17" x14ac:dyDescent="0.35">
      <c r="A503" s="6" t="s">
        <v>530</v>
      </c>
      <c r="B503" s="6" t="s">
        <v>547</v>
      </c>
      <c r="C503" s="6">
        <v>0.50015114503522196</v>
      </c>
      <c r="D503" s="6">
        <v>-0.2557088247223992</v>
      </c>
      <c r="E503" s="6">
        <v>-0.51530228775222386</v>
      </c>
      <c r="F503" s="6">
        <v>-0.52949067809778161</v>
      </c>
      <c r="G503" s="6">
        <v>-0.83528408788945363</v>
      </c>
      <c r="H503" s="6">
        <v>-0.89533088782996373</v>
      </c>
      <c r="I503" s="6">
        <v>-0.60540524400698259</v>
      </c>
      <c r="J503" s="6">
        <v>-1.3853209100408499</v>
      </c>
      <c r="K503" s="6">
        <v>1.165154159145436</v>
      </c>
      <c r="L503" s="6">
        <v>-0.4161280585583762</v>
      </c>
      <c r="N503" s="8">
        <f>SQRT((C503-Sheet5!$C$525)^2+(D503-Sheet5!$D$525)^2+(E503-Sheet5!$E$525)^2+(F503-Sheet5!$F$525)^2+(G503-Sheet5!$G$525)^2+(H503-Sheet5!$H$525)^2+(I503-Sheet5!$I$525)^2+(J503-Sheet5!$J$525)^2+(K503-Sheet5!$K$525)^2+(L503-Sheet5!$L$525)^2)</f>
        <v>1.643917750811255</v>
      </c>
      <c r="O503" s="8">
        <f>SQRT((C503-Sheet5!$C$526)^2+(D503-Sheet5!$D$526)^2+(E503-Sheet5!$E$526)^2+(F503-Sheet5!$F$526)^2+(G503-Sheet5!$G$526)^2+(H503-Sheet5!$H$526)^2+(I503-Sheet5!$I$526)^2+(J503-Sheet5!$J$526)^2+(K503-Sheet5!$K$526)^2+(L503-Sheet5!$L$526)^2)</f>
        <v>4.9106842127965296</v>
      </c>
      <c r="P503" s="12">
        <f t="shared" si="7"/>
        <v>0</v>
      </c>
      <c r="Q503" s="11">
        <f>IF(P503=Sheet1!$M503, 1, 0)</f>
        <v>1</v>
      </c>
    </row>
    <row r="504" spans="1:17" x14ac:dyDescent="0.35">
      <c r="A504" s="6" t="s">
        <v>530</v>
      </c>
      <c r="B504" s="6" t="s">
        <v>548</v>
      </c>
      <c r="C504" s="6">
        <v>2.3588512840993503</v>
      </c>
      <c r="D504" s="6">
        <v>0.47468652285256496</v>
      </c>
      <c r="E504" s="6">
        <v>-1.302924386489912</v>
      </c>
      <c r="F504" s="6">
        <v>-0.74364290559494794</v>
      </c>
      <c r="G504" s="6">
        <v>-0.93981040029177543</v>
      </c>
      <c r="H504" s="6">
        <v>0.40277802116107425</v>
      </c>
      <c r="I504" s="6">
        <v>-0.78071660058374182</v>
      </c>
      <c r="J504" s="6">
        <v>1.328766046464571</v>
      </c>
      <c r="K504" s="6">
        <v>-2.0460230156389425</v>
      </c>
      <c r="L504" s="6">
        <v>-0.42789772082774963</v>
      </c>
      <c r="N504" s="8">
        <f>SQRT((C504-Sheet5!$C$525)^2+(D504-Sheet5!$D$525)^2+(E504-Sheet5!$E$525)^2+(F504-Sheet5!$F$525)^2+(G504-Sheet5!$G$525)^2+(H504-Sheet5!$H$525)^2+(I504-Sheet5!$I$525)^2+(J504-Sheet5!$J$525)^2+(K504-Sheet5!$K$525)^2+(L504-Sheet5!$L$525)^2)</f>
        <v>3.9079428796408924</v>
      </c>
      <c r="O504" s="8">
        <f>SQRT((C504-Sheet5!$C$526)^2+(D504-Sheet5!$D$526)^2+(E504-Sheet5!$E$526)^2+(F504-Sheet5!$F$526)^2+(G504-Sheet5!$G$526)^2+(H504-Sheet5!$H$526)^2+(I504-Sheet5!$I$526)^2+(J504-Sheet5!$J$526)^2+(K504-Sheet5!$K$526)^2+(L504-Sheet5!$L$526)^2)</f>
        <v>5.1597428488736785</v>
      </c>
      <c r="P504" s="12">
        <f t="shared" si="7"/>
        <v>0</v>
      </c>
      <c r="Q504" s="11">
        <f>IF(P504=Sheet1!$M504, 1, 0)</f>
        <v>0</v>
      </c>
    </row>
    <row r="505" spans="1:17" x14ac:dyDescent="0.35">
      <c r="A505" s="6" t="s">
        <v>530</v>
      </c>
      <c r="B505" s="6" t="s">
        <v>549</v>
      </c>
      <c r="C505" s="6">
        <v>3.4405208235113984</v>
      </c>
      <c r="D505" s="6">
        <v>0.26600213783114585</v>
      </c>
      <c r="E505" s="6">
        <v>-1.7007877478728415</v>
      </c>
      <c r="F505" s="6">
        <v>-1.1103208203023256</v>
      </c>
      <c r="G505" s="6">
        <v>-1.0443367126940972</v>
      </c>
      <c r="H505" s="6">
        <v>0.16793342185813062</v>
      </c>
      <c r="I505" s="6">
        <v>-2.5229927370356804</v>
      </c>
      <c r="J505" s="6">
        <v>-0.91083018337906307</v>
      </c>
      <c r="K505" s="6">
        <v>-0.14153830720200797</v>
      </c>
      <c r="L505" s="6">
        <v>-0.44261702834076222</v>
      </c>
      <c r="N505" s="8">
        <f>SQRT((C505-Sheet5!$C$525)^2+(D505-Sheet5!$D$525)^2+(E505-Sheet5!$E$525)^2+(F505-Sheet5!$F$525)^2+(G505-Sheet5!$G$525)^2+(H505-Sheet5!$H$525)^2+(I505-Sheet5!$I$525)^2+(J505-Sheet5!$J$525)^2+(K505-Sheet5!$K$525)^2+(L505-Sheet5!$L$525)^2)</f>
        <v>4.3341798455187401</v>
      </c>
      <c r="O505" s="8">
        <f>SQRT((C505-Sheet5!$C$526)^2+(D505-Sheet5!$D$526)^2+(E505-Sheet5!$E$526)^2+(F505-Sheet5!$F$526)^2+(G505-Sheet5!$G$526)^2+(H505-Sheet5!$H$526)^2+(I505-Sheet5!$I$526)^2+(J505-Sheet5!$J$526)^2+(K505-Sheet5!$K$526)^2+(L505-Sheet5!$L$526)^2)</f>
        <v>6.9385817005590606</v>
      </c>
      <c r="P505" s="12">
        <f t="shared" si="7"/>
        <v>0</v>
      </c>
      <c r="Q505" s="11">
        <f>IF(P505=Sheet1!$M505, 1, 0)</f>
        <v>0</v>
      </c>
    </row>
    <row r="506" spans="1:17" x14ac:dyDescent="0.35">
      <c r="A506" s="6" t="s">
        <v>530</v>
      </c>
      <c r="B506" s="6" t="s">
        <v>550</v>
      </c>
      <c r="C506" s="6">
        <v>2.2152549556662371</v>
      </c>
      <c r="D506" s="6">
        <v>-1.5753306711813664</v>
      </c>
      <c r="E506" s="6">
        <v>-2.1078609092877834</v>
      </c>
      <c r="F506" s="6">
        <v>-2.7341801568635717</v>
      </c>
      <c r="G506" s="6">
        <v>-3.3845647070349729</v>
      </c>
      <c r="H506" s="6">
        <v>-0.64702042847524666</v>
      </c>
      <c r="I506" s="6">
        <v>-1.2135762773678134</v>
      </c>
      <c r="J506" s="6">
        <v>-1.1955246193761351</v>
      </c>
      <c r="K506" s="6">
        <v>-0.41070130625800838</v>
      </c>
      <c r="L506" s="6">
        <v>-0.43740301087024008</v>
      </c>
      <c r="N506" s="8">
        <f>SQRT((C506-Sheet5!$C$525)^2+(D506-Sheet5!$D$525)^2+(E506-Sheet5!$E$525)^2+(F506-Sheet5!$F$525)^2+(G506-Sheet5!$G$525)^2+(H506-Sheet5!$H$525)^2+(I506-Sheet5!$I$525)^2+(J506-Sheet5!$J$525)^2+(K506-Sheet5!$K$525)^2+(L506-Sheet5!$L$525)^2)</f>
        <v>4.971144576213077</v>
      </c>
      <c r="O506" s="8">
        <f>SQRT((C506-Sheet5!$C$526)^2+(D506-Sheet5!$D$526)^2+(E506-Sheet5!$E$526)^2+(F506-Sheet5!$F$526)^2+(G506-Sheet5!$G$526)^2+(H506-Sheet5!$H$526)^2+(I506-Sheet5!$I$526)^2+(J506-Sheet5!$J$526)^2+(K506-Sheet5!$K$526)^2+(L506-Sheet5!$L$526)^2)</f>
        <v>8.228528797014441</v>
      </c>
      <c r="P506" s="12">
        <f t="shared" si="7"/>
        <v>0</v>
      </c>
      <c r="Q506" s="11">
        <f>IF(P506=Sheet1!$M506, 1, 0)</f>
        <v>0</v>
      </c>
    </row>
    <row r="507" spans="1:17" x14ac:dyDescent="0.35">
      <c r="A507" s="6" t="s">
        <v>530</v>
      </c>
      <c r="B507" s="6" t="s">
        <v>551</v>
      </c>
      <c r="C507" s="6">
        <v>3.3425532349542282</v>
      </c>
      <c r="D507" s="6">
        <v>-4.3066410045499275</v>
      </c>
      <c r="E507" s="6">
        <v>-2.3388426940906504</v>
      </c>
      <c r="F507" s="6">
        <v>-5.7138233797378133</v>
      </c>
      <c r="G507" s="6">
        <v>-4.130766437240438</v>
      </c>
      <c r="H507" s="6">
        <v>-3.9240721306750279</v>
      </c>
      <c r="I507" s="6">
        <v>-4.5763668444311056</v>
      </c>
      <c r="J507" s="6">
        <v>-1.9205464497153455</v>
      </c>
      <c r="K507" s="6">
        <v>4.4545763917949328</v>
      </c>
      <c r="L507" s="6">
        <v>-0.44190511417580608</v>
      </c>
      <c r="N507" s="8">
        <f>SQRT((C507-Sheet5!$C$525)^2+(D507-Sheet5!$D$525)^2+(E507-Sheet5!$E$525)^2+(F507-Sheet5!$F$525)^2+(G507-Sheet5!$G$525)^2+(H507-Sheet5!$H$525)^2+(I507-Sheet5!$I$525)^2+(J507-Sheet5!$J$525)^2+(K507-Sheet5!$K$525)^2+(L507-Sheet5!$L$525)^2)</f>
        <v>11.086875265458376</v>
      </c>
      <c r="O507" s="8">
        <f>SQRT((C507-Sheet5!$C$526)^2+(D507-Sheet5!$D$526)^2+(E507-Sheet5!$E$526)^2+(F507-Sheet5!$F$526)^2+(G507-Sheet5!$G$526)^2+(H507-Sheet5!$H$526)^2+(I507-Sheet5!$I$526)^2+(J507-Sheet5!$J$526)^2+(K507-Sheet5!$K$526)^2+(L507-Sheet5!$L$526)^2)</f>
        <v>14.436492103275281</v>
      </c>
      <c r="P507" s="12">
        <f t="shared" si="7"/>
        <v>0</v>
      </c>
      <c r="Q507" s="11">
        <f>IF(P507=Sheet1!$M507, 1, 0)</f>
        <v>0</v>
      </c>
    </row>
    <row r="508" spans="1:17" x14ac:dyDescent="0.35">
      <c r="A508" s="6" t="s">
        <v>530</v>
      </c>
      <c r="B508" s="6" t="s">
        <v>552</v>
      </c>
      <c r="C508" s="6">
        <v>3.5505666079180833</v>
      </c>
      <c r="D508" s="6">
        <v>-3.0729480225115435</v>
      </c>
      <c r="E508" s="6">
        <v>-2.1852232295566862</v>
      </c>
      <c r="F508" s="6">
        <v>-3.2734123843744225</v>
      </c>
      <c r="G508" s="6">
        <v>-1.0298191693048866</v>
      </c>
      <c r="H508" s="6">
        <v>-4.0231808606560859</v>
      </c>
      <c r="I508" s="6">
        <v>-5.3719616553685432</v>
      </c>
      <c r="J508" s="6">
        <v>-1.9205464497153455</v>
      </c>
      <c r="K508" s="6">
        <v>4.099343829087303</v>
      </c>
      <c r="L508" s="6">
        <v>-0.4338209779008988</v>
      </c>
      <c r="N508" s="8">
        <f>SQRT((C508-Sheet5!$C$525)^2+(D508-Sheet5!$D$525)^2+(E508-Sheet5!$E$525)^2+(F508-Sheet5!$F$525)^2+(G508-Sheet5!$G$525)^2+(H508-Sheet5!$H$525)^2+(I508-Sheet5!$I$525)^2+(J508-Sheet5!$J$525)^2+(K508-Sheet5!$K$525)^2+(L508-Sheet5!$L$525)^2)</f>
        <v>9.3362853959016832</v>
      </c>
      <c r="O508" s="8">
        <f>SQRT((C508-Sheet5!$C$526)^2+(D508-Sheet5!$D$526)^2+(E508-Sheet5!$E$526)^2+(F508-Sheet5!$F$526)^2+(G508-Sheet5!$G$526)^2+(H508-Sheet5!$H$526)^2+(I508-Sheet5!$I$526)^2+(J508-Sheet5!$J$526)^2+(K508-Sheet5!$K$526)^2+(L508-Sheet5!$L$526)^2)</f>
        <v>12.481458777566271</v>
      </c>
      <c r="P508" s="12">
        <f t="shared" si="7"/>
        <v>0</v>
      </c>
      <c r="Q508" s="11">
        <f>IF(P508=Sheet1!$M508, 1, 0)</f>
        <v>0</v>
      </c>
    </row>
    <row r="509" spans="1:17" x14ac:dyDescent="0.35">
      <c r="A509" s="6" t="s">
        <v>530</v>
      </c>
      <c r="B509" s="6" t="s">
        <v>553</v>
      </c>
      <c r="C509" s="6">
        <v>3.2861883209898282</v>
      </c>
      <c r="D509" s="6">
        <v>-3.1343257828119606</v>
      </c>
      <c r="E509" s="6">
        <v>-2.1505943814363202</v>
      </c>
      <c r="F509" s="6">
        <v>-3.3288762706326813</v>
      </c>
      <c r="G509" s="6">
        <v>-1.7150472172756639</v>
      </c>
      <c r="H509" s="6">
        <v>-4.0215649574498729</v>
      </c>
      <c r="I509" s="6">
        <v>-5.427423793631009</v>
      </c>
      <c r="J509" s="6">
        <v>-1.578913126518859</v>
      </c>
      <c r="K509" s="6">
        <v>4.1275120499187459</v>
      </c>
      <c r="L509" s="6">
        <v>-0.44286384029569342</v>
      </c>
      <c r="N509" s="8">
        <f>SQRT((C509-Sheet5!$C$525)^2+(D509-Sheet5!$D$525)^2+(E509-Sheet5!$E$525)^2+(F509-Sheet5!$F$525)^2+(G509-Sheet5!$G$525)^2+(H509-Sheet5!$H$525)^2+(I509-Sheet5!$I$525)^2+(J509-Sheet5!$J$525)^2+(K509-Sheet5!$K$525)^2+(L509-Sheet5!$L$525)^2)</f>
        <v>9.3427802050477808</v>
      </c>
      <c r="O509" s="8">
        <f>SQRT((C509-Sheet5!$C$526)^2+(D509-Sheet5!$D$526)^2+(E509-Sheet5!$E$526)^2+(F509-Sheet5!$F$526)^2+(G509-Sheet5!$G$526)^2+(H509-Sheet5!$H$526)^2+(I509-Sheet5!$I$526)^2+(J509-Sheet5!$J$526)^2+(K509-Sheet5!$K$526)^2+(L509-Sheet5!$L$526)^2)</f>
        <v>12.511044046114076</v>
      </c>
      <c r="P509" s="12">
        <f t="shared" si="7"/>
        <v>0</v>
      </c>
      <c r="Q509" s="11">
        <f>IF(P509=Sheet1!$M509, 1, 0)</f>
        <v>0</v>
      </c>
    </row>
    <row r="510" spans="1:17" x14ac:dyDescent="0.35">
      <c r="A510" s="6" t="s">
        <v>530</v>
      </c>
      <c r="B510" s="6" t="s">
        <v>554</v>
      </c>
      <c r="C510" s="6">
        <v>2.815138682858775</v>
      </c>
      <c r="D510" s="6">
        <v>-3.3307346157732955</v>
      </c>
      <c r="E510" s="6">
        <v>-2.0853889972096731</v>
      </c>
      <c r="F510" s="6">
        <v>-3.2225704886376851</v>
      </c>
      <c r="G510" s="6">
        <v>-1.2098367073311092</v>
      </c>
      <c r="H510" s="6">
        <v>-4.1325236442764925</v>
      </c>
      <c r="I510" s="6">
        <v>-1.6049987244155592</v>
      </c>
      <c r="J510" s="6">
        <v>-1.7649134913702793</v>
      </c>
      <c r="K510" s="6">
        <v>3.7894933999414433</v>
      </c>
      <c r="L510" s="6">
        <v>-0.44258696040957818</v>
      </c>
      <c r="N510" s="8">
        <f>SQRT((C510-Sheet5!$C$525)^2+(D510-Sheet5!$D$525)^2+(E510-Sheet5!$E$525)^2+(F510-Sheet5!$F$525)^2+(G510-Sheet5!$G$525)^2+(H510-Sheet5!$H$525)^2+(I510-Sheet5!$I$525)^2+(J510-Sheet5!$J$525)^2+(K510-Sheet5!$K$525)^2+(L510-Sheet5!$L$525)^2)</f>
        <v>7.6068916290560002</v>
      </c>
      <c r="O510" s="8">
        <f>SQRT((C510-Sheet5!$C$526)^2+(D510-Sheet5!$D$526)^2+(E510-Sheet5!$E$526)^2+(F510-Sheet5!$F$526)^2+(G510-Sheet5!$G$526)^2+(H510-Sheet5!$H$526)^2+(I510-Sheet5!$I$526)^2+(J510-Sheet5!$J$526)^2+(K510-Sheet5!$K$526)^2+(L510-Sheet5!$L$526)^2)</f>
        <v>10.85906101302173</v>
      </c>
      <c r="P510" s="12">
        <f t="shared" si="7"/>
        <v>0</v>
      </c>
      <c r="Q510" s="11">
        <f>IF(P510=Sheet1!$M510, 1, 0)</f>
        <v>0</v>
      </c>
    </row>
    <row r="511" spans="1:17" x14ac:dyDescent="0.35">
      <c r="A511" s="6" t="s">
        <v>530</v>
      </c>
      <c r="B511" s="6" t="s">
        <v>555</v>
      </c>
      <c r="C511" s="6">
        <v>3.2190872329369715</v>
      </c>
      <c r="D511" s="6">
        <v>-3.8524455783268405</v>
      </c>
      <c r="E511" s="6">
        <v>-1.8098317802518666</v>
      </c>
      <c r="F511" s="6">
        <v>-4.122317976827218</v>
      </c>
      <c r="G511" s="6">
        <v>-1.1024068862509435</v>
      </c>
      <c r="H511" s="6">
        <v>-3.5427189740087814</v>
      </c>
      <c r="I511" s="6">
        <v>-6.7966482776116973E-3</v>
      </c>
      <c r="J511" s="6">
        <v>-1.5637294232656818</v>
      </c>
      <c r="K511" s="6">
        <v>3.1244104080879533</v>
      </c>
      <c r="L511" s="6">
        <v>-0.4415745758829635</v>
      </c>
      <c r="N511" s="8">
        <f>SQRT((C511-Sheet5!$C$525)^2+(D511-Sheet5!$D$525)^2+(E511-Sheet5!$E$525)^2+(F511-Sheet5!$F$525)^2+(G511-Sheet5!$G$525)^2+(H511-Sheet5!$H$525)^2+(I511-Sheet5!$I$525)^2+(J511-Sheet5!$J$525)^2+(K511-Sheet5!$K$525)^2+(L511-Sheet5!$L$525)^2)</f>
        <v>7.5874083157835974</v>
      </c>
      <c r="O511" s="8">
        <f>SQRT((C511-Sheet5!$C$526)^2+(D511-Sheet5!$D$526)^2+(E511-Sheet5!$E$526)^2+(F511-Sheet5!$F$526)^2+(G511-Sheet5!$G$526)^2+(H511-Sheet5!$H$526)^2+(I511-Sheet5!$I$526)^2+(J511-Sheet5!$J$526)^2+(K511-Sheet5!$K$526)^2+(L511-Sheet5!$L$526)^2)</f>
        <v>10.748954021706613</v>
      </c>
      <c r="P511" s="12">
        <f t="shared" si="7"/>
        <v>0</v>
      </c>
      <c r="Q511" s="11">
        <f>IF(P511=Sheet1!$M511, 1, 0)</f>
        <v>0</v>
      </c>
    </row>
    <row r="512" spans="1:17" x14ac:dyDescent="0.35">
      <c r="A512" s="6" t="s">
        <v>530</v>
      </c>
      <c r="B512" s="6" t="s">
        <v>556</v>
      </c>
      <c r="C512" s="6">
        <v>2.219281020949408</v>
      </c>
      <c r="D512" s="6">
        <v>-2.146143841975245</v>
      </c>
      <c r="E512" s="6">
        <v>-1.808726604248025</v>
      </c>
      <c r="F512" s="6">
        <v>-2.2997130478405441</v>
      </c>
      <c r="G512" s="6">
        <v>-1.1053103949287875</v>
      </c>
      <c r="H512" s="6">
        <v>-3.5060918346679553</v>
      </c>
      <c r="I512" s="6">
        <v>-0.88590341452979782</v>
      </c>
      <c r="J512" s="6">
        <v>0.23553941223581379</v>
      </c>
      <c r="K512" s="6">
        <v>1.3670264084374373</v>
      </c>
      <c r="L512" s="6">
        <v>-0.43999002307308754</v>
      </c>
      <c r="N512" s="8">
        <f>SQRT((C512-Sheet5!$C$525)^2+(D512-Sheet5!$D$525)^2+(E512-Sheet5!$E$525)^2+(F512-Sheet5!$F$525)^2+(G512-Sheet5!$G$525)^2+(H512-Sheet5!$H$525)^2+(I512-Sheet5!$I$525)^2+(J512-Sheet5!$J$525)^2+(K512-Sheet5!$K$525)^2+(L512-Sheet5!$L$525)^2)</f>
        <v>5.0583593249926286</v>
      </c>
      <c r="O512" s="8">
        <f>SQRT((C512-Sheet5!$C$526)^2+(D512-Sheet5!$D$526)^2+(E512-Sheet5!$E$526)^2+(F512-Sheet5!$F$526)^2+(G512-Sheet5!$G$526)^2+(H512-Sheet5!$H$526)^2+(I512-Sheet5!$I$526)^2+(J512-Sheet5!$J$526)^2+(K512-Sheet5!$K$526)^2+(L512-Sheet5!$L$526)^2)</f>
        <v>8.111019481719854</v>
      </c>
      <c r="P512" s="12">
        <f t="shared" si="7"/>
        <v>0</v>
      </c>
      <c r="Q512" s="11">
        <f>IF(P512=Sheet1!$M512, 1, 0)</f>
        <v>0</v>
      </c>
    </row>
    <row r="513" spans="1:17" x14ac:dyDescent="0.35">
      <c r="A513" s="6" t="s">
        <v>530</v>
      </c>
      <c r="B513" s="6" t="s">
        <v>557</v>
      </c>
      <c r="C513" s="6">
        <v>3.9437789839078228</v>
      </c>
      <c r="D513" s="6">
        <v>-3.2816324075329617</v>
      </c>
      <c r="E513" s="6">
        <v>-1.8407767083594277</v>
      </c>
      <c r="F513" s="6">
        <v>-3.3257949436183329</v>
      </c>
      <c r="G513" s="6">
        <v>-1.1517665337742629</v>
      </c>
      <c r="H513" s="6">
        <v>-4.1389872571013449</v>
      </c>
      <c r="I513" s="6">
        <v>-3.1955508504483392</v>
      </c>
      <c r="J513" s="6">
        <v>-1.3777290584142614</v>
      </c>
      <c r="K513" s="6">
        <v>0.98362562489836625</v>
      </c>
      <c r="L513" s="6">
        <v>-0.44291120930194378</v>
      </c>
      <c r="N513" s="8">
        <f>SQRT((C513-Sheet5!$C$525)^2+(D513-Sheet5!$D$525)^2+(E513-Sheet5!$E$525)^2+(F513-Sheet5!$F$525)^2+(G513-Sheet5!$G$525)^2+(H513-Sheet5!$H$525)^2+(I513-Sheet5!$I$525)^2+(J513-Sheet5!$J$525)^2+(K513-Sheet5!$K$525)^2+(L513-Sheet5!$L$525)^2)</f>
        <v>7.6247526567283508</v>
      </c>
      <c r="O513" s="8">
        <f>SQRT((C513-Sheet5!$C$526)^2+(D513-Sheet5!$D$526)^2+(E513-Sheet5!$E$526)^2+(F513-Sheet5!$F$526)^2+(G513-Sheet5!$G$526)^2+(H513-Sheet5!$H$526)^2+(I513-Sheet5!$I$526)^2+(J513-Sheet5!$J$526)^2+(K513-Sheet5!$K$526)^2+(L513-Sheet5!$L$526)^2)</f>
        <v>10.822258183956595</v>
      </c>
      <c r="P513" s="12">
        <f t="shared" si="7"/>
        <v>0</v>
      </c>
      <c r="Q513" s="11">
        <f>IF(P513=Sheet1!$M513, 1, 0)</f>
        <v>0</v>
      </c>
    </row>
    <row r="514" spans="1:17" x14ac:dyDescent="0.35">
      <c r="A514" s="6" t="s">
        <v>530</v>
      </c>
      <c r="B514" s="6" t="s">
        <v>558</v>
      </c>
      <c r="C514" s="6">
        <v>3.8001826554747109</v>
      </c>
      <c r="D514" s="6">
        <v>-3.1834279910522945</v>
      </c>
      <c r="E514" s="6">
        <v>-2.0820734691981486</v>
      </c>
      <c r="F514" s="6">
        <v>-3.0762074554561685</v>
      </c>
      <c r="G514" s="6">
        <v>-1.2475823201430574</v>
      </c>
      <c r="H514" s="6">
        <v>-4.1583780955759</v>
      </c>
      <c r="I514" s="6">
        <v>5.953268564334614E-3</v>
      </c>
      <c r="J514" s="6">
        <v>-1.6206683104650963</v>
      </c>
      <c r="K514" s="6">
        <v>2.4327240965603236</v>
      </c>
      <c r="L514" s="6">
        <v>-0.4413609034268911</v>
      </c>
      <c r="N514" s="8">
        <f>SQRT((C514-Sheet5!$C$525)^2+(D514-Sheet5!$D$525)^2+(E514-Sheet5!$E$525)^2+(F514-Sheet5!$F$525)^2+(G514-Sheet5!$G$525)^2+(H514-Sheet5!$H$525)^2+(I514-Sheet5!$I$525)^2+(J514-Sheet5!$J$525)^2+(K514-Sheet5!$K$525)^2+(L514-Sheet5!$L$525)^2)</f>
        <v>7.2528146916622767</v>
      </c>
      <c r="O514" s="8">
        <f>SQRT((C514-Sheet5!$C$526)^2+(D514-Sheet5!$D$526)^2+(E514-Sheet5!$E$526)^2+(F514-Sheet5!$F$526)^2+(G514-Sheet5!$G$526)^2+(H514-Sheet5!$H$526)^2+(I514-Sheet5!$I$526)^2+(J514-Sheet5!$J$526)^2+(K514-Sheet5!$K$526)^2+(L514-Sheet5!$L$526)^2)</f>
        <v>10.397669436739145</v>
      </c>
      <c r="P514" s="12">
        <f t="shared" si="7"/>
        <v>0</v>
      </c>
      <c r="Q514" s="11">
        <f>IF(P514=Sheet1!$M514, 1, 0)</f>
        <v>0</v>
      </c>
    </row>
    <row r="515" spans="1:17" x14ac:dyDescent="0.35">
      <c r="A515" s="6" t="s">
        <v>530</v>
      </c>
      <c r="B515" s="6" t="s">
        <v>559</v>
      </c>
      <c r="C515" s="6">
        <v>-0.11852088681211596</v>
      </c>
      <c r="D515" s="6">
        <v>1.923201665942408</v>
      </c>
      <c r="E515" s="6">
        <v>1.6991020319448029</v>
      </c>
      <c r="F515" s="6">
        <v>1.5688930186730139</v>
      </c>
      <c r="G515" s="6">
        <v>0.25062815762355645</v>
      </c>
      <c r="H515" s="6">
        <v>0.43671198849154513</v>
      </c>
      <c r="I515" s="6">
        <v>0.76266083313383681</v>
      </c>
      <c r="J515" s="6">
        <v>2.5092989743990963</v>
      </c>
      <c r="K515" s="6">
        <v>-0.89425576386442862</v>
      </c>
      <c r="L515" s="6">
        <v>1.855737795368476E-2</v>
      </c>
      <c r="N515" s="8">
        <f>SQRT((C515-Sheet5!$C$525)^2+(D515-Sheet5!$D$525)^2+(E515-Sheet5!$E$525)^2+(F515-Sheet5!$F$525)^2+(G515-Sheet5!$G$525)^2+(H515-Sheet5!$H$525)^2+(I515-Sheet5!$I$525)^2+(J515-Sheet5!$J$525)^2+(K515-Sheet5!$K$525)^2+(L515-Sheet5!$L$525)^2)</f>
        <v>5.0685290104602787</v>
      </c>
      <c r="O515" s="8">
        <f>SQRT((C515-Sheet5!$C$526)^2+(D515-Sheet5!$D$526)^2+(E515-Sheet5!$E$526)^2+(F515-Sheet5!$F$526)^2+(G515-Sheet5!$G$526)^2+(H515-Sheet5!$H$526)^2+(I515-Sheet5!$I$526)^2+(J515-Sheet5!$J$526)^2+(K515-Sheet5!$K$526)^2+(L515-Sheet5!$L$526)^2)</f>
        <v>2.2614121775094134</v>
      </c>
      <c r="P515" s="12">
        <f t="shared" ref="P515" si="8">IF(N515&lt;=O515, 0, 1)</f>
        <v>1</v>
      </c>
      <c r="Q515" s="11">
        <f>IF(P515=Sheet1!$M515, 1, 0)</f>
        <v>0</v>
      </c>
    </row>
    <row r="516" spans="1:17" x14ac:dyDescent="0.35">
      <c r="P516" s="15" t="s">
        <v>570</v>
      </c>
      <c r="Q516" s="15">
        <f>(SUM(Q2:Q515)/514)*100</f>
        <v>58.17120622568094</v>
      </c>
    </row>
    <row r="519" spans="1:17" x14ac:dyDescent="0.35">
      <c r="C519" s="1" t="s">
        <v>564</v>
      </c>
    </row>
    <row r="520" spans="1:17" x14ac:dyDescent="0.35">
      <c r="C520" s="9">
        <v>0.25757243898726201</v>
      </c>
      <c r="D520" s="9">
        <v>-0.37832981872531463</v>
      </c>
      <c r="E520" s="9">
        <v>-0.42352524265513491</v>
      </c>
      <c r="F520" s="9">
        <v>-0.42745232296786057</v>
      </c>
      <c r="G520" s="9">
        <v>-0.35136067170354413</v>
      </c>
      <c r="H520" s="9">
        <v>-0.26637413722979969</v>
      </c>
      <c r="I520" s="9">
        <v>-0.2779157703838171</v>
      </c>
      <c r="J520" s="9">
        <v>-0.40636724248737482</v>
      </c>
      <c r="K520" s="9">
        <v>0.22589619713214754</v>
      </c>
      <c r="L520" s="9">
        <v>-0.23674924683440149</v>
      </c>
    </row>
    <row r="521" spans="1:17" x14ac:dyDescent="0.35">
      <c r="C521" s="9">
        <v>-0.63096604181443516</v>
      </c>
      <c r="D521" s="9">
        <v>0.92678109956201271</v>
      </c>
      <c r="E521" s="9">
        <v>1.0374947219404305</v>
      </c>
      <c r="F521" s="9">
        <v>1.0471147508944418</v>
      </c>
      <c r="G521" s="9">
        <v>0.8607157394080277</v>
      </c>
      <c r="H521" s="9">
        <v>0.65252724891863845</v>
      </c>
      <c r="I521" s="9">
        <v>0.68080037711472408</v>
      </c>
      <c r="J521" s="9">
        <v>0.99546337924759642</v>
      </c>
      <c r="K521" s="9">
        <v>-0.55336987888079325</v>
      </c>
      <c r="L521" s="9">
        <v>0.579956208688299</v>
      </c>
    </row>
    <row r="524" spans="1:17" x14ac:dyDescent="0.35">
      <c r="C524" s="1" t="s">
        <v>565</v>
      </c>
    </row>
    <row r="525" spans="1:17" x14ac:dyDescent="0.35">
      <c r="C525" s="9">
        <f>AVERAGEIF($P$2:$P$515, 0, C$2:C$515)</f>
        <v>0.25906572048342091</v>
      </c>
      <c r="D525" s="9">
        <f t="shared" ref="D525:L525" si="9">AVERAGEIF($P$2:$P$515, 0, D$2:D$515)</f>
        <v>-0.3866195519146815</v>
      </c>
      <c r="E525" s="9">
        <f t="shared" si="9"/>
        <v>-0.43652899533356992</v>
      </c>
      <c r="F525" s="9">
        <f t="shared" si="9"/>
        <v>-0.44111495775451809</v>
      </c>
      <c r="G525" s="9">
        <f t="shared" si="9"/>
        <v>-0.36228715750992774</v>
      </c>
      <c r="H525" s="9">
        <f t="shared" si="9"/>
        <v>-0.27837694317374395</v>
      </c>
      <c r="I525" s="9">
        <f t="shared" si="9"/>
        <v>-0.29448840001584775</v>
      </c>
      <c r="J525" s="9">
        <f t="shared" si="9"/>
        <v>-0.41555174042497411</v>
      </c>
      <c r="K525" s="9">
        <f t="shared" si="9"/>
        <v>0.23790881241039594</v>
      </c>
      <c r="L525" s="9">
        <f t="shared" si="9"/>
        <v>-0.24078468753364429</v>
      </c>
    </row>
    <row r="526" spans="1:17" x14ac:dyDescent="0.35">
      <c r="C526" s="9">
        <f>AVERAGEIF($P$2:$P$515, 1, C$2:C$515)</f>
        <v>-0.60002963647450502</v>
      </c>
      <c r="D526" s="9">
        <f t="shared" ref="D526:L526" si="10">AVERAGEIF($P$2:$P$515, 1, D$2:D$515)</f>
        <v>0.89546076862819801</v>
      </c>
      <c r="E526" s="9">
        <f t="shared" si="10"/>
        <v>1.011057479514526</v>
      </c>
      <c r="F526" s="9">
        <f t="shared" si="10"/>
        <v>1.0216791602185467</v>
      </c>
      <c r="G526" s="9">
        <f t="shared" si="10"/>
        <v>0.83910380352301051</v>
      </c>
      <c r="H526" s="9">
        <f t="shared" si="10"/>
        <v>0.6447569199959633</v>
      </c>
      <c r="I526" s="9">
        <f t="shared" si="10"/>
        <v>0.68207313293993577</v>
      </c>
      <c r="J526" s="9">
        <f t="shared" si="10"/>
        <v>0.96247145040365045</v>
      </c>
      <c r="K526" s="9">
        <f t="shared" si="10"/>
        <v>-0.55102750745378359</v>
      </c>
      <c r="L526" s="9">
        <f t="shared" si="10"/>
        <v>0.55768840531985997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2026-01-20T13:00:28Z</dcterms:created>
  <dcterms:modified xsi:type="dcterms:W3CDTF">2026-02-02T08:01:57Z</dcterms:modified>
</cp:coreProperties>
</file>